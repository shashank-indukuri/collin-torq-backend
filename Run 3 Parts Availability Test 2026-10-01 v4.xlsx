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" sheetId="1" r:id="rId4"/>
    <sheet state="visible" name="👑 Master List for QA Testing" sheetId="2" r:id="rId5"/>
    <sheet state="visible" name="MVP Benchmark Pass 10.15.26" sheetId="3" r:id="rId6"/>
    <sheet state="visible" name="💯 Test Case Performance - Cons" sheetId="4" r:id="rId7"/>
    <sheet state="visible" name="Test 1 - Ai product benchmark" sheetId="5" r:id="rId8"/>
    <sheet state="visible" name="Test 2 - all Suppliers" sheetId="6" r:id="rId9"/>
    <sheet state="visible" name="Test 3 - part names only" sheetId="7" r:id="rId10"/>
    <sheet state="visible" name="Run 4 - Mark Crockett parts" sheetId="8" r:id="rId11"/>
    <sheet state="visible" name="Run 5 -Trane Parts" sheetId="9" r:id="rId12"/>
    <sheet state="visible" name="Run 6 - Carrier Parts" sheetId="10" r:id="rId13"/>
  </sheets>
  <definedNames>
    <definedName name="BE1S2">'Test 2 - all Suppliers'!$BE$1</definedName>
    <definedName localSheetId="6" name="BE1S2">'Test 3 - part names only'!$BF$1</definedName>
    <definedName localSheetId="7" name="BE1S2">'Run 4 - Mark Crockett parts'!$BL$1</definedName>
    <definedName localSheetId="9" name="BE1S2">'Run 6 - Carrier Parts'!$BF$1</definedName>
    <definedName localSheetId="8" name="BE1S2">'Run 5 -Trane Parts'!$BF$1</definedName>
  </definedNames>
  <calcPr/>
  <extLst>
    <ext uri="GoogleSheetsCustomDataVersion2">
      <go:sheetsCustomData xmlns:go="http://customooxmlschemas.google.com/" r:id="rId14" roundtripDataChecksum="z8JVbvF8xC9iN0Re92pgyV0J0dpItP+vqHv1lLrgNgA="/>
    </ext>
  </extLst>
</workbook>
</file>

<file path=xl/sharedStrings.xml><?xml version="1.0" encoding="utf-8"?>
<sst xmlns="http://schemas.openxmlformats.org/spreadsheetml/2006/main" count="4986" uniqueCount="1075">
  <si>
    <t>Parts availability test</t>
  </si>
  <si>
    <t>Question: for parts real shops asked for, can a person with the shop's logins get the exact part, a real price, and real availability from a supply house with a website we can automate? Not the app. A person.</t>
  </si>
  <si>
    <t>Step 1. Try every part at Ferguson, Johnstone, and R.E. Michel, signed in on the shop's account, at a human pace. Nothing in a cart, nothing ordered. Fill the yellow cells on the Test tab. Search by the number in 'Part # to search' when there is one; otherwise search by the description plus size/rating.</t>
  </si>
  <si>
    <t>Result choices per house:</t>
  </si>
  <si>
    <t>Found = exact part (right size, material, class, rating) with a price shown after login, and enough stock for the Qty. Record price, UOM, availability text, evidence link, minutes.</t>
  </si>
  <si>
    <t>Carried but zero stock = product page and price exist, but 0 at branch and 0 nearby, or 'call for availability' with no date.</t>
  </si>
  <si>
    <t>Couldn't find by search = the house sells it (page exists via item number, browse, or link) but its search box returns nothing for what we typed.</t>
  </si>
  <si>
    <t>Not carried = no product page anywhere on that house's site after search, item-number lookup, and a category browse.</t>
  </si>
  <si>
    <t>Not checked = skipped; say why in Notes.</t>
  </si>
  <si>
    <t>Step 2. For any line not Found at any of the three: ask the shop 'where do you actually buy this?' (an OEM store counts). Fill Where bought, Portal shows price after login (Yes/No), Shop has login (Yes/No).</t>
  </si>
  <si>
    <t>Step 3. Classification is computed for you: Found at our houses / Carried but zero stock today / Reachable, adapter needed / No value add / Pending.</t>
  </si>
  <si>
    <t>Step 4. Summary tab: if 'No value add' is more than 10% of classified lines, the project stops. If not, fill How often bought (Daily/Weekly/Monthly) for the No value add lines only.</t>
  </si>
  <si>
    <t>Qty = how many the shop asked for (prefilled from the original request). Minutes = how long the lookup took at that house; it measures what a human concierge would cost. Fill it if easy, skip if not.</t>
  </si>
  <si>
    <t>Rules: never add to cart or order on a real account. Human pace. 'Not carried' only after search + item number + browse all failed, with evidence written. Collin signs in; the recorder never touches credentials.</t>
  </si>
  <si>
    <t>Yellow cells = you fill in. Grey cells = computed, do not type. The Lochinvar kit row is prefilled with real data from the 09/30 run as a format example.</t>
  </si>
  <si>
    <t>Test 2 - all Suppliers</t>
  </si>
  <si>
    <t>#</t>
  </si>
  <si>
    <t>Scenario</t>
  </si>
  <si>
    <t>Unit / source</t>
  </si>
  <si>
    <t>Part as asked</t>
  </si>
  <si>
    <t>Part # to search (from public OEM lists, 09/30 backstop; blank = search by description + size/rating)</t>
  </si>
  <si>
    <t>Qty</t>
  </si>
  <si>
    <t>PartsTown: Result</t>
  </si>
  <si>
    <t>PartsTown: Price</t>
  </si>
  <si>
    <t>PartsTown: UOM</t>
  </si>
  <si>
    <t>PartsTown: Availability (stock / pickup / ETA, in the house's words)</t>
  </si>
  <si>
    <t>PartsTown: Evidence (link or item #)</t>
  </si>
  <si>
    <t>PartsTown: Minutes</t>
  </si>
  <si>
    <t>Supplyhouse.com: Result</t>
  </si>
  <si>
    <t>Supplyhouse.com: Price</t>
  </si>
  <si>
    <t>Supplyhouse.com: UOM</t>
  </si>
  <si>
    <t>Supplyhouse.com: Availability (stock / pickup / ETA, in the house's words)</t>
  </si>
  <si>
    <t>Supplyhouse.com: Evidence (link or item #)</t>
  </si>
  <si>
    <t>Supplyhouse.com: Minutes</t>
  </si>
  <si>
    <t>Radwell: Result</t>
  </si>
  <si>
    <t>Radwell: Price</t>
  </si>
  <si>
    <t>Radwell: UOM</t>
  </si>
  <si>
    <t>Radwell: Availability (stock / pickup / ETA, in the house's words)</t>
  </si>
  <si>
    <t>Radwell: Evidence (link or item #)</t>
  </si>
  <si>
    <t>Radwell: Minutes</t>
  </si>
  <si>
    <t>Ferguson: Result</t>
  </si>
  <si>
    <t>Ferguson: Price</t>
  </si>
  <si>
    <t>Ferguson: UOM</t>
  </si>
  <si>
    <t>Ferguson: Availability (stock / pickup / ETA, in the house's words)</t>
  </si>
  <si>
    <t>Ferguson: Evidence (link or item #)</t>
  </si>
  <si>
    <t>Ferguson: Minutes</t>
  </si>
  <si>
    <t>Johnstone: Result</t>
  </si>
  <si>
    <t>Johnstone: Price</t>
  </si>
  <si>
    <t>Johnstone: UOM</t>
  </si>
  <si>
    <t>Johnstone: Availability (stock / pickup / ETA, in the house's words)</t>
  </si>
  <si>
    <t>Johnstone: Evidence (link or item #)</t>
  </si>
  <si>
    <t>Johnstone: Minutes</t>
  </si>
  <si>
    <t>R.E. Michel: Result</t>
  </si>
  <si>
    <t>R.E. Michel: Price</t>
  </si>
  <si>
    <t>R.E. Michel: UOM</t>
  </si>
  <si>
    <t>R.E. Michel: Availability (stock / pickup / ETA, in the house's words)</t>
  </si>
  <si>
    <t>R.E. Michel: Evidence (link or item #)</t>
  </si>
  <si>
    <t>R.E. Michel: Minutes</t>
  </si>
  <si>
    <t>Trane Supply: Result</t>
  </si>
  <si>
    <t>Trane Supply: Price</t>
  </si>
  <si>
    <t>Trane Supply: UOM</t>
  </si>
  <si>
    <t>Grainger: Result</t>
  </si>
  <si>
    <t>Trane Supply: Availability (stock / pickup / ETA, in the house's words)</t>
  </si>
  <si>
    <t>Grainger:  Price</t>
  </si>
  <si>
    <t>Trane Supply: Evidence (link or item #)</t>
  </si>
  <si>
    <t>Grainger: UOM</t>
  </si>
  <si>
    <t>Grainger: Availability (stock / pickup / ETA, in the house's words)</t>
  </si>
  <si>
    <t>Grainger:  Evidence (link or item #)</t>
  </si>
  <si>
    <t>Trane Supply: Minutes</t>
  </si>
  <si>
    <t>Grainger: Minutes</t>
  </si>
  <si>
    <t>Part Price Found at any of the 7?</t>
  </si>
  <si>
    <t>Part Price found AND in stock for pick up at any of the 7?</t>
  </si>
  <si>
    <t>Collin's Note on finding</t>
  </si>
  <si>
    <t>Where does the shop buy it? (only if No)</t>
  </si>
  <si>
    <t>That place shows price after login? (Yes/No)</t>
  </si>
  <si>
    <t>Shop has a login there? (Yes/No)</t>
  </si>
  <si>
    <t>Classification (computed)</t>
  </si>
  <si>
    <t>How often bought (Daily/Weekly/Monthly; No value add lines only)</t>
  </si>
  <si>
    <t>Notes</t>
  </si>
  <si>
    <t>Found at any of the 3?</t>
  </si>
  <si>
    <t>Trane SCWFN8042</t>
  </si>
  <si>
    <t>Compressor</t>
  </si>
  <si>
    <t>COM09751 (Trane Supply list; COM06242 superseded)</t>
  </si>
  <si>
    <t>Found</t>
  </si>
  <si>
    <t>each</t>
  </si>
  <si>
    <t>In Stock, ships today (2 units) - ship only, no local pickup</t>
  </si>
  <si>
    <t>Couldn't find by search</t>
  </si>
  <si>
    <t>https://www.partstown.com/trane/trncom09751</t>
  </si>
  <si>
    <t xml:space="preserve">https://www.ferguson.com/search?q=COM09751&amp;lang=en_US
</t>
  </si>
  <si>
    <t>Filter Drier</t>
  </si>
  <si>
    <t>DHY01481 (supersedes DHY00170)</t>
  </si>
  <si>
    <t>No products matched 'COM09751'</t>
  </si>
  <si>
    <t>10/05 eve ET: New Product $6,010.00/ea Order Now call for availability (refurb $3,606). Ship-only</t>
  </si>
  <si>
    <t>rung1: COM09751 -&gt; auto-redirect to product page radwell.com/Buy/INGERSOLL RAND/TRANE/COM09751</t>
  </si>
  <si>
    <t>rung1: COM09751 -&gt; No results. rung2 not run (OEM compressor, only an unlabeled substitute possible = ceiling f)</t>
  </si>
  <si>
    <t>rung1: COM09751 -&gt; unable to find any results</t>
  </si>
  <si>
    <t>rung1: COM09751 -&gt; no products matching</t>
  </si>
  <si>
    <t>Start components</t>
  </si>
  <si>
    <t>rung1: COM09751 -&gt; No results found</t>
  </si>
  <si>
    <t>RLY00681</t>
  </si>
  <si>
    <t>https://www.johnstonesupply.com/search?searchPhrase=COM09751</t>
  </si>
  <si>
    <t>SFCTR3P40A120VLA2L</t>
  </si>
  <si>
    <t>https://www.remichel.com/WebServices/Catalog/BaseProduct/Search?_FieldName=&amp;_FieldValue=COM09751</t>
  </si>
  <si>
    <t>FUS00907</t>
  </si>
  <si>
    <t>No</t>
  </si>
  <si>
    <t>Acid Test kit</t>
  </si>
  <si>
    <t>https://www.grainger.com/search?searchQuery=COM09751&amp;searchBar=true</t>
  </si>
  <si>
    <t>York - E1RD036</t>
  </si>
  <si>
    <t>PCB</t>
  </si>
  <si>
    <t>(none found publicly for E1RD036S46B)</t>
  </si>
  <si>
    <t>In Stock (8 units) - ship only</t>
  </si>
  <si>
    <t>https://www.partstown.com/trane/trndhy01481</t>
  </si>
  <si>
    <t>Capacitor</t>
  </si>
  <si>
    <t>Contactor</t>
  </si>
  <si>
    <t>In Stock - get 11 by Fri Oct 9 (ship only, no branches)</t>
  </si>
  <si>
    <t>https://www.supplyhouse.com/Trane-DHY01481-30cu-Liquid-Line-Drier-7-8-Sweat-Connections-DHY01481</t>
  </si>
  <si>
    <t>York - D7CG048</t>
  </si>
  <si>
    <t>Condenser motor</t>
  </si>
  <si>
    <t>S1-02427501000 (Parts Town, exact model)</t>
  </si>
  <si>
    <t>prop blade</t>
  </si>
  <si>
    <t>S1-02625511000</t>
  </si>
  <si>
    <t>10/05 eve ET: Buy Surplus As Low As $34.00; IN STOCK! (TRANE DHY01481 DRIER; LIQUID LINE, 307S, 7/8 ODF). Ship-only</t>
  </si>
  <si>
    <t>rung1: DHY01481 -&gt; search results with 2 hits (2nd = SERVICE FIRST DISCONTINUED listing $21.99)</t>
  </si>
  <si>
    <t>ALT: Supco LLD307S 7/8 in female sweat liquid line drier. Pick Up 0 Available; Shipping Available (10/05 eve ET)</t>
  </si>
  <si>
    <t>rung1: DHY01481 -&gt; No results; rung2: 'liquid line filter drier 7/8 sweat' -&gt; 6 products. Judgment: matched 7/8 + 307S size in Trane description</t>
  </si>
  <si>
    <t>ALT: Parker Hannifin 307S liquid line drier (7/8 ODF, 30 cu in), order # B10-137. Call for Availability (10/05 eve ET)</t>
  </si>
  <si>
    <t>rung1: DHY01481 -&gt; none; rung2: 'liquid line filter drier 7/8' -&gt; 7 results; mfg # 307S = the 307S in the Trane description. Price needed Price &amp; Availability click</t>
  </si>
  <si>
    <t>rung1: DHY01481 -&gt; none; rung2: 'filter drier' -&gt; 3/8 in driers; 'drier 7/8' -&gt; Sporlan BI-FLO 7R862C 7/8 $100.80 (Arlington Not in stock, Central Dist 1) = bi-flow heat-pump drier, different type, rejected</t>
  </si>
  <si>
    <t>rung1: DHY01481 -&gt; redirected to category Refrigerant Filter Driers: 2 Parker steel-shell 7/8 sweat driers ($296.01 / $83.90), not the part and not spec-verified, not counted. rung2 not run</t>
  </si>
  <si>
    <t>https://www.ferguson.com/search?q=DHY01481&amp;lang=en_US</t>
  </si>
  <si>
    <t>capacitor</t>
  </si>
  <si>
    <t>(three listed, no mapping: S1-02420043700 5uF / S1-02425899000 12.5uF / S1-02423181700 25uF, 370V)</t>
  </si>
  <si>
    <t>Parts Town page 404; no PT listing via web search (tranesupply.com lists RLY00681)</t>
  </si>
  <si>
    <t>No products matched 'RLY00681'</t>
  </si>
  <si>
    <t>https://www.johnstonesupply.com/search?searchPhrase=DHY01481</t>
  </si>
  <si>
    <t>New Product $17.00/ea Order Now call for availability (refurb $11)</t>
  </si>
  <si>
    <t>AAON RN-025-3-0-BB02-389</t>
  </si>
  <si>
    <t>rung1: RLY00681 -&gt; auto-redirect to product page</t>
  </si>
  <si>
    <t>Mod Gas board</t>
  </si>
  <si>
    <t>ASM01668 MODGAS-X (family level, unverified for this unit)</t>
  </si>
  <si>
    <t>rung1: RLY00681 -&gt; No results. rung2 not possible (Trane description is only RELAY)</t>
  </si>
  <si>
    <t>rung1: RLY00681 -&gt; none; rung2 not possible (description only RELAY)</t>
  </si>
  <si>
    <t>rung1: RLY00681 -&gt; none</t>
  </si>
  <si>
    <t>rung1: RLY00681 -&gt; No results found</t>
  </si>
  <si>
    <t>https://www.remichel.com/WebServices/Catalog/BaseProduct/Search?_FieldName=&amp;_FieldValue=DHY01481</t>
  </si>
  <si>
    <t>LG - ARUM216</t>
  </si>
  <si>
    <t>TBZ37957301 / TBZ37416201 (compressor set, Encompass)</t>
  </si>
  <si>
    <t>In Stock (25 units) - ship only</t>
  </si>
  <si>
    <t>https://www.partstown.com/trane/trnsfctr3p40a120vla2l</t>
  </si>
  <si>
    <t>Available for pickup Fri. Oct 02 estimated after 9:00 AM.</t>
  </si>
  <si>
    <t>https://www.grainger.com/product/PARKER-Liquid-Line-Filter-Dryer-Steel-463L46</t>
  </si>
  <si>
    <t>3 Way valve</t>
  </si>
  <si>
    <t>MJX65110301 (service valve; 3-way match unconfirmed)</t>
  </si>
  <si>
    <t>No products matched 'SFCTR3P40A120VLA2L'</t>
  </si>
  <si>
    <t>In Stock. Ships by Friday, October 09. Low Stock only 1 left. New $47.02/ea</t>
  </si>
  <si>
    <t>rung1: SFCTR3P40A120VLA2L -&gt; auto-redirect to product page</t>
  </si>
  <si>
    <t>ALT: Packard C340B 3-pole 40A 120V contactor. No Availability Pick Up 0 / 0 nearby; Shipping Call for Availability: (703) 642-2626 / Not Available</t>
  </si>
  <si>
    <t>rung1: SFCTR3P40A120VLA2L -&gt; No results; rung2: 'contactor 3 pole 40 amp 120 volt coil' -&gt; 1 product. Judgment: spec match 3P/40A/120V, not site-named</t>
  </si>
  <si>
    <t>ALT: Titan Max TMX340B2 definite purpose contactor 3 pole 40 amp 120 volt coil (L47-781). Call for Availability</t>
  </si>
  <si>
    <t>rung1: SFCTR3P40A120VLA2L -&gt; none; rung2: 'contactor 3 pole 40 amp 120 volt' -&gt; 2 results. Judgment: spec match, not site-named</t>
  </si>
  <si>
    <t>Yes</t>
  </si>
  <si>
    <t>rung1: SFCTR3P40A120VLA2L -&gt; none; rung2: 'contactor 3 pole 40 amp 120' -&gt; none</t>
  </si>
  <si>
    <t>the part # search yielded 2 results so idk which is right. I just picked the top one. Also, challenging to find availability because you have to switch to 'pickup' then put in zip code 22201 for where I am</t>
  </si>
  <si>
    <t>ALT (Grainger cross-reference): EATON C25DNF340A 3-pole 40A 120V contactor, item 49C085. Page says Grainger does not carry the product you searched for, this is a potential alternate. Ship to 22201 expected Wed. Oct 07; Pickup: Available for pickup Tue. Oct 06, Falls Church Branch #903 (10/05 eve ET)</t>
  </si>
  <si>
    <t>rung1: SFCTR3P40A120VLA2L -&gt; site redirected via its own cross-reference (xRefMatch) to the Eaton alternate</t>
  </si>
  <si>
    <t>Lochinvar AWH0500</t>
  </si>
  <si>
    <t>Annual maintenance kit</t>
  </si>
  <si>
    <t>100345163</t>
  </si>
  <si>
    <t>In Stock (2 units) - ship only</t>
  </si>
  <si>
    <t>https://www.partstown.com/trane/trnfus00907</t>
  </si>
  <si>
    <t>Igniter</t>
  </si>
  <si>
    <t>100297132 (gasket 100297133)</t>
  </si>
  <si>
    <t>In Stock - get 16 by Fri Oct 9 (ship only)</t>
  </si>
  <si>
    <t>https://www.supplyhouse.com/Trane-FUS00907-JLLS150-JJS-150-600vac-150amp-Class-T-Fast-Acting-Fuse-FUS00907</t>
  </si>
  <si>
    <t>https://www.ferguson.com/search?q=RLY00681&amp;lang=en_US</t>
  </si>
  <si>
    <t>Flame sensor</t>
  </si>
  <si>
    <t>100330200 (gasket 100330341)</t>
  </si>
  <si>
    <t>20’ – 1-1/2” Schedule 80 Black Steel Pipe, 10’ Lengths</t>
  </si>
  <si>
    <t>20 ft</t>
  </si>
  <si>
    <t>New Product $81.00/ea Order Now call for availability (description confirms 150A 600V CLASS T)</t>
  </si>
  <si>
    <t>rung1: FUS00907 -&gt; auto-redirect to product page</t>
  </si>
  <si>
    <t>https://www.johnstonesupply.com/search?searchPhrase=RLY00681</t>
  </si>
  <si>
    <t>rung1: FUS00907 -&gt; No results; rung2: 'class T fuse 150 amp 600 volt' -&gt; 254 fuzzy products, no Class T 150A seen</t>
  </si>
  <si>
    <t>rung1: FUS00907 -&gt; none; rung2: 'class T fuse 150 amp 600 volt' -&gt; 25,564 fuzzy results, no class T seen</t>
  </si>
  <si>
    <t>rung1: FUS00907 -&gt; none; rung2: 'class T fuse' -&gt; none</t>
  </si>
  <si>
    <t>ALT: Class T 150A fuses: Littelfuse JLLS-150 $74.56 pickup Tue. Oct 06; Mersen A6T150 $87.03 pickup Wed. Oct 07; Bussmann JJS-150 $190.37 pickup Wed. Oct 07 (Falls Church #903)</t>
  </si>
  <si>
    <t>rung1: FUS00907 -&gt; junk (Igus cable carrier); rung2: 'class T fuse 150 amp 600 volt' -&gt; UL Class T Fuses category, 150 A. Judgment: spec match (Class T 150A), not site-named</t>
  </si>
  <si>
    <t>20’ – 3/4” Schedule 80 Black Steel Pipe, 10’ Lengths</t>
  </si>
  <si>
    <t>https://www.remichel.com/WebServices/Catalog/BaseProduct/Search?_FieldName=&amp;_FieldValue=RLY00681</t>
  </si>
  <si>
    <t>no refrigerant acid test kit found at Parts Town via web search</t>
  </si>
  <si>
    <t>In Stock - Total Available 878 - get by Wed Oct 7 (ship only). Qwik Products QT2000 QwikCheck acid test kit</t>
  </si>
  <si>
    <t>https://www.supplyhouse.com/Qwik-Products-QT2000-QwikCheck-Acid-Test-Kit</t>
  </si>
  <si>
    <t>10’ – 2” Schedule 80 Black Steel Pipe</t>
  </si>
  <si>
    <t>10 ft</t>
  </si>
  <si>
    <t>https://www.grainger.com/search?searchQuery=RLY00681&amp;searchBar=true</t>
  </si>
  <si>
    <t>ALT: generic acid test kit (any brand). Trane CHM0414 REFRIGERATION OIL ACID TEST KIT New $80.78/ea; In Stock. Ships by Friday, October 09 (also Carrier TT1-002 Totaline, Parker AK-1)</t>
  </si>
  <si>
    <t>rung2: refrigerant acid test kit = no results; acid test = 32 results; opened CHM0414. Judgment: generic line, any brand accepted</t>
  </si>
  <si>
    <t>ALT: generic acid test kit (any brand): Mainstream Engineering QT2000. Pick Up 0 Available, Available Nearby (no count); Shipping Available</t>
  </si>
  <si>
    <t>rung2: 'acid test kit' -&gt; 4 products (also DiversiTech ATK-1 $20.434, Nu-Calgon 4320-W8 $21.067, pickup 0). Generic line, any brand accepted</t>
  </si>
  <si>
    <t>ALT: generic acid test kits listed (TKO, QT2000, 4320-W8, 4996-0, TA-1). Price/availability not opened</t>
  </si>
  <si>
    <t>rung2: 'acid test kit' -&gt; 5 results. Generic line, any brand accepted</t>
  </si>
  <si>
    <t>ALT: generic acid test kit: QwikCheck 2-Second Acid Test (Mainstream QT2000, REM# 4G9605). Arlington VA Branch qty 2; Warehouse 0; Central Distribution 792; Company 2,906 (10/05 eve ET). Also Nu-Calgon Phase III 4320-W8 (REM# 6R104) $22.99, Arlington qty 4</t>
  </si>
  <si>
    <t>rung2: 'acid test' -&gt; 3 products. Generic line, any brand accepted. Branch quantity on hand shown on the results page</t>
  </si>
  <si>
    <t>ALT: generic acid test kits: search returned 21 products (acid test kits, neutralizers); price/pickup not opened</t>
  </si>
  <si>
    <t>rung2: 'refrigerant acid test kit' -&gt; flushing equipment category incl. Acid Testing Kits; 'acid test kit' -&gt; 21 products. Generic line</t>
  </si>
  <si>
    <t>(3) – Boxes 3/4” Assorted Schedule 80 Black Threaded Nipples</t>
  </si>
  <si>
    <t>"HOSHIZAKI Start Relay: 4A3683-01" came up as a suggestion ... but not same part</t>
  </si>
  <si>
    <t>(6) – 1-1/2” NIBCO T-174A Brass Threaded Gate Valves</t>
  </si>
  <si>
    <t>https://www.ferguson.com/search?q=SFCTR3P40A120VLA2L&amp;lang=en_US</t>
  </si>
  <si>
    <t>(1) – 2” NIBCO T-174A Brass Threaded Gate Valve</t>
  </si>
  <si>
    <t>https://www.johnstonesupply.com/search?searchPhrase=SFCTR3P40A120VLA2L</t>
  </si>
  <si>
    <t>In Stock; Quantity Available 9; Ships from Parts Town (10/05 night ET). List price $385.44</t>
  </si>
  <si>
    <t>Re-run 10/05 night with the number from Johnstone Model to Part Search (E1RD036 -&gt; E1RD036S46 -&gt; Defrost Control Board S1-33101975102); partstown.com/p/york/yorks1-33101975102. Replaces the earlier no-hit cell</t>
  </si>
  <si>
    <t>In Stock; Total Available 114; Get it Thu, Oct 8 (order by today); free shipping. Page says This item replaces S1-331-01975-102</t>
  </si>
  <si>
    <t>Re-run 10/05 night with number from Johnstone Model to Part; supplyhouse.com/York-S1-33101975102-Defrost-Control-Board-S1-33101975102</t>
  </si>
  <si>
    <t>In Stock. Ships by Friday, October 09 (New; refurb $180.87). Request a quote options. Ship-only</t>
  </si>
  <si>
    <t>rung1: S1-33101975102 -&gt; S1-331-01975-102 CPU/Control Board by YORK (dashed form). Number from Johnstone Model to Part</t>
  </si>
  <si>
    <t>Call for Pricing (no price shown). YORK Defrost Control Board YS133101975102</t>
  </si>
  <si>
    <t>rung1: S1-33101975102 -&gt; 1 product (number from Johnstone Model to Part). No price shown, so this cell alone does not count toward price</t>
  </si>
  <si>
    <t>Original Part Source 1 S1-33101975102 (L41-755): Available in 1-2 Days. Site-listed universal: White-Rodgers 47D01U-843 (L47-933) $104.99 In Stock; ICM-UDEFROST (B23-069) $84.99 Available in 1-2 Days</t>
  </si>
  <si>
    <t>rung3 Model to Part Search: E1RD036 -&gt; models E1RD036S06/S25/S46 (UPG-Coleman 13 SEER R22 split heat pump) -&gt; E1RD036S46 (the B suffix is not in the list) -&gt; Defrost Control Board. Johnstone warns Applications Vary: confirm form, fit, function</t>
  </si>
  <si>
    <t>Source One S1-33101975102 DEFROST BOARD (REM# 6W1125): Arlington VA Branch Not in stock; Warehouse 0; Central Distribution 5; Company 10. Same search also returned White-Rodgers 47D01U-843 universal heat pump defrost board (REM# 3C515) $103.80: Arlington VA Branch 3; Central Distribution 30</t>
  </si>
  <si>
    <t>rung1: S1-33101975102 (number from Johnstone Model to Part) -&gt; 2 results. Judgment: the W-R universal board is also on Johnstone list for this model (ALT)</t>
  </si>
  <si>
    <t>YORK S1-331-01975-102 Defrost Control Board Kit, item 42FL31. Expected to arrive Wed. Oct 07 (ship)</t>
  </si>
  <si>
    <t>rung1: S1-33101975102 -&gt; exact product page (dashed form)</t>
  </si>
  <si>
    <t>https://www.remichel.com/WebServices/Catalog/BaseProduct/Search?_FieldName=&amp;_FieldValue=SFCTR3P40A120VLA2L</t>
  </si>
  <si>
    <t>(1) – 2-1/2” NIBCO Gate Valve, Class 300</t>
  </si>
  <si>
    <t>In Stock; Quantity Available 7; Ships from Parts Town. York capacitor run 370V 5.0uF oval</t>
  </si>
  <si>
    <t>Number S1-02420043700 from Johnstone Model to Part (E1RD036S46, Capacitor, Original Part); partstown.com/p/york/yorks1-02420043700</t>
  </si>
  <si>
    <t>Not checked</t>
  </si>
  <si>
    <t>Number S1-02420043700 from Johnstone Model to Part; SupplyHouse search not completed (site search box did not submit)</t>
  </si>
  <si>
    <t>In Stock; Low Stock. Ships by Tuesday, October 06 (New $15.29). Ship-only</t>
  </si>
  <si>
    <t>rung1: S1-02420043700 -&gt; S1-024-20043-700 Capacitor by YORK</t>
  </si>
  <si>
    <t>Carried but zero stock</t>
  </si>
  <si>
    <t>YORK CAP RUN 5MFD 370V FLT YS102420043700: Unavailable (no price shown)</t>
  </si>
  <si>
    <t>rung1: S1-02420043700 -&gt; 1 product</t>
  </si>
  <si>
    <t>Original Part Source 1 S1-02420043700 (G33-982): Call for Availability. Site-listed aftermarket Titan TOCF5 (G36-261) In Stock $2.72 (uF not checked)</t>
  </si>
  <si>
    <t>Model to Part Search -&gt; E1RD036S46 -&gt; Capacitor</t>
  </si>
  <si>
    <t>rung1: S1-02420043700 -&gt; none</t>
  </si>
  <si>
    <t>rung1: S1-02420043700 -&gt; No results found</t>
  </si>
  <si>
    <t>(6) – 3/4” NIBCO T-174A Brass Threaded Gate Valves</t>
  </si>
  <si>
    <t xml:space="preserve">in stock! "Available for pickup Thu. Oct 01."
</t>
  </si>
  <si>
    <t>https://www.grainger.com/product/EATON-Definite-Purpose-Magnetic-49C085?searchQuery=SFCTR3P40A120VLA2L&amp;searchBar=true&amp;xRefMatch=true&amp;tier=Tier+8&amp;s_e=false&amp;s_c=solr8</t>
  </si>
  <si>
    <t>(3) – 1/2” NIBCO T-174A Brass Threaded Gate Valves</t>
  </si>
  <si>
    <t>Maybe - "Grainger does not carry the product you searched for. This product is a potential alternate for SFCTR3P40A120VLA2L, but may not be identical in fit, form, function, or quality. See product details."</t>
  </si>
  <si>
    <t>alternativ found?</t>
  </si>
  <si>
    <t>https://www.ferguson.com/search?q=FUS00907&amp;lang=en_US</t>
  </si>
  <si>
    <t>(3) – 3/4” Brass Threaded Check Valves</t>
  </si>
  <si>
    <t>Number S1-02425842700 from Johnstone Model to Part; Parts Town search not completed (site search box did not submit)</t>
  </si>
  <si>
    <t>Number S1-02425842700 from Johnstone Model to Part; SupplyHouse search not completed</t>
  </si>
  <si>
    <t>https://www.johnstonesupply.com/search?searchPhrase=FUS00907</t>
  </si>
  <si>
    <t>only 1 available; In Stock; Low Stock, only 1 left; Ships by Tuesday, October 06. New $123.00 Order Now call for availability. Ship-only</t>
  </si>
  <si>
    <t>rung1: S1-02425842700 -&gt; S1-024-25842-700 Contactor by YORK</t>
  </si>
  <si>
    <t>(4) – 1-1/2” Black Threaded 90° Elbows, Class 300</t>
  </si>
  <si>
    <t>rung1: S1-02425842700 -&gt; none; substitute S1-02442416000 -&gt; none</t>
  </si>
  <si>
    <t>ALT: site-listed Source 1 substitute S1-02442416000 (G32-530) Available in 1-2 Days. Also Packard C330A (L45-049) In Stock $33.79; Eaton C25DND330T (L36-687) Available in 1-2 Days $62.28. Original S1-02425842700 listed, no price shown</t>
  </si>
  <si>
    <t>Model to Part Search -&gt; E1RD036S46 -&gt; Contactor. Judgment: substitute/aftermarket per Johnstone own list; specs not independently verified</t>
  </si>
  <si>
    <t>https://www.remichel.com/WebServices/Catalog/BaseProduct/Search?_FieldName=&amp;_FieldValue=FUS00907</t>
  </si>
  <si>
    <t>YORK S1-024-25842-700 Contactor, item 208R96. Expected to arrive Thu. Oct 08 (ship)</t>
  </si>
  <si>
    <t>(10) – 3/4” Black Threaded 90° Elbows, Class 300</t>
  </si>
  <si>
    <t>rung1: S1-02425842700 -&gt; exact product page (dashed form)</t>
  </si>
  <si>
    <t>"Ships from supplier. Expected to arrive by end of Oct, 2026."</t>
  </si>
  <si>
    <t>https://www.grainger.com/product/IGUS-Cable-Carrier-832EN9?searchQuery=FUS00907&amp;searchBar=true&amp;tier=Tier+7&amp;s_e=false&amp;s_c=solr8</t>
  </si>
  <si>
    <t>(4) – 1/2” Black Threaded 90° Elbows</t>
  </si>
  <si>
    <t xml:space="preserve">Maybe - "Cable Carrier" is what came up ... this does not look right
</t>
  </si>
  <si>
    <t>(4) – 1-1/2” Black Threaded Unions, Class 300</t>
  </si>
  <si>
    <t>Obsolete, no longer available</t>
  </si>
  <si>
    <t>https://www.partstown.com/york/yorks1-02427501000</t>
  </si>
  <si>
    <t>Pick Up. Available Nearby. 0 in Alexandria, VA. Available in 9 stores nearby</t>
  </si>
  <si>
    <t>https://www.ferguson.com/product/mainstream-engineering-air-conditioner-acid-test-kit-mqt2000/436040.html</t>
  </si>
  <si>
    <t>(2) – 1-1/4” Black Threaded Unions</t>
  </si>
  <si>
    <t>in stock. Alexandria - #461 = 1 Qty</t>
  </si>
  <si>
    <t>https://www.johnstonesupply.com/product-view?pID=B11-678</t>
  </si>
  <si>
    <t>Discontinued June 30 2021 (no price). Suggested alternative S1-02440892000 in stock, 4 by Thursday</t>
  </si>
  <si>
    <t>(6) – 3/4” Black Threaded Unions</t>
  </si>
  <si>
    <t>https://www.supplyhouse.com/York-S1-02427501000-850-RPM-1-Phase-48-Condenser-Motor-1-4-HP-460V</t>
  </si>
  <si>
    <t>in stock. Arlington VA Branch =  4 Qty</t>
  </si>
  <si>
    <t>https://www.remichel.com/WebServices/Catalog/BaseProduct/Search?_FieldName=&amp;_FieldValue=Acid%20Test%20Kit</t>
  </si>
  <si>
    <t>(1) – 2x1-1/4” Black Threaded Eccentric Reducer, Class 300</t>
  </si>
  <si>
    <t>10/05 eve ET: York S1-024-27501-000 New $264.00/ea; only 10000 available; Available in cart (refurb $159). Ship-only</t>
  </si>
  <si>
    <t>rung1: S1-02427501000 -&gt; 2 listings (SOURCE 1 DISCONTINUED $153 surplus; York S1-024-27501-000). Judgment: dashed form = same part number</t>
  </si>
  <si>
    <t>rung1: S1-02427501000 -&gt; No results. rung2: condenser fan motor 1/4 hp 460 volt 850 rpm -&gt; 1,344 fuzzy products, none 1/4 hp 460V (voltage mismatch) so rejected</t>
  </si>
  <si>
    <t>ALT: site-side successor. Search of S1-02427501000 returned S1-02440892000 (Source 1, order # S80-914, condenser motor 1/4 HP 460V 850 RPM NEMA 48). Available in 1-2 Days</t>
  </si>
  <si>
    <t>rung1: S1-02427501000 -&gt; 2 results (successor + US Motors 1880). Judgment: accepted the successor number the site returned. Price needed 1 click on Price &amp; Availability</t>
  </si>
  <si>
    <t>rung1: S1-02427501000 -&gt; none; rung2: condenser fan motor 1/4 -&gt; none</t>
  </si>
  <si>
    <t>rung1: S1-02427501000 -&gt; No results found (the dashed form S1-026-... shows on line 11 only)</t>
  </si>
  <si>
    <t>https://www.grainger.com/product/HYDRION-Peracetic-Acid-Test-Strip-39J088</t>
  </si>
  <si>
    <t>(1) – 2x1-1/4” Weld Eccentric Reducer, Class 300</t>
  </si>
  <si>
    <t>In Stock (12 units), shipping today (a search snippet of the same page said backorder 15-17 days; recheck)</t>
  </si>
  <si>
    <t>https://www.partstown.com/york/yorks1-02625511000</t>
  </si>
  <si>
    <t>(6) – 1/2x3” Black Threaded Nipples</t>
  </si>
  <si>
    <t>everyone had some version but idk if it's the right kind since there's no SKU</t>
  </si>
  <si>
    <t>In Stock - Total Available 27 - get 17 by Thu Oct 8 (ship only)</t>
  </si>
  <si>
    <t>https://www.supplyhouse.com/York-S1-02625511000-24-3-Blade-Fan-1-2-Bore</t>
  </si>
  <si>
    <t>(3) – 1/2x1/4” Black Threaded Bushings</t>
  </si>
  <si>
    <t>New $178.19/ea; 14 available; Ships by Friday, October 09 (refurb $106.91)</t>
  </si>
  <si>
    <t>rung1: S1-02625511000 -&gt; auto-redirect to product page</t>
  </si>
  <si>
    <t>rung1: S1-02625511000 -&gt; No results</t>
  </si>
  <si>
    <t>Source 1 S1-02625511000 fan blade 24 in CW (order # W89-729). Available in 1-2 Days</t>
  </si>
  <si>
    <t>(1) – 2” Black Threaded Strainer, Class 300</t>
  </si>
  <si>
    <t>rung1: S1-02625511000 -&gt; exact match (the app found nothing for this number at any house). Price via Price &amp; Availability click</t>
  </si>
  <si>
    <t>rung1: S1-02625511000 -&gt; none</t>
  </si>
  <si>
    <t>York FAN BLADES item 449EE8, Mfr. Model S1-026-25511-000 (exact part, dashed form). Pickup: Ships from supplier to branch. Available for pickup on or before Mon. Oct 12 (Falls Church #903) (10/05 eve ET)</t>
  </si>
  <si>
    <t>rung1: S1-02625511000 -&gt; exact product page (the app found nothing for this number at any house)</t>
  </si>
  <si>
    <t>https://www.ferguson.com/search?q=E1RD036S46B&amp;lang=en_US</t>
  </si>
  <si>
    <t>(1) – 1-1/2” Black Threaded Strainer, Class 300</t>
  </si>
  <si>
    <t>https://www.johnstonesupply.com/search?searchPhrase=E1RD036S46B</t>
  </si>
  <si>
    <t>(3) – 3/4” Black Threaded Strainers, Class 300</t>
  </si>
  <si>
    <t>https://www.remichel.com/WebServices/Catalog/BaseProduct/Search?_FieldName=&amp;_FieldValue=E1RD036S46B</t>
  </si>
  <si>
    <t>(1) – 3/4” Inverted Bucket Steam Trap, 125 PSI</t>
  </si>
  <si>
    <t>https://www.grainger.com/product/Belt-Drive-Motor-1-Speed-1AGG1?opr=NSDSP&amp;analytics=FM%3AnspNav</t>
  </si>
  <si>
    <t>(1) – 3/4” Inverted Bucket Steam Trap, 60 PSI</t>
  </si>
  <si>
    <t>Maybe - APPROVED VENDOR Belt Drive Motor: 1 Speed, Open Drip Proof, Cradle Base Mount, 1/4 hp Horsepower
 came up as a suggested alternative.  not a direct hit</t>
  </si>
  <si>
    <t>(1) – 3/4” Inverted Bucket Steam Trap, 15 PSI</t>
  </si>
  <si>
    <t>no part #, could not run</t>
  </si>
  <si>
    <t>(1) – 4-1/2” Face Pressure Gauge, 0-200 PSI</t>
  </si>
  <si>
    <t>no part number (3 candidates, no mapping)</t>
  </si>
  <si>
    <t>https://www.ferguson.com/search?q=S1-02427501000&amp;lang=en_US</t>
  </si>
  <si>
    <t>no part number - awaiting Nick</t>
  </si>
  <si>
    <t>(1) – 4-1/2” Face Pressure Gauge, 0-120 PSI</t>
  </si>
  <si>
    <t>Alexandria - #461 = Available in 1-2 Days</t>
  </si>
  <si>
    <t>https://www.johnstonesupply.com/product-view?pID=S80-914</t>
  </si>
  <si>
    <t>In Stock (5 units), shipping today</t>
  </si>
  <si>
    <t>https://www.partstown.com/aaon/aaonasm01668</t>
  </si>
  <si>
    <t>In Stock - Total Available 37 - get 6 by Thu Oct 8 (ship only)</t>
  </si>
  <si>
    <t>https://www.supplyhouse.com/AAON-ASM01668-Modulating-Gas-x-Controller</t>
  </si>
  <si>
    <t>https://www.remichel.com/WebServices/Catalog/BaseProduct/Search?_FieldName=&amp;_FieldValue=S1-02427501000</t>
  </si>
  <si>
    <t>(1) – 4-1/2” Face Pressure Gauge, 0-30 PSI</t>
  </si>
  <si>
    <t>IN STOCK! MODGAS-X controller ASM01668 New $1,733.10 (surplus $1,317.16). Older V12090 listing says DISCONTINUED, REPLACED BY ASM01668</t>
  </si>
  <si>
    <t>rung1: ASM01668 -&gt; search results, 2 hits</t>
  </si>
  <si>
    <t>rung1: ASM01668 -&gt; No results</t>
  </si>
  <si>
    <t>rung1: ASM01668 -&gt; none</t>
  </si>
  <si>
    <t>https://www.grainger.com/product/EATON-Definite-Purpose-Magnetic-49C062?opr=NSDSP&amp;analytics=FM%3AnspNav</t>
  </si>
  <si>
    <t>AAON controller ASM01668, item 40LV50. Available for pickup Wed. Oct 07 estimated after 9:00 AM (Falls Church #903) (10/05 eve ET)</t>
  </si>
  <si>
    <t>rung1: ASM01668 -&gt; exact product page</t>
  </si>
  <si>
    <t>(2) – 2-1/2” Weld Slip-On Flanges, Class 300</t>
  </si>
  <si>
    <t>In stock, usually ships in 1-2 days - listed under alt number TBZ37416201 (TBZ37957301 discontinued)</t>
  </si>
  <si>
    <t>https://www.partstown.com/lg-appliances/lgaptbz37416201</t>
  </si>
  <si>
    <t>o</t>
  </si>
  <si>
    <t>Maybe - found 2 'suggested parts' at Johnstone (MOTOR,CONDENSER) and Grainger (EATON Definite Purpose Magnetic Contactor: 1 + N Poles, 208-240V AC, 30 A, Non-Reversing) , yet totally different names.</t>
  </si>
  <si>
    <t>In Stock - Total Available 11 - get 4 by Thu Oct 8 (ship only). Listed under TBZ37416201; page lists ARUM216BTE5 as a compatible model</t>
  </si>
  <si>
    <t>(2) – 2-1/2” B7 Stud &amp; Nut Kits, Class 300</t>
  </si>
  <si>
    <t>https://www.supplyhouse.com/LG-TBZ37416201-Compressor-Set-TBZ37416201</t>
  </si>
  <si>
    <t>https://www.ferguson.com/search?q=S1-02625511000&amp;lang=en_US</t>
  </si>
  <si>
    <t>rung1: TBZ37957301 = Oops. Named successor TBZ37416201 resolves to LITTLE GIANT PUMP motor (wrong item, rejected). rung2: TBZ3795 -&gt; only TBZ37955701 LG compressor $4,295 = near-number, NOT accepted (no site link to the asked part)</t>
  </si>
  <si>
    <t>rung1: TBZ37957301 -&gt; No results; named successor TBZ37416201 -&gt; No results</t>
  </si>
  <si>
    <t>rung1: TBZ37957301 -&gt; none; successor TBZ37416201 -&gt; none</t>
  </si>
  <si>
    <t>rung1: TBZ37957301 -&gt; No results; successor TBZ37416201 -&gt; No results</t>
  </si>
  <si>
    <t>https://www.johnstonesupply.com/product-view?pID=W89-729</t>
  </si>
  <si>
    <t>(2) – 2-1/2” Flexitallic Gaskets, Class 300</t>
  </si>
  <si>
    <t>In stock, usually ships in 1-2 days (third-party seller on Parts Town)</t>
  </si>
  <si>
    <t>https://www.partstown.com/lg-appliances/lgapmjx65110301</t>
  </si>
  <si>
    <t>https://www.remichel.com/WebServices/Catalog/BaseProduct/Search?_FieldName=&amp;_FieldValue=S1-02625511000</t>
  </si>
  <si>
    <t>(3) – 1/4” Pigtail Siphons</t>
  </si>
  <si>
    <t>No products matched 'MJX65110301'</t>
  </si>
  <si>
    <t xml:space="preserve">Ships from supplier to branch. Available for pickup on or before Wed. Oct 07.
</t>
  </si>
  <si>
    <t>rung1: MJX65110301 = Oops; rung2: MJX651 = Oops</t>
  </si>
  <si>
    <t>https://www.grainger.com/product/YORK-FAN-BLADES-449EE8?searchQuery=S1-02625511000&amp;searchBar=true&amp;tier=Tier+6&amp;s_e=false&amp;s_c=solr8</t>
  </si>
  <si>
    <t>rung1: MJX65110301 -&gt; No results; rung2 not run (no spec in the ask)</t>
  </si>
  <si>
    <t>rung1: MJX65110301 -&gt; none; rung2 not run (no spec)</t>
  </si>
  <si>
    <t>rung1: MJX65110301 -&gt; No results</t>
  </si>
  <si>
    <t>Mitsubishi</t>
  </si>
  <si>
    <t>Control PC Board</t>
  </si>
  <si>
    <t>U01B10451 (Mitsubishi parts catalog OBB949A for MXZ-5D36NL-U1, item 4: OUTDOOR CONTROL P.C. BOARD, U01 B10 451)</t>
  </si>
  <si>
    <t>In stock, usually ships in 1-2 days</t>
  </si>
  <si>
    <t>Yes - I did get a direct hit on both Johnstone + Grainger. the only problem is Johnstone served it as a 'suggested part' although having direct hit</t>
  </si>
  <si>
    <t>https://www.partstown.com/lochinvar/loc100345163</t>
  </si>
  <si>
    <t>Not carried</t>
  </si>
  <si>
    <t>Search for 100345163 returned 2 unrelated AO Smith water heater parts; no Lochinvar kit page</t>
  </si>
  <si>
    <t>New $943.03/ea (Lochinvar PM SERVICE KIT AWH/KBX04). In Stock. Ships by Friday, October 09 (never-used orig pkg $716.71)</t>
  </si>
  <si>
    <t>rung1: 100345163 -&gt; search results (2 hits) -&gt; product page</t>
  </si>
  <si>
    <t>Lochinvar PM SERV KIT AWH/KBX0400-0500 (L100345163). No Availability Pick Up 0 / 0 nearby; Shipping Call for Availability: (703) 642-2626 / Not Available</t>
  </si>
  <si>
    <t>rung1: 100345163 -&gt; 1 product</t>
  </si>
  <si>
    <t>uncertain part #. not searching</t>
  </si>
  <si>
    <t>rung1: 100345163 -&gt; none; rung2 'lochinvar' not run separately (lochinvar igniter search returned other brands)</t>
  </si>
  <si>
    <t>Power board or Power pcb board</t>
  </si>
  <si>
    <t>rung1: 100345163 -&gt; none</t>
  </si>
  <si>
    <t>U01B14451 (same catalog, item 13: OUTDOOR POWER P.C. BOARD, U01 B14 451)</t>
  </si>
  <si>
    <t>rung1: 100345163 -&gt; No results found</t>
  </si>
  <si>
    <t>https://www.ferguson.com/search?q=ASM01668+MODGAS-X&amp;lang=en_US</t>
  </si>
  <si>
    <t>Obsolete, replaced by LOC100368946</t>
  </si>
  <si>
    <t>https://www.partstown.com/lochinvar/loc100297132</t>
  </si>
  <si>
    <t>https://www.johnstonesupply.com/search?searchPhrase=ASM01668%20MODGAS-X</t>
  </si>
  <si>
    <t>fan motor or condenser motor</t>
  </si>
  <si>
    <t>Discontinued Sept 8 2025 (no price). Direct replacement 100368946 in stock, 5 by Thursday</t>
  </si>
  <si>
    <t>U01A05301 (same catalog, item 3: OUTDOOR FAN MOTOR, U01 A05 301)</t>
  </si>
  <si>
    <t>https://www.supplyhouse.com/Lochinvar-100297132-Igniter-w-Gasket-Screws</t>
  </si>
  <si>
    <t>https://www.remichel.com/WebServices/Catalog/BaseProduct/Search?_FieldName=&amp;_FieldValue=ASM01668%20MODGAS-X</t>
  </si>
  <si>
    <t>New $250.00/ea (Lochinvar IGNITER W/ GASKET 100297132). only 10000 available; Get It Fast. Request a Quote on other conditions</t>
  </si>
  <si>
    <t>rung1: 100297132 -&gt; search results (3 hits) -&gt; product page. Exact number; successor 100368946 not needed</t>
  </si>
  <si>
    <t>Lochinvar Armor Ignitor with Gasket &amp; Screw (L100297132). No Availability Pick Up 0 / 0 nearby; Shipping Call for Availability / Not Available</t>
  </si>
  <si>
    <t>rung1: 100297132 -&gt; 1 product</t>
  </si>
  <si>
    <t>rung1: 100297132 -&gt; none; rung2: 'lochinvar igniter' -&gt; Partner's Choice / ICP / Goodman igniters only, no Lochinvar</t>
  </si>
  <si>
    <t>rung1: 100297132 -&gt; none; rung2 lochinvar not run</t>
  </si>
  <si>
    <t>LOCHINVAR Pilot Ignitor Assembly Kit item 419JT9 (Mfr. 100297132). Pickup date is unavailable (10/05 eve ET)</t>
  </si>
  <si>
    <t>rung1: 100297132 -&gt; exact product page</t>
  </si>
  <si>
    <t>reactor</t>
  </si>
  <si>
    <t>U01A07337 (same catalog, item 15: REACTOR, U01 A07 337, 3 per unit)</t>
  </si>
  <si>
    <t>Out of stock, backorders typically ship in 10-12 days</t>
  </si>
  <si>
    <t>https://www.partstown.com/lochinvar/loc100330200</t>
  </si>
  <si>
    <t>https://www.grainger.com/product/AAON-Controller-Detector-40LV50</t>
  </si>
  <si>
    <t>In Stock - Total Available 37 - get 20 by Thu Oct 8 (ship only)</t>
  </si>
  <si>
    <t>https://www.supplyhouse.com/Lochinvar-100330200-Flame-Sensor-w-Gasket</t>
  </si>
  <si>
    <t>thermister</t>
  </si>
  <si>
    <t>U01005200 thermistor set defrost/discharge/heat exchanger RT61-62-68; U01A10308 ambient RT65; U01003200 fin RT64 (same catalog, items 9-11)</t>
  </si>
  <si>
    <t>Yes assuming part # is right</t>
  </si>
  <si>
    <t>New $222.45/ea (Lochinvar FLAME SENSOR W/ GASKET). In Stock (refurb $133.47)</t>
  </si>
  <si>
    <t>rung1: 100330200 -&gt; search results (9 hits) -&gt; product page</t>
  </si>
  <si>
    <t>Lochinvar Flame Sensor with Gasket &amp; Screws (L100330200). No Availability Pick Up 0 / 0 nearby; Shipping Call for Availability / Not Available</t>
  </si>
  <si>
    <t>rung1: 100330200 -&gt; 1 product</t>
  </si>
  <si>
    <t>https://www.ferguson.com/search?q=TBZ37416201&amp;lang=en_US</t>
  </si>
  <si>
    <t>rung1: 100330200 -&gt; none</t>
  </si>
  <si>
    <t>rung1: 100330200 -&gt; No results found</t>
  </si>
  <si>
    <t>expansion valve or lev</t>
  </si>
  <si>
    <t>U01A09401 expansion valve (5 per unit, rooms A-E); LEV coils U01A03493 (A), U01A04493 (B), U01A05493 (C), U01A06493 (D), U01A09493 (E) (same catalog, items 8-12)</t>
  </si>
  <si>
    <t>Parts Town does not sell pipe; no listing via site or web search</t>
  </si>
  <si>
    <t>Search returned only Sch 80 black nipples and press fittings, no 10-ft Sch 80 pipe lengths (site carries Sch 40 lengths)</t>
  </si>
  <si>
    <t>https://www.johnstonesupply.com/search?searchPhrase=TBZ37957301</t>
  </si>
  <si>
    <t>rung2: schedule 80 black steel pipe -&gt; 108 results, page 1 = nipples 18in or shorter, mostly Sch 40; black steel pipe 10 ft -&gt; unrelated item. No 10-ft length seen (pages 2-3 not read). Rung3 not run</t>
  </si>
  <si>
    <t>per 21 FOOT</t>
  </si>
  <si>
    <t>ALT: 1-1/2 in A53 Sch 80 black pipe sold per 21 FOOT length (ask = 10-ft lengths); A106B seamless SRL $277.035/21 ft. Pick Up 0 Available, Available Nearby (no count); Shipping Available</t>
  </si>
  <si>
    <t>rung2: '1-1/2 schedule 80 black steel pipe' -&gt; 70 products. Judgment: 21-ft length vs 10-ft ask</t>
  </si>
  <si>
    <t>rung2: '1-1/2 schedule 80 black pipe' -&gt; snap clamp / PVC results only</t>
  </si>
  <si>
    <t>rung2: 'black pipe 1-1/2' -&gt; none</t>
  </si>
  <si>
    <t>rung2: '1-1/2 schedule 80 black steel pipe' -&gt; Steel &amp; Iron Pipe &amp; Pipe Nipples category; first page = nipples and short pipe (2 ft), no 10-ft length seen; items show Available for pickup Wed. Oct 07</t>
  </si>
  <si>
    <t>SSBD81199NE</t>
  </si>
  <si>
    <t>https://www.remichel.com/WebServices/Catalog/BaseProduct/Search?_FieldName=&amp;_FieldValue=TBZ37957301</t>
  </si>
  <si>
    <t>Search returned 1 Sch 80 nipple and 1 tool, no 10-ft Sch 80 pipe lengths</t>
  </si>
  <si>
    <t>rung2: schedule 80 black steel pipe -&gt; same 108 results, nipples only (see line 19); no 10-ft Sch 80 length seen</t>
  </si>
  <si>
    <t>ALT: 3/4 in A53 Sch 80 black pipe per 21 FOOT (A106B seamless $120.565). Pick Up 0 Available, Available Nearby (no count); Shipping Available</t>
  </si>
  <si>
    <t>rung2: '3/4 schedule 80 black steel pipe' -&gt; 50 products. Judgment: 21-ft length vs 10-ft ask</t>
  </si>
  <si>
    <t>rung2: '3/4 schedule 80 black steel pipe' -&gt; PVC / copper results only</t>
  </si>
  <si>
    <t>rung2: 'black steel pipe' -&gt; 3/4 x 10 ft STD BLK PIPE (Albany 600-170-00100) $28.14, Arlington Not in stock, Central Dist 439 = STD (Sch 40) not Sch 80, rejected; 'XH blk pipe' -&gt; none</t>
  </si>
  <si>
    <t>rung2: '3/4 schedule 80 black steel pipe' -&gt; same family, no 10-ft Sch 80 length seen</t>
  </si>
  <si>
    <t>Ferguson</t>
  </si>
  <si>
    <t>No 2-in Sch 80 pipe length found; nearest is Kessler 2-in x 10-ft Sch 40 (wrong schedule)</t>
  </si>
  <si>
    <t>S3080053</t>
  </si>
  <si>
    <t>-</t>
  </si>
  <si>
    <t>rung2: schedule 80 black steel pipe -&gt; same 108 results; only a Grainger 2in x 6in Sch 80 nipple (Call For Availability), no 10-ft pipe</t>
  </si>
  <si>
    <t>ALT: 2 in A53 Sch 80 black pipe per 21 FOOT. No Availability Pick Up 0 Available</t>
  </si>
  <si>
    <t>rung2: '2 schedule 80 black steel pipe' -&gt; 83 products. Judgment: 21-ft length vs 10-ft ask</t>
  </si>
  <si>
    <t>rung2: '2 schedule 80 black steel pipe' -&gt; PVC results only</t>
  </si>
  <si>
    <t>rung2: 'black steel pipe' / 'XH blk pipe' -&gt; STD (Sch 40) only, no Sch 80, rejected</t>
  </si>
  <si>
    <t>rung2: not run separately (same family as lines 19/20)</t>
  </si>
  <si>
    <t>https://www.grainger.com/search?searchQuery=TBZ37957301&amp;searchBar=true</t>
  </si>
  <si>
    <t>W490057</t>
  </si>
  <si>
    <t>Parts Town does not sell pipe nipples; no listing</t>
  </si>
  <si>
    <t>No although grainger tried to present some random stuff like masks as 'suggested results'</t>
  </si>
  <si>
    <r>
      <rPr>
        <rFont val="Arial"/>
      </rPr>
      <t xml:space="preserve">No assorted-box SKU; individual 3/4-in Sch 80 black nipples are sold singly </t>
    </r>
    <r>
      <rPr>
        <rFont val="Arial"/>
        <color rgb="FF1155CC"/>
        <u/>
      </rPr>
      <t>https://www.supplyhouse.com/Black-Schedule-80-Nipples-20740000</t>
    </r>
  </si>
  <si>
    <t>DPC1500</t>
  </si>
  <si>
    <t>https://www.ferguson.com/search?q=MJX65110301&amp;lang=en_US</t>
  </si>
  <si>
    <t>rung2: schedule 80 black steel pipe -&gt; nipples sold singly (Sch 40, B&amp;K Mueller / Value Collection); no 3/4 Sch 80 assorted box seen</t>
  </si>
  <si>
    <t>ALT: 3/4 x 3 in Threaded Extra Heavy (Sch 80) black carbon steel nipple IBXNF, sold singly, no assorted box. Pick Up 0 Available, Available Nearby (no count)</t>
  </si>
  <si>
    <t>rung2: '3/4 schedule 80 black nipple' -&gt; 33 products. Judgment: single nipple vs assorted box</t>
  </si>
  <si>
    <t>rung2: '3/4 black nipple' -&gt; SCI black iron nipples 3/4 x 5 and 3/4 x 3-1/2 listed; schedule not stated, Sch 80 not confirmed, not counted</t>
  </si>
  <si>
    <t>rung2: 'nipple black 3/4' -&gt; none</t>
  </si>
  <si>
    <t>https://www.johnstonesupply.com/search?searchPhrase=MJX65110301</t>
  </si>
  <si>
    <t>rung2: '3/4 schedule 80 black nipple' -&gt; results not read in detail; nipples exist (items such as 1LMJ3 $12.10, pickup Wed. Oct 07) but 3/4 Sch 80 black not confirmed</t>
  </si>
  <si>
    <t>RCL1026312000</t>
  </si>
  <si>
    <t>no NIBCO gate valves at Parts Town; no listing</t>
  </si>
  <si>
    <t>https://www.remichel.com/WebServices/Catalog/BaseProduct/Search?_FieldName=&amp;_FieldValue=MJX65110301</t>
  </si>
  <si>
    <t>NIBCO T-174A' = no products. Only 1-1/2-in NIBCO is Class 125 non-rising stem NL0J0XC $247.50 (wrong class)</t>
  </si>
  <si>
    <t>rung1: T174A 1-1/2 = Oops; rung2: NIBCO T-174A = 6 results, sizes 1/2, 3/4, 1, 2 only</t>
  </si>
  <si>
    <t>rung1: T-174A -&gt; No results; rung2: 'NIBCO T-174A 1-1/2 gate valve' -&gt; 28,561 fuzzy products; ProFlo PFXT300J/K 1-1/2 and 2 in gate valves ($65.354 pickup 8 / $91.301 pickup 0) are Pressure Class 200# per product page (K) = not Class 300, rejected</t>
  </si>
  <si>
    <t>RRE180IP</t>
  </si>
  <si>
    <t>rung1: 'nibco t-174a' -&gt; NIBCO R53-369/R53-370 (GB3 sub drain valves), not the T-174A; rung2: '2 bronze gate valve 300' -&gt; junk</t>
  </si>
  <si>
    <t>rung1: T174A -&gt; none; rung2: 'gate valve 300' -&gt; none</t>
  </si>
  <si>
    <t>rung2: 'NIBCO T-174A 1-1/2' -&gt; Bronze General Purpose Gate Valves, NIBCO 1-1/2 FNPT $162.32 at 200 psi CWP = not Class 300, rejected</t>
  </si>
  <si>
    <t>https://www.grainger.com/search?searchQuery=MJX65110301&amp;searchBar=true</t>
  </si>
  <si>
    <t>In Stock - get 8 by Thu Oct 8 (ship only). NIBCO 2-in threaded bronze gate valve, rising stem, Class 300, lead-free (SKU NL050XD) - matches T-174A spec; lead-free variant, not the T-174A number itself</t>
  </si>
  <si>
    <t>BTWV30RX</t>
  </si>
  <si>
    <r>
      <rPr>
        <rFont val="Arial"/>
        <color rgb="FF1155CC"/>
        <u/>
      </rPr>
      <t>https://www.supplyhouse.com/sh/control/search/</t>
    </r>
    <r>
      <rPr>
        <rFont val="Arial"/>
      </rPr>
      <t>~SEARCH_STRING=NIBCO%20class%20300%20gate%20valve (SKU NL050XD)</t>
    </r>
  </si>
  <si>
    <t>EACH</t>
  </si>
  <si>
    <t>Pick Up Not Available 0 in Alexandria, VA 0 nearby; Shipping Call for Availability (703) 642-2626</t>
  </si>
  <si>
    <t>https://www.ferguson.com/product/lochinvar-pm-serv-kit-awh%2Fkbx0400-0500-l100345163/10410207.html (item 10410207, part L100345163)</t>
  </si>
  <si>
    <t>Search: 'unable to find any results for 100345163'</t>
  </si>
  <si>
    <t>Buy as low as $638.00; Request a Quote (NIBCO T174A-2 inch BRONZE). No stock text. Ship-only</t>
  </si>
  <si>
    <t>rung2: NIBCO T-174A -&gt; 6 results. Judgment: price is a surplus as-low-as listing with Request a Quote</t>
  </si>
  <si>
    <t>Search: 'no products matching 100345163'</t>
  </si>
  <si>
    <t>rung1: T-174A -&gt; No results; rung2: '2 bronze gate valve class 300' -&gt; fuzzy; ProFlo PFXT300K 2 in $91.301 is 200# class, rejected</t>
  </si>
  <si>
    <t>rung1: 'nibco t-174a' -&gt; not the T-174A (see line 23); '2 bronze gate valve 300' -&gt; junk</t>
  </si>
  <si>
    <t>No although grainger tried to present some random stuff like lubricant as 'suggested results'</t>
  </si>
  <si>
    <t>rung1: T174A -&gt; none; 'gate valve 300' -&gt; none</t>
  </si>
  <si>
    <t>rung2: '2 bronze gate valve class 300' -&gt; not read in detail; same 200 psi family</t>
  </si>
  <si>
    <t>PL20X25X2</t>
  </si>
  <si>
    <t>PREFILLED EXAMPLE from the 09/30 run. Right part, right price, no stock anywhere nearby. Replace if re-tested.</t>
  </si>
  <si>
    <t>https://www.ferguson.com/product/lochinvar-armor-ignitor-with-gasket-screw-l100297132/9334956.html</t>
  </si>
  <si>
    <t>Only one 2-1/2-in NIBCO gate valve listed: ductile iron, flanged (not Class 300 threaded bronze)</t>
  </si>
  <si>
    <t>rung1: T174A 2-1/2 = Oops; rung2: NIBCO T-174A = 6 results, no 2-1/2 inch</t>
  </si>
  <si>
    <t>Aireco</t>
  </si>
  <si>
    <t>rung1: T-174A -&gt; No results; no 2-1/2 in Class 300 NIBCO seen; ProFlo 200# class rejected</t>
  </si>
  <si>
    <t>rung1: 'nibco t-174a' -&gt; not the T-174A (see line 23)</t>
  </si>
  <si>
    <t>rung2: not run separately (same family as 23/24)</t>
  </si>
  <si>
    <t>PL16X25X2</t>
  </si>
  <si>
    <t>https://www.johnstonesupply.com/search?searchPhrase=100297132</t>
  </si>
  <si>
    <t>Number from Mitsubishi parts catalog OBB949A for MXZ-5D36NL-U1. rung1: U01B10451 -&gt; We could not find any matches (Parts Town). Only near-numbers shown: Mitsubishi U01A10451 INVERTER BOARD (third-party seller) = a different part, rejected</t>
  </si>
  <si>
    <t>Number from Mitsubishi parts catalog OBB949A for MXZ-5D36NL-U1. rung1: U01B10451 -&gt; No products matched (SupplyHouse search)</t>
  </si>
  <si>
    <t>PL20X20X2</t>
  </si>
  <si>
    <t>In Stock; Low Stock. Ships by Monday, October 12 (New). Ship-only</t>
  </si>
  <si>
    <t>Number from Mitsubishi parts catalog OBB949A for MXZ-5D36NL-U1 (found by web search of the unit service manual). rung1: U01B10451 -&gt; product page. Radwell description OUTDOOR CONTROL P.C. BOARD (its category label says PLC board; ignore)</t>
  </si>
  <si>
    <t>Number from Mitsubishi parts catalog OBB949A for MXZ-5D36NL-U1 (found by web search of the unit service manual). rung1: U01B10451 -&gt; No results (Ferguson, signed in). Search of model MXZ-5D36NL showed 1 Mitsubishi equipment product, no parts</t>
  </si>
  <si>
    <t>Number from Mitsubishi parts catalog OBB949A for MXZ-5D36NL-U1 (found by web search of the unit service manual). rung1: U01B10451 -&gt; no results (Johnstone, signed in). Johnstone Model to Part Search: MXZ-5D36NL = No Results; it lists older MXZ-5B/5C/SM36 models but not this 2025 R454B unit</t>
  </si>
  <si>
    <t>https://www.remichel.com/WebServices/Catalog/BaseProduct/Search?_FieldName=&amp;_FieldValue=100297132</t>
  </si>
  <si>
    <t>Number from Mitsubishi parts catalog OBB949A for MXZ-5D36NL-U1 (found by web search of the unit service manual). rung1: U01B10451 -&gt; no products matching (R.E. Michel, signed in)</t>
  </si>
  <si>
    <t>Number from Mitsubishi parts catalog OBB949A for MXZ-5D36NL-U1 (found by web search of the unit service manual). rung1: U01B10451 -&gt; No results found (Grainger, signed out). Description searches (mitsubishi thermistor / condenser fan motor) returned only generic HVAC categories</t>
  </si>
  <si>
    <t>Number from Mitsubishi parts catalog OBB949A for MXZ-5D36NL-U1. rung1: U01B14451 -&gt; We could not find any matches (Parts Town). Only near-numbers shown: Mitsubishi U01A10451 INVERTER BOARD (third-party seller) = a different part, rejected</t>
  </si>
  <si>
    <t>Number from Mitsubishi parts catalog OBB949A for MXZ-5D36NL-U1. rung1: U01B14451 -&gt; No products matched (SupplyHouse search)</t>
  </si>
  <si>
    <t>call for availability (New $940.18). Ship-only</t>
  </si>
  <si>
    <t>Number from Mitsubishi parts catalog OBB949A for MXZ-5D36NL-U1 (found by web search of the unit service manual). rung1: U01B14451 -&gt; product page. Description OUTDOOR POWER P.C. BOARD</t>
  </si>
  <si>
    <t>PL16X20X2</t>
  </si>
  <si>
    <t>Number from Mitsubishi parts catalog OBB949A for MXZ-5D36NL-U1 (found by web search of the unit service manual). rung1: U01B14451 -&gt; No results (Ferguson, signed in). Search of model MXZ-5D36NL showed 1 Mitsubishi equipment product, no parts</t>
  </si>
  <si>
    <t>Number from Mitsubishi parts catalog OBB949A for MXZ-5D36NL-U1 (found by web search of the unit service manual). rung1: U01B14451 -&gt; no results (Johnstone, signed in). Johnstone Model to Part Search: MXZ-5D36NL = No Results; it lists older MXZ-5B/5C/SM36 models but not this 2025 R454B unit</t>
  </si>
  <si>
    <t>Product Is Temporarily Unavailable for Purchase</t>
  </si>
  <si>
    <t>Number from Mitsubishi parts catalog OBB949A for MXZ-5D36NL-U1 (found by web search of the unit service manual). rung1: U01B14451 -&gt; no products matching (R.E. Michel, signed in)</t>
  </si>
  <si>
    <t>https://www.grainger.com/product/LOCHINVAR-Pilot-Ignitor-Assembly-Kit-419JT9?searchQuery=100297132&amp;searchBar=true&amp;tier=Tier+6&amp;s_e=false&amp;s_c=solr8</t>
  </si>
  <si>
    <t>Number from Mitsubishi parts catalog OBB949A for MXZ-5D36NL-U1 (found by web search of the unit service manual). rung1: U01B14451 -&gt; No results found (Grainger, signed out). Description searches (mitsubishi thermistor / condenser fan motor) returned only generic HVAC categories</t>
  </si>
  <si>
    <t>Number from Mitsubishi parts catalog OBB949A for MXZ-5D36NL-U1. rung1: U01A05301 -&gt; We could not find any matches (Parts Town). Only near-numbers shown: Mitsubishi U01A01307 Thermistor/Sensor Assembly, Indoor Coil = a different part, rejected</t>
  </si>
  <si>
    <t>Number from Mitsubishi parts catalog OBB949A for MXZ-5D36NL-U1. rung1: U01A05301 -&gt; No products matched (SupplyHouse search)</t>
  </si>
  <si>
    <t>call for availability (New $441.00). Ship-only</t>
  </si>
  <si>
    <t>Number from Mitsubishi parts catalog OBB949A for MXZ-5D36NL-U1 (found by web search of the unit service manual). rung1: U01A05301 -&gt; product page. Description FAN MOTOR</t>
  </si>
  <si>
    <t>Number from Mitsubishi parts catalog OBB949A for MXZ-5D36NL-U1 (found by web search of the unit service manual). rung1: U01A05301 -&gt; No results (Ferguson, signed in). Search of model MXZ-5D36NL showed 1 Mitsubishi equipment product, no parts</t>
  </si>
  <si>
    <t>Number from Mitsubishi parts catalog OBB949A for MXZ-5D36NL-U1 (found by web search of the unit service manual). rung1: U01A05301 -&gt; no results (Johnstone, signed in). Johnstone Model to Part Search: MXZ-5D36NL = No Results; it lists older MXZ-5B/5C/SM36 models but not this 2025 R454B unit</t>
  </si>
  <si>
    <t>Number from Mitsubishi parts catalog OBB949A for MXZ-5D36NL-U1 (found by web search of the unit service manual). rung1: U01A05301 -&gt; no products matching (R.E. Michel, signed in)</t>
  </si>
  <si>
    <t>BBX51</t>
  </si>
  <si>
    <t>Number from Mitsubishi parts catalog OBB949A for MXZ-5D36NL-U1 (found by web search of the unit service manual). rung1: U01A05301 -&gt; No results found (Grainger, signed out). Description searches (mitsubishi thermistor / condenser fan motor) returned only generic HVAC categories</t>
  </si>
  <si>
    <t>Number from Mitsubishi parts catalog OBB949A for MXZ-5D36NL-U1. rung1: U01A07337 -&gt; We could not find any matches (Parts Town). Only near-numbers shown: Mitsubishi U01A01307 Thermistor/Sensor Assembly, Indoor Coil = a different part, rejected</t>
  </si>
  <si>
    <t>Number from Mitsubishi parts catalog OBB949A for MXZ-5D36NL-U1. rung1: U01A07337 -&gt; No products matched (SupplyHouse search)</t>
  </si>
  <si>
    <t>call for availability (New $130.56). Ship-only</t>
  </si>
  <si>
    <t>Yes but 0 in stock</t>
  </si>
  <si>
    <t>Number from Mitsubishi parts catalog OBB949A for MXZ-5D36NL-U1 (found by web search of the unit service manual). rung1: U01A07337 -&gt; product page. Description REACTOR (its category label says temperature transmitter; ignore)</t>
  </si>
  <si>
    <t>Number from Mitsubishi parts catalog OBB949A for MXZ-5D36NL-U1 (found by web search of the unit service manual). rung1: U01A07337 -&gt; No results (Ferguson, signed in). Search of model MXZ-5D36NL showed 1 Mitsubishi equipment product, no parts</t>
  </si>
  <si>
    <t>Number from Mitsubishi parts catalog OBB949A for MXZ-5D36NL-U1 (found by web search of the unit service manual). rung1: U01A07337 -&gt; no results (Johnstone, signed in). Johnstone Model to Part Search: MXZ-5D36NL = No Results; it lists older MXZ-5B/5C/SM36 models but not this 2025 R454B unit</t>
  </si>
  <si>
    <t>Number from Mitsubishi parts catalog OBB949A for MXZ-5D36NL-U1 (found by web search of the unit service manual). rung1: U01A07337 -&gt; no products matching (R.E. Michel, signed in)</t>
  </si>
  <si>
    <t>Number from Mitsubishi parts catalog OBB949A for MXZ-5D36NL-U1 (found by web search of the unit service manual). rung1: U01A07337 -&gt; No results found (Grainger, signed out). Description searches (mitsubishi thermistor / condenser fan motor) returned only generic HVAC categories</t>
  </si>
  <si>
    <t>BB61</t>
  </si>
  <si>
    <t>https://www.ferguson.com/product/lochinvar-flame-sensor-with-gasket-screws-l100330200/9334947.html</t>
  </si>
  <si>
    <t>Number from Mitsubishi parts catalog OBB949A for MXZ-5D36NL-U1. rung1: U01005200 / U01A10308 / U01003200 -&gt; We could not find any matches (Parts Town). Only near-numbers shown: Mitsubishi U41005280 CONTROL BOARD; U01A01307 thermistor, indoor coil = a different part, rejected</t>
  </si>
  <si>
    <t>Number from Mitsubishi parts catalog OBB949A for MXZ-5D36NL-U1. rung1: U01005200 / U01A10308 / U01003200 -&gt; No products matched (SupplyHouse search)</t>
  </si>
  <si>
    <t>call for availability (New $61.20). Ship-only. Ambient thermistor U01A10308 THERMISTOR AMB also found: $40.80 call for availability</t>
  </si>
  <si>
    <t>Number from Mitsubishi parts catalog OBB949A for MXZ-5D36NL-U1 (found by web search of the unit service manual). rung1: U01005200 -&gt; product page, description THERMISTOR DDH (= the thermistor set). U01003200 (fin) gave a results page, not read</t>
  </si>
  <si>
    <t>Number from Mitsubishi parts catalog OBB949A for MXZ-5D36NL-U1 (found by web search of the unit service manual). rung1: U01005200 / U01A10308 / U01003200 -&gt; No results (Ferguson, signed in). Search of model MXZ-5D36NL showed 1 Mitsubishi equipment product, no parts</t>
  </si>
  <si>
    <t>Number from Mitsubishi parts catalog OBB949A for MXZ-5D36NL-U1 (found by web search of the unit service manual). rung1: U01005200 / U01A10308 / U01003200 -&gt; no results (Johnstone, signed in). Johnstone Model to Part Search: MXZ-5D36NL = No Results; it lists older MXZ-5B/5C/SM36 models but not this 2025 R454B unit</t>
  </si>
  <si>
    <t>Number from Mitsubishi parts catalog OBB949A for MXZ-5D36NL-U1 (found by web search of the unit service manual). rung1: U01005200 / U01A10308 / U01003200 -&gt; no products matching (R.E. Michel, signed in)</t>
  </si>
  <si>
    <t>Number from Mitsubishi parts catalog OBB949A for MXZ-5D36NL-U1 (found by web search of the unit service manual). rung1: U01005200 / U01A10308 / U01003200 -&gt; No results found (Grainger, signed out). Description searches (mitsubishi thermistor / condenser fan motor) returned only generic HVAC categories</t>
  </si>
  <si>
    <t>Number from Mitsubishi parts catalog OBB949A for MXZ-5D36NL-U1. rung1: U01A09401 / U01A03493 -&gt; We could not find any matches (Parts Town). Only near-numbers shown: Mitsubishi U01A01301 BLOWER MOTOR; U01A01493 EXPANSION VALVE COIL (a different coil, not coil A U01A03493) = a different part, rejected</t>
  </si>
  <si>
    <t>R22 30LB DISPOS-CAN HCFC</t>
  </si>
  <si>
    <t>Number from Mitsubishi parts catalog OBB949A for MXZ-5D36NL-U1. rung1: U01A09401 / U01A03493 -&gt; No products matched (SupplyHouse search)</t>
  </si>
  <si>
    <t>https://www.johnstonesupply.com/search?searchPhrase=100330200</t>
  </si>
  <si>
    <t>call for availability (New $78.88). Ship-only. LEV coil U01A03493 EXPANSIONVALVECOIL also found: $68.00 call for availability</t>
  </si>
  <si>
    <t>Number from Mitsubishi parts catalog OBB949A for MXZ-5D36NL-U1 (found by web search of the unit service manual). rung1: U01A09401 -&gt; product page, description EXPANSION VALVE. Only valve + coil A checked of 5 valves + 5 coils</t>
  </si>
  <si>
    <t>Number from Mitsubishi parts catalog OBB949A for MXZ-5D36NL-U1 (found by web search of the unit service manual). rung1: U01A09401 / U01A03493 -&gt; No results (Ferguson, signed in). Search of model MXZ-5D36NL showed 1 Mitsubishi equipment product, no parts</t>
  </si>
  <si>
    <t>Number from Mitsubishi parts catalog OBB949A for MXZ-5D36NL-U1 (found by web search of the unit service manual). rung1: U01A09401 / U01A03493 -&gt; no results (Johnstone, signed in). Johnstone Model to Part Search: MXZ-5D36NL = No Results; it lists older MXZ-5B/5C/SM36 models but not this 2025 R454B unit</t>
  </si>
  <si>
    <t>Number from Mitsubishi parts catalog OBB949A for MXZ-5D36NL-U1 (found by web search of the unit service manual). rung1: U01A09401 / U01A03493 -&gt; no products matching (R.E. Michel, signed in)</t>
  </si>
  <si>
    <t>Number from Mitsubishi parts catalog OBB949A for MXZ-5D36NL-U1 (found by web search of the unit service manual). rung1: U01A09401 / U01A03493 -&gt; No results found (Grainger, signed out). Description searches (mitsubishi thermistor / condenser fan motor) returned only generic HVAC categories</t>
  </si>
  <si>
    <t>Test 3 - part names only</t>
  </si>
  <si>
    <t>https://www.remichel.com/WebServices/Catalog/BaseProduct/Search?_FieldName=&amp;_FieldValue=100330200</t>
  </si>
  <si>
    <t>https://www.grainger.com/search?searchQuery=100330200&amp;searchBar=true</t>
  </si>
  <si>
    <t>BGAS</t>
  </si>
  <si>
    <t>RT100S</t>
  </si>
  <si>
    <t>only carries schedule 40</t>
  </si>
  <si>
    <t>https://www.ferguson.com/search?q=1-1%2F2%E2%80%9D+Schedule+80+Black+Steel+Pipe%2C+10%E2%80%99+Lengths&amp;lang=en_US</t>
  </si>
  <si>
    <t>Part Name from Manufacturer's guide</t>
  </si>
  <si>
    <t>V-BELT SHEAVE CASTIRON 3/4</t>
  </si>
  <si>
    <t>https://www.johnstonesupply.com/search?searchPhrase=1-1%2F2%E2%80%9D%20Schedule%2080%20Black%20Steel%20Pipe%2C%2010%E2%80%99%20Lengths</t>
  </si>
  <si>
    <t>Grainger</t>
  </si>
  <si>
    <t>https://www.remichel.com/WebServices/Catalog/BaseProduct/Search?_FieldName=&amp;_FieldValue=1-1%2F2%E2%80%9D%20Schedule%2080%20Black%20Steel%20Pipe%2C%2010%E2%80%99%20Lengths</t>
  </si>
  <si>
    <t>Scroll compressor, 15 ton, 460V/60Hz/3-phase, braze (Trane CSHA-150K family; Trane list COM09751)</t>
  </si>
  <si>
    <t>exact COM09751 (Test 2). Name search not run: OEM 15-ton compressor has no generic</t>
  </si>
  <si>
    <t>name: carried from Test 2</t>
  </si>
  <si>
    <t>exact (Test 2)</t>
  </si>
  <si>
    <t>name search not run (OEM compressor)</t>
  </si>
  <si>
    <t>Temporarily unavailable for at least 30 days. Consider an alternate product</t>
  </si>
  <si>
    <t>https://www.grainger.com/product/Pipe-304-Stainless-Steel-4TPL9</t>
  </si>
  <si>
    <t>exact (Test 2); name "scroll compressor 15 ton 460V" -&gt; Oops</t>
  </si>
  <si>
    <t>exact stands</t>
  </si>
  <si>
    <t>name "scroll compressor 15 ton 460V 3 phase" -&gt; 957 fuzzy, residential Service First scrolls (1.67 ton 230V) = wrong class; OEM-only</t>
  </si>
  <si>
    <t>name "LG ARUM216 compressor"/"compressor" -&gt; LG 3-ton residential scrolls only; OEM-only</t>
  </si>
  <si>
    <t>name "COMPRESSOR 15 TON" not run; strict search; OEM-only</t>
  </si>
  <si>
    <t>name -&gt; category "Replacement Refrigeration Compressors" (rows not readable); OEM-only</t>
  </si>
  <si>
    <t>none in stock</t>
  </si>
  <si>
    <t>Liquid line filter drier, 7/8 in ODF sweat, 30 cu in (Trane DHY01481 = 307S type)</t>
  </si>
  <si>
    <t>exact DHY01481 (Test 2): In Stock qty 8 ships today; name "307S" also lists EK-307S qty 2</t>
  </si>
  <si>
    <t>name search "307S" -&gt; Trane DHY01481 + EK-307S (same spec)</t>
  </si>
  <si>
    <t>https://www.ferguson.com/search?q=3%2F4%E2%80%9D+Schedule+80+Black+Steel+Pipe%2C+10%E2%80%99+Lengths&amp;lang=en_US</t>
  </si>
  <si>
    <t>appears to not have this?</t>
  </si>
  <si>
    <t>https://www.johnstonesupply.com/search?searchPhrase=3%2F4%E2%80%9D%20Schedule%2080%20Black%20Steel%20Pipe%2C%2010%E2%80%99%20Lengths</t>
  </si>
  <si>
    <t>https://www.remichel.com/WebServices/Catalog/BaseProduct/Search?_FieldName=&amp;_FieldValue=3%2F4%E2%80%9D%20Schedule%2080%20Black%20Steel%20Pipe%2C%2010%E2%80%99%20Lengths</t>
  </si>
  <si>
    <t xml:space="preserve">Available for pickup Mon. Oct 05 estimated after 2:30 PM.
</t>
  </si>
  <si>
    <t>https://www.grainger.com/product/Pipe-3-8-in-Nominal-Pipe-Size-1LMB8</t>
  </si>
  <si>
    <t>Yes - maybe at Grainger I think</t>
  </si>
  <si>
    <t>foot</t>
  </si>
  <si>
    <t>https://www.ferguson.com/product/2-in.-schedule-80-seamless-black-carbon-steel-pipe-dbspa106b801040k/4568082.html</t>
  </si>
  <si>
    <t>exact DHY01481 (Test 2); name "307S" -&gt; suction-line driers only (wrong type)</t>
  </si>
  <si>
    <t>name search: wrong type, exact stands</t>
  </si>
  <si>
    <t>ALT same family: PARKER 307S "7/8 SWT LIQUID LINE FILT DRYER" surplus as low as $42.00 (also Trane-labelled 307S $100.16); exact DHY01481 $34 (Test 2)</t>
  </si>
  <si>
    <t>name "307S"</t>
  </si>
  <si>
    <t>ALT exact-spec: Supco LLD307S 7/8 in female sweat liquid line drier $62.025, Pick Up 0 / 0 nearby, Shipping Available (Test 2 rung 2)</t>
  </si>
  <si>
    <t>name "liquid line filter drier 7/8 sweat"</t>
  </si>
  <si>
    <t>ALT exact-spec: Parker 307S B10-137 (7/8 ODF, 30 cu in) $73.30 Call for Availability (Test 2); Emerson EK-307S B12-277 also listed</t>
  </si>
  <si>
    <t>name "liquid line filter drier 7/8" (7 results)</t>
  </si>
  <si>
    <t>name "C-307-S" (session expired at the time), "drier 7/8" -&gt; Sporlan BI-FLO 7R862C 7/8 (bi-flow, wrong type) Arlington Not in stock (Test 2)</t>
  </si>
  <si>
    <t>https://www.johnstonesupply.com/search?searchPhrase=2%E2%80%9D%20SCHEDULE%2080%20BLACK%20STEEL%20PIPE</t>
  </si>
  <si>
    <t>ALT: Parker 7/8 in sweat steel-shell drier 20.5 ton 500 psi $83.90 (category table); Ranco 7/8 50-ton $53.07/$73.23; pickup not opened</t>
  </si>
  <si>
    <t>name "307S filter drier" (3 products)</t>
  </si>
  <si>
    <t>Relay (Trane list RLY00681 gives no ratings; no spec to search by)</t>
  </si>
  <si>
    <t>no spec to search by (Trane list gives only RELAY); "Trane relay RLY" not run at PT</t>
  </si>
  <si>
    <t>no spec to search by</t>
  </si>
  <si>
    <t>exact (Test 2); name "Trane relay RLY" -&gt; other Trane relays (time delay RLY 484 etc.), not the asked</t>
  </si>
  <si>
    <t>https://www.remichel.com/WebServices/Catalog/BaseProduct/Search?_FieldName=&amp;_FieldValue=2%E2%80%9D%20Schedule%2080%20Black%20Steel%20Pipe</t>
  </si>
  <si>
    <t>no spec to search by (RELAY)</t>
  </si>
  <si>
    <t>no spec</t>
  </si>
  <si>
    <t>Definite purpose contactor, 3-pole, 40 A, 120 V coil, lug terminals (Trane SFCTR3P40A120VLA2L)</t>
  </si>
  <si>
    <t xml:space="preserve">Available for pickup Fri. Oct 02 estimated after 9:00 AM.
</t>
  </si>
  <si>
    <t>https://www.grainger.com/product/Pipe-2-in-Nominal-Pipe-Size-1RJT4</t>
  </si>
  <si>
    <t>idk if Grainger is right. it says per 5 ft and has male NPT on each side "Pipe: 2 in Nominal Pipe Size, Male NPT x Male NPT, 5 ft Lg, Schedule 80, Black Grade A Steel"</t>
  </si>
  <si>
    <t>https://www.ferguson.com/search?q=3%2F4%E2%80%9D+Assorted+Schedule+80+Black+Threaded+Nipples&amp;lang=en_US</t>
  </si>
  <si>
    <t>exact (Test 2) In Stock 25; ALT by name: Nu-Vu 66-2013 contactor 120V 40A 3 pole qty 8 In Stock ships today, list $168.61</t>
  </si>
  <si>
    <t>name search "contactor 3 pole 40 amp 120V" -&gt; spec match found</t>
  </si>
  <si>
    <t>https://www.johnstonesupply.com/product-view?pID=R54-149</t>
  </si>
  <si>
    <t>exact (Test 2); ALT by name: Titan Max TMX340B2, White-Rodgers 90-171, Lennox 68653 3-pole 40A 120V (38 items; prices not opened)</t>
  </si>
  <si>
    <t>name search "contactor 3 pole 40 amp 120V coil" -&gt; spec matches</t>
  </si>
  <si>
    <t>exact (Test 2) Low Stock 1; name search -&gt; industrial IEC contactors only (wrong class)</t>
  </si>
  <si>
    <t>ALT exact-spec: Packard C340B 3-pole 40A 120V contactor $28.538, No Availability Pick Up 0 / 0 nearby, Shipping Call for Availability (Test 2 rung 2)</t>
  </si>
  <si>
    <t>name "contactor 3 pole 40 amp 120 volt coil"</t>
  </si>
  <si>
    <t>https://www.remichel.com/WebServices/Catalog/BaseProduct/Search?_FieldName=&amp;_FieldValue=3%2F4%E2%80%9D%20Assorted%20Schedule%2080%20Black%20Threaded%20Nipples</t>
  </si>
  <si>
    <t>ALT exact-spec: Titan Max TMX340B2 (40A, 3P, 120V coil) L47-781 $53.14 Call for Availability (Test 2)</t>
  </si>
  <si>
    <t>name "contactor 3 pole 40 amp 120 volt" (2 results)</t>
  </si>
  <si>
    <t>name "contactor 3 pole 40 amp 120" -&gt; none (Test 2)</t>
  </si>
  <si>
    <t>Grainger cross-ref ALT: Eaton C25DNF340A $190.03 pickup Tue Oct 6 (Test 2); name "definite purpose contactor 3 pole 40 amp 120V coil" -&gt; category (rows not readable)</t>
  </si>
  <si>
    <t>Test 2 stands</t>
  </si>
  <si>
    <t>https://www.grainger.com/category/pipe-hose-tube-fittings/pipe-pipe-fittings/standard-pipe-pipe-fittings/steel-iron-high-strength-pipe-pipe-fittings/steel-iron-pipe-pipe-nipples?sst=4&amp;tv_optin=true&amp;searchBar=true&amp;searchQuery=3%2F4%E2%80%9D+ASSORTED+SCHEDULE+80+BLACK+THREADED+NIPPLES&amp;s_e=false</t>
  </si>
  <si>
    <t>Fuse, Class T, 150 A, 600 V (Trane FUS00907)</t>
  </si>
  <si>
    <t>exact (Test 2) In Stock 2 ship only</t>
  </si>
  <si>
    <t>name search not run (Class T 150A 600V exact already found)</t>
  </si>
  <si>
    <t>exact (Test 2; SupplyHouse itself names FUS00907 = JLLS150)</t>
  </si>
  <si>
    <t>name search not re-run</t>
  </si>
  <si>
    <t>not re-run</t>
  </si>
  <si>
    <t>name "class T fuse 150 amp 600 volt" -&gt; 254 fuzzy, no Class T 150A (Test 2)</t>
  </si>
  <si>
    <t>Maybe - Grainger has a massive list of options but they were all measured in length so you could not tell the widge which in this case is 3/4"</t>
  </si>
  <si>
    <t>name "class T fuse 150 amp 600 volt" -&gt; 25,564 fuzzy, no Class T (Test 2)</t>
  </si>
  <si>
    <t>name "FUSE 150" and "class T fuse" -&gt; none</t>
  </si>
  <si>
    <t>ALT exact-spec: Littelfuse JLLS-150 Class T 150A $74.56 pickup Tue Oct 6; Mersen A6T150 $87.03; Bussmann JJS-150 $190.37 (Test 2)</t>
  </si>
  <si>
    <t>name "class T fuse 150 amp 600 volt"</t>
  </si>
  <si>
    <t>Refrigerant oil acid test kit (generic)</t>
  </si>
  <si>
    <t xml:space="preserve">Pick Up Available. 31 in Alexandria, VA </t>
  </si>
  <si>
    <t>https://www.ferguson.com/product/nibco-1%2F2-x-3%2F4-in.-cup-and-mip-x-hose-boiler-drain-valve-nqt74xd/2408200.html</t>
  </si>
  <si>
    <t>Test 2: no refrigerant acid kit found at Parts Town</t>
  </si>
  <si>
    <t>Test 2 result stands</t>
  </si>
  <si>
    <t>generic kit (Test 2)</t>
  </si>
  <si>
    <t>generic: Mainstream QT2000 acid test kit $9.608, Pick Up 0, Available Nearby (no count) (Test 2)</t>
  </si>
  <si>
    <t>name "acid test kit"</t>
  </si>
  <si>
    <t>generic kits listed: TKO, QT2000, 4320-W8, 4996-0, TA-1 (Test 2; price not opened)</t>
  </si>
  <si>
    <t>name "acid test kit" (5 results)</t>
  </si>
  <si>
    <t>generic: QwikCheck QT2000 REM# 4G9605 $7.49 Arlington VA Branch qty 2; Phase III 4320-W8 $22.99 Arlington qty 4 (Test 2) =&gt; ON SHELF</t>
  </si>
  <si>
    <t>name "acid test"</t>
  </si>
  <si>
    <t>generic kits: 21 products (Test 2; price not opened)</t>
  </si>
  <si>
    <t>https://www.johnstonesupply.com/search?searchPhrase=1-1%2F2%E2%80%9D%20NIBCO%20T-174A%20Brass%20Threaded%20Gate%20Valves</t>
  </si>
  <si>
    <t>Heat pump defrost control board for York/Coleman E1RD036 split heat pump (guide sibling S46: S1-33101975102; Johnstone lists universal White-Rodgers 47D01U-843)</t>
  </si>
  <si>
    <t>ALT universal: Lennox Y7764 (W-R 47D01U-843) Quantity Available 0, price blank. Exact York board $198.49 In Stock 9 (round 2)</t>
  </si>
  <si>
    <t>name search "47D01U-843" -&gt; product page, qty 0</t>
  </si>
  <si>
    <t>ALT universal: ICM-UDEFROST Universal Defrost Control Board $85.54, Backorder, Get it Thu Nov 5 - Fri Dec 4 (Johnstone lists ICM-UDEFROST as universal for this model). Exact York board $184.97 In Stock 114 (round 2)</t>
  </si>
  <si>
    <t>name search "universal heat pump defrost control board"</t>
  </si>
  <si>
    <t>ALT universal: White-Rodgers 47D01U-843 IN STOCK! surplus as low as $106.00 / $110.42 / $207.00; exact York board $301.45 (round 2)</t>
  </si>
  <si>
    <t>name "47D01U-843"</t>
  </si>
  <si>
    <t>ALT universal: White-Rodgers Defrost Control Board 47D01U-843 $155.288, "Store Pick Up 3 Available, Available Nearby" =&gt; on shelf at Alexandria (universal board; needs field configuration). Exact York board: Call for Pricing (round 2)</t>
  </si>
  <si>
    <t>name "47D01U-843" (after "universal heat pump defrost control board" gave only a discontinued Resideo)</t>
  </si>
  <si>
    <t>ALT universal: White-Rodgers 47D01U-843 L47-933 "In Stock" $104.99 (no quantity shown) per Model-to-Part list; exact Source 1 board $196.72 1-2 days (round 2)</t>
  </si>
  <si>
    <t>Model to Part Search + name</t>
  </si>
  <si>
    <t>ALT universal: White-Rodgers 47D01U-843 REM# 3C515 $103.80 Arlington VA Branch 3 =&gt; ON SHELF (universal; needs configuration). Exact Source One board $174.38 Arlington Not in stock (round 2)</t>
  </si>
  <si>
    <t>name "DEFROST BOARD"</t>
  </si>
  <si>
    <t>name "47D01U-843" -&gt; results page not readable (JS); unmeasured</t>
  </si>
  <si>
    <t>https://www.remichel.com/WebServices/Catalog/BaseProduct/Search?_FieldName=&amp;_FieldValue=1-1%2F2%E2%80%9D%20NIBCO%20T-174A%20Brass%20Threaded%20Gate%20Valves</t>
  </si>
  <si>
    <t>Run capacitor, 5 uF, 370 V, oval (York S1-02420043700 per Johnstone model list / Parts Town)</t>
  </si>
  <si>
    <t>exact S1-02420043700 (round 2) In Stock qty 7; name search "run capacitor 5 uF 370V" -&gt; 644k noisy results, 5 MFD not on page 1</t>
  </si>
  <si>
    <t>name search noisy; exact stands</t>
  </si>
  <si>
    <t>ALT exact-spec: Titan Pro TOCF5 5 MFD Oval Motor Run Capacitor (440/370V) $3.55, In Stock, Get 2,259 by Thu Oct 8, Total Available 5,372</t>
  </si>
  <si>
    <t>name search "run capacitor 5 MFD 370V oval"</t>
  </si>
  <si>
    <t>ALT spec match: NTE MRRC370V5 5 uF 370V round (not oval) surplus $14.00; exact York cap $15.29 (round 2)</t>
  </si>
  <si>
    <t>name "run capacitor 5 uF 370V" (33 results)</t>
  </si>
  <si>
    <t>ALT exact-spec: PROSELECT 5 mfd 440/370V Oval Run Capacitor PSIRC1O5A $2.229, "Store Pick Up 6 Available, Available Nearby" =&gt; ON SHELF; MARS M14029 5 mfd $6.016 pickup 4. Exact York cap: Unavailable (round 2)</t>
  </si>
  <si>
    <t>name "run capacitor 5 MFD 370V oval" (39 products)</t>
  </si>
  <si>
    <t>ALT exact-spec: Titan PRO TOCF5 G36-261 (5 mfd 440/370 oval) "In Stock" $2.72 per Model-to-Part list; TOC5 G21-930 (5 mfd 370V oval) also listed</t>
  </si>
  <si>
    <t>name "run capacitor 5 mfd 370v oval"</t>
  </si>
  <si>
    <t>ALT exact-spec: Cambridge Resources REM114 (203011) run capacitor 370/440V 5 MFD oval $1.86; Arlington VA Branch Not in stock!, Warehouse 0, Central Distribution 0, Company 3,271</t>
  </si>
  <si>
    <t>name "RUN CAPACITOR" (94 items)</t>
  </si>
  <si>
    <t>ALT exact-spec: Titan Pro TOCF5 oval 440/370V item 30D587 $4.07 "Expected to arrive Wed. Oct 07" (ship view)</t>
  </si>
  <si>
    <t>name "TOCF5" after category page</t>
  </si>
  <si>
    <t>https://www.grainger.com/category/plumbing/plumbing-valves/shut-off-valves/gate-valves/general-purpose-gate-valves/bronze-general-purpose-gate-valves?sst=4&amp;tv_optin=false&amp;searchBar=true&amp;searchQuery=1-1%2F2%E2%80%9D+NIBCO+T-174A+Brass+Threaded+Gate+Valves&amp;s_e=false</t>
  </si>
  <si>
    <t>Definite purpose contactor, 3-pole, 30 A, 24 V coil (per Johnstone model list: Packard C330A / Eaton C25DND330T)</t>
  </si>
  <si>
    <t>ALT spec match: Trane SFCTR3P30A24VLA2L contactor 24V coil 30A 3 pole, Quantity 105, In Stock ships today (exact York contactor not at PT)</t>
  </si>
  <si>
    <t>name search "3 pole 30 amp 24 volt contactor"</t>
  </si>
  <si>
    <t>ALT exact-spec: Titan Max TMX330A2 3 Pole DP Contactor 24V coil 30A $38.07 In Stock, Get 62 by Thu Oct 8 (Total 97); White-Rodgers 90-163 $41.40 In Stock 7</t>
  </si>
  <si>
    <t>name search "contactor 3 pole 30 amp 24V coil"</t>
  </si>
  <si>
    <t>exact York contactor (round 2) only 1 available; name search -&gt; IEC/safety contactors (wrong class)</t>
  </si>
  <si>
    <t>ALT exact-spec: Bryant TOTALINE 30A 24V Coil 3-Pole Contactor P282-0331A $29.202, No Availability Pick Up 0 / 0 nearby, Shipping Call for Availability</t>
  </si>
  <si>
    <t>name "contactor 3 pole 30 amp 24 volt coil" (1 product)</t>
  </si>
  <si>
    <t>ALT exact-spec: Titan Max TMX330A2 L47-777 (30A, 3P, 24V coil) $40.63 "Available in 1-2 Days"</t>
  </si>
  <si>
    <t>name "contactor 3 pole 30 amp 24 volt" (1 result)</t>
  </si>
  <si>
    <t>near miss: Rectorseal 3P 30A contactor only in 240V coil ($20.96, Arlington Not in stock); 24V coil not found by "CONTACTOR 3P 30A 24V" / "CONTACTOR 30 AMP 24"</t>
  </si>
  <si>
    <t>name search: coil voltage mismatch, not counted</t>
  </si>
  <si>
    <t>name "TMX330A2" -&gt; none; "C330A contactor" -&gt; DP contactor category (rows not readable); unmeasured</t>
  </si>
  <si>
    <t>Condenser fan motor, 1/4 HP, 460 V, 1-phase, 850 RPM, NEMA 48 frame (York S1-02427501000 / successor S1-02440892000)</t>
  </si>
  <si>
    <t>exact S1-02427501000 (Test 2) Obsolete; name search "condenser fan motor 1/4 hp 460v 850 rpm" -&gt; 138k noisy, page 1 = 1/10 HP and 1/3 HP 208/230 (rejected)</t>
  </si>
  <si>
    <t>name search: no spec match on page 1</t>
  </si>
  <si>
    <t>ALT exact-spec: Lennox 20U82 Condenser Fan Motor 1/4 Hp 460V-1Ph 48 Frame 850 Rpm $398.76, Backorder, Get it Thu Nov 5 - Fri Dec 4. Exact York: discontinued -&gt; successor (Test 2)</t>
  </si>
  <si>
    <t>name search "condenser fan motor 1/4 HP 460V 850 RPM"</t>
  </si>
  <si>
    <t>exact York (Test 2); name searches -&gt; Oops</t>
  </si>
  <si>
    <t>name "condenser fan motor 1/4 hp 460 volt 850 rpm" (1,345 fuzzy) and "460V condenser fan motor 1/4 hp" (3): US Motors 1/4 hp 1075 RPM 460V $179.911 = RPM mismatch REJECTED; 1/3 hp 825 RPM = HP mismatch REJECTED</t>
  </si>
  <si>
    <t>ALT with caveat: US Motors 1880 S81-135 (1/4 HP, 460V, 1ph, 825 RPM vs 850 asked, NEMA 48, 1/2 in shaft) $338.68 Call for Availability. Exact York: successor S1-02440892000 $279.64 1-2 days (Test 2)</t>
  </si>
  <si>
    <t>name "condenser fan motor 1/4 hp 460 volt"</t>
  </si>
  <si>
    <t>name "CONDENSER FAN MOTOR 1/4", "MOTOR 1/4 460" -&gt; none</t>
  </si>
  <si>
    <t>name "condenser fan motor 1/4 HP 460V 850 RPM 48 frame" -&gt; category, rows not readable; unmeasured</t>
  </si>
  <si>
    <t>idk if Grainger one is right honestly</t>
  </si>
  <si>
    <t>Condenser fan blade, 24 in, 3-blade, CW, 1/2 in bore (York S1-02625511000 / Lau 60806401)</t>
  </si>
  <si>
    <t>exact S1-02625511000 (Test 2) In Stock 12; name search "fan blade 24 inch CW 1/2 bore 3 blade" -&gt; results exist, not read</t>
  </si>
  <si>
    <t>Pick Up. Available Nearby 0 in Alexandria, VA Available in 25 stores nearby</t>
  </si>
  <si>
    <t>exact (Test 2) In Stock; name search -&gt; MARS 40057 24in 3-wing CW (26 deg), Carrier LA01RA329 3-blade (prices not opened)</t>
  </si>
  <si>
    <t>https://www.ferguson.com/product/proflo-2-in.-lead-free-brass-port-fnpt-gate-valve-pfxt300k/3880197.html</t>
  </si>
  <si>
    <t>ALT: Carrier LA-01RA-312 24 in 19 deg 3 blade CW 1/2 in bore Buy New $120; Fasco 3CR2426 3-blade CW 24 in surplus $71; exact York $178.19 (Test 2)</t>
  </si>
  <si>
    <t>name "fan blade 24 inch CW"</t>
  </si>
  <si>
    <t>ALT with caveat: Carrier 24 in fan blades (LA01RA324 24 deg $156.09, LA01RA225 18 deg $136.94) all Pick Up 0 / Call for Availability; pitch/bore of the York blade not stated -&gt; fit unconfirmed</t>
  </si>
  <si>
    <t>name "24 in condenser fan blade" (51 products)</t>
  </si>
  <si>
    <t>exact (round 2) 1-2 days; ALT by name: Goodman B1086762 W91-154 3-blade 24 in 30 deg CW 1/2 in bore (price not opened)</t>
  </si>
  <si>
    <t>name "fan blade 24 cw 1/2 bore"</t>
  </si>
  <si>
    <t>name "FAN BLADE 24" -&gt; none</t>
  </si>
  <si>
    <t>exact York blade (round 2) pickup on/before Mon Oct 12; name search not run</t>
  </si>
  <si>
    <t>Run capacitor, 370 V, oval; guide lists 5, 12.5 and 25 uF for D7CG048 with no mapping to the asked part (value must be confirmed on the unit)</t>
  </si>
  <si>
    <t>https://www.johnstonesupply.com/search?searchPhrase=2%E2%80%9D%20NIBCO%20T-174A%20Brass%20Threaded%20Gate%20Valve</t>
  </si>
  <si>
    <t>ALT: PT carries 370V oval run capacitors (Lennox 22W80 10 MFD qty 210, 22W79 7.5 MFD qty 112 ship today); the asked value (5/12.5/25 uF) is unconfirmed, price not opened</t>
  </si>
  <si>
    <t>name search "run capacitor 5 uF 370V"; value must be confirmed on the unit</t>
  </si>
  <si>
    <t>ALT: Titan Pro TOCF12.5 and TOCF... 370V ovals carried (272 items); value unconfirmed</t>
  </si>
  <si>
    <t>name search "run capacitor 5 MFD 370V oval" showed 5/7.5/10/12.5 MFD ovals in stock</t>
  </si>
  <si>
    <t>ALT: NTE 370V run caps 5/15, 5/55 etc.; value unconfirmed</t>
  </si>
  <si>
    <t>name search; value must be confirmed</t>
  </si>
  <si>
    <t>ALT with caveat (value unconfirmed): PROSELECT 12.5 mfd 440/370V oval $3.412 "Store Pick Up 14 Available"; MARS 12.5 mfd $9.186 Pick Up 16; 5 mfd pickup 6 (line 8); 25 mfd carried =&gt; whichever value, on shelf</t>
  </si>
  <si>
    <t>name "12.5 mfd 370V oval run capacitor"</t>
  </si>
  <si>
    <t>ALT with caveat (value unconfirmed): Titan PRO 370V ovals 5/7.5 mfd listed; 12.5/25 not opened</t>
  </si>
  <si>
    <t>name search</t>
  </si>
  <si>
    <t>ALT: Cambridge REM 370/440V ovals in the RUN CAPACITOR list (5 MFD Arlington 0; 7.5 MFD listed; 35+5 dual Arlington 5); 12.5/25 not read</t>
  </si>
  <si>
    <t>name "RUN CAPACITOR"</t>
  </si>
  <si>
    <t>not searched (value unconfirmed)</t>
  </si>
  <si>
    <t>https://www.remichel.com/WebServices/Catalog/BaseProduct/Search?_FieldName=&amp;_FieldValue=2%E2%80%9D%20NIBCO%20T-174A%20Brass%20Threaded%20Gate%20Valve</t>
  </si>
  <si>
    <t>Modulating gas controller MODGAS-X (AAON ASM01668); OEM controller, no generic equivalent expected</t>
  </si>
  <si>
    <t>exact ASM01668 (Test 2); name "MODGAS-X" -&gt; AAON MODGAS X model page</t>
  </si>
  <si>
    <t>exact stands; OEM-only</t>
  </si>
  <si>
    <t>name "MODGAS-X" -&gt; 2 items (not read); exact stands</t>
  </si>
  <si>
    <t>OEM-only; name "MODGAS-X" -&gt; Oops</t>
  </si>
  <si>
    <t>name "MODGAS-X modulating gas controller" -&gt; 8,279 fuzzy (Resideo fan/limit, furnace boards), none; OEM-only</t>
  </si>
  <si>
    <t>name "MODGAS" -&gt; none; OEM-only</t>
  </si>
  <si>
    <t>name "MODGAS" -&gt; none</t>
  </si>
  <si>
    <t>exact (Test 2) pickup Wed Oct 7</t>
  </si>
  <si>
    <t>OEM-only</t>
  </si>
  <si>
    <t>https://www.grainger.com/product/NIBCO-Gate-Valve-2-in-6P969</t>
  </si>
  <si>
    <t>Inverter scroll compressor for LG ARUM216 VRF (TBZ37957301 / TBZ37416201); OEM only, no generic equivalent expected</t>
  </si>
  <si>
    <t>name "LG ARUM216 compressor" -&gt; LG brand page, no ARUM216 compressor; OEM-only (Test 2: not carried)</t>
  </si>
  <si>
    <t>name "LG ARUM216 compressor" -&gt; 622 fuzzy items; Test 2: lists ARUM216BTE5 unit, exact compressor not carried; OEM-only</t>
  </si>
  <si>
    <t>Test 2: number collision rejected; name search not run (OEM-only)</t>
  </si>
  <si>
    <t>name "LG ARUM216 compressor" -&gt; 957 fuzzy Service First scrolls, none; OEM-only</t>
  </si>
  <si>
    <t>OEM-only (wrong LG units returned)</t>
  </si>
  <si>
    <t>name "LG COMPRESSOR" -&gt; none</t>
  </si>
  <si>
    <t>name -&gt; compressor category; OEM-only</t>
  </si>
  <si>
    <t>uncertain of Ferguson's is a direct match</t>
  </si>
  <si>
    <t>3-way (service) valve for LG ARUM216 VRF (MJX65110301); OEM only</t>
  </si>
  <si>
    <t>Test 2: VALVE,SERVICE third-party listing unverified; name search "LG 3 way valve" not run at PT; OEM-only</t>
  </si>
  <si>
    <t>Test 2: search-empty; OEM-only</t>
  </si>
  <si>
    <t>https://www.ferguson.com/search?q=2-1%2F2%E2%80%9D+NIBCO+Gate+Valve%2C+Class+300&amp;lang=en_US</t>
  </si>
  <si>
    <t>name "LG 3 way valve ARUM" -&gt; Oops; OEM-only</t>
  </si>
  <si>
    <t>not searched by name (no spec; OEM-only)</t>
  </si>
  <si>
    <t>not searched (OEM-only)</t>
  </si>
  <si>
    <t>https://www.johnstonesupply.com/search?searchPhrase=2-1%2F2%E2%80%9D%20NIBCO%20Gate%20Valve%2C%20Class%20300</t>
  </si>
  <si>
    <t>Annual maintenance kit for Lochinvar Armor AWH/KBX 400-500 boiler (100345163)</t>
  </si>
  <si>
    <t>exact 100345163 (Test 2); name "Lochinvar AWH500 maintenance kit" -&gt; Lochinvar brand page</t>
  </si>
  <si>
    <t>name "Lochinvar AWH maintenance kit" -&gt; 795 fuzzy; exact stands</t>
  </si>
  <si>
    <t>exact (Test 2) pickup 0 / call; name "Lochinvar AWH maintenance kit" -&gt; 522 fuzzy junk</t>
  </si>
  <si>
    <t>not searched by name (OEM kit); Test 2 none</t>
  </si>
  <si>
    <t>name "LOCHINVAR" -&gt; only a universal flame sensor; no kit</t>
  </si>
  <si>
    <t>Test 2 none</t>
  </si>
  <si>
    <t>Hot surface igniter with gasket for Lochinvar Armor AWH500 (100297132)</t>
  </si>
  <si>
    <t>exact 100297132 (Test 2) obsolete, successor named</t>
  </si>
  <si>
    <t>exact discontinued w/ replacement (Test 2)</t>
  </si>
  <si>
    <t>exact (Test 2); name "Lochinvar igniter" -&gt; 25 results incl. successor 100368946 IN STOCK</t>
  </si>
  <si>
    <t>name search confirms</t>
  </si>
  <si>
    <t>exact (Test 2) pickup 0 / call; name "Lochinvar igniter" -&gt; 100165937 "Hot Surface Igniter For All Lochinvar Water Heaters" $75.27 pickup 0 (different number; fit unconfirmed), 100167908 24V $502.77 pickup 0</t>
  </si>
  <si>
    <t>https://www.remichel.com/WebServices/Catalog/BaseProduct/Search?_FieldName=&amp;_FieldValue=2-1%2F2%E2%80%9D%20NIBCO%20Gate%20Valve%2C%20Class%20300</t>
  </si>
  <si>
    <t>name search: caveat alternative, pickup 0</t>
  </si>
  <si>
    <t>name "lochinvar igniter" -&gt; other brands only (Test 2)</t>
  </si>
  <si>
    <t>name "LOCHINVAR" -&gt; no igniter</t>
  </si>
  <si>
    <t>exact (Test 2) pickup date unavailable; name "Lochinvar igniter gasket" -&gt; results (not readable)</t>
  </si>
  <si>
    <t>Flame sensor rod with gasket for Lochinvar Armor AWH500 (100330200)</t>
  </si>
  <si>
    <t>exact 100330200 (Test 2) ships 10-12 days</t>
  </si>
  <si>
    <t>exact (Test 2) In Stock 37</t>
  </si>
  <si>
    <t>exact (Test 2); name "Lochinvar flame sensor" -&gt; Knight-boiler sensors (other models)</t>
  </si>
  <si>
    <t>exact (Test 2) pickup 0 / call</t>
  </si>
  <si>
    <t>https://www.grainger.com/category/plumbing/plumbing-valves/shut-off-valves/gate-valves/general-purpose-gate-valves/cast-iron-ductile-iron-general-purpose-gate-valves?sst=4&amp;tv_optin=false&amp;searchBar=true&amp;searchQuery=2-1%2F2%E2%80%9D+NIBCO+GATE+VALVE%2C+CLASS+300%27&amp;s_e=false</t>
  </si>
  <si>
    <t>name "Lochinvar flame sensor" -&gt; Goodman / White-Rodgers 790-751A1 (Carrier type) sensors, no Lochinvar/universal match confirmed</t>
  </si>
  <si>
    <t>ALT with caveat: White-Rodgers 790-843A1 UNIVERSAL FLAME SENSOR (bend/cut to match; lists A.O. Smith among brands; Lochinvar AWH not named) $19.51, Arlington VA Branch 3 =&gt; on shelf IF accepted as a fit</t>
  </si>
  <si>
    <t>name "LOCHINVAR"</t>
  </si>
  <si>
    <t>name "Lochinvar flame sensor" -&gt; water-heater pilot assemblies category (wrong)</t>
  </si>
  <si>
    <t>Outdoor control PC board for Mitsubishi MXZ-5D36NL (catalog U01B10451); OEM only</t>
  </si>
  <si>
    <t>name "Mitsubishi MXZ outdoor control board" -&gt; 451 Mitsubishi boards for OTHER models (T7WE98310 etc.), none for MXZ-5D36NL; exact U01B10451 not carried (round 1)</t>
  </si>
  <si>
    <t>name "Mitsubishi MXZ outdoor control board" -&gt; 698 fuzzy, none for this unit; exact not carried (round 1)</t>
  </si>
  <si>
    <t>exact (round 1) In Stock ships Oct 12</t>
  </si>
  <si>
    <t>name "Mitsubishi outdoor control board MXZ" -&gt; 781 fuzzy (Trane/Rheem furnace boards), none; OEM-only</t>
  </si>
  <si>
    <t>name "Mitsubishi MXZ" -&gt; no results; Model to Part Search does not know MXZ-5D36NL (round 1)</t>
  </si>
  <si>
    <t>name "MITSUBISHI" -&gt; no products at all</t>
  </si>
  <si>
    <t>name -&gt; HVACR controls category; exact not carried (round 1)</t>
  </si>
  <si>
    <t>Grainger had "NIBCO Gate Valve: 2 1/2 in Nominal Valve Size, Ductile Iron, Non-Rising, Class 125 Flange, Wheel" but no class 300</t>
  </si>
  <si>
    <t>Outdoor power (inverter) PC board for Mitsubishi MXZ-5D36NL (U01B14451); OEM only</t>
  </si>
  <si>
    <t>same brand page; no power board for MXZ-5D36NL</t>
  </si>
  <si>
    <t>exact (round 1) call for availability</t>
  </si>
  <si>
    <t>no Mitsubishi at Michel</t>
  </si>
  <si>
    <t>Outdoor fan motor for Mitsubishi MXZ-5D36NL (U01A05301; catalog gives no ratings)</t>
  </si>
  <si>
    <t>name "Mitsubishi MXZ outdoor fan motor" -&gt; Mitsubishi fan motors for other models (R01E80221, E22E79301) = wrong unit, rejected</t>
  </si>
  <si>
    <t>exact (round 1); name "Mitsubishi MXZ fan motor" -&gt; Oops</t>
  </si>
  <si>
    <t>name "Mitsubishi outdoor fan motor MXZ" -&gt; generic ECM motors only</t>
  </si>
  <si>
    <t>Reactor (inverter choke) for Mitsubishi MXZ-5D36NL (U01A07337)</t>
  </si>
  <si>
    <t>OEM-only; no generic reactor</t>
  </si>
  <si>
    <t>exact (round 1)</t>
  </si>
  <si>
    <t>Thermistors for Mitsubishi MXZ-5D36NL: defrost/discharge/heat-exchanger set, ambient, fin (U01005200 / U01A10308 / U01003200)</t>
  </si>
  <si>
    <t>OEM-only; Mitsubishi thermistors for other models only</t>
  </si>
  <si>
    <t>Linear expansion valve and LEV coil for Mitsubishi MXZ-5D36NL (U01A09401 / U01A03493)</t>
  </si>
  <si>
    <t>OEM-only; no LEV coil for MXZ-5D36NL</t>
  </si>
  <si>
    <t>name "Mitsubishi MXZ LEV coil" -&gt; 13,463 fuzzy (tubing, coils), nothing for this unit</t>
  </si>
  <si>
    <t>Run 4 - Mark Crockett parts</t>
  </si>
  <si>
    <t>https://www.partstown.com/search?q=SSBD81199NE</t>
  </si>
  <si>
    <t>https://www.supplyhouse.com/sh/control/search/~SEARCH_STRING=SSBD81199NE</t>
  </si>
  <si>
    <t>https://www.radwell.com/en-US/Search/?q=SSBD81199NE</t>
  </si>
  <si>
    <t>Store Pick Up 0 Available, Available Nearby (link), Shipping Available</t>
  </si>
  <si>
    <t>ferguson.com item #2367198 (/product/state-sandblaster-81-gal.-199-mbh-commercial-natural-gas-water-heater-ssbd81199ne/2367198.html)</t>
  </si>
  <si>
    <t>Search returned: 'Search was unable to find any results'</t>
  </si>
  <si>
    <t>https://www.johnstonesupply.com/search?searchPhrase=SSBD81199NE</t>
  </si>
  <si>
    <t>Site said: There are no products matching 'SSBD81199NE'</t>
  </si>
  <si>
    <t>https://www.remichel.com/WebServices/Catalog/BaseProduct/Search?_FieldName=&amp;_FieldValue=SSBD81199NE</t>
  </si>
  <si>
    <t>https://www.grainger.com/search?searchQuery=SSBD81199NE&amp;searchBar=true</t>
  </si>
  <si>
    <t>Sorry, no results for 'SSBD81199NE'.</t>
  </si>
  <si>
    <t>https://www.tranesupply.com/global-search/SSBD81199NE</t>
  </si>
  <si>
    <t>From Ferguson directly</t>
  </si>
  <si>
    <t>Ferguson: State SandBlaster 81 gal 199 MBH commercial natural gas water heater. Match is on Ferguson's own listing 'Part #' equal to the asked number; the manufacturer 'Mfr. Part #' on the page is different (100119121). 0 at Alexandria bran</t>
  </si>
  <si>
    <t>Each</t>
  </si>
  <si>
    <t>No price or stock shown; page flagged OBSOLETE</t>
  </si>
  <si>
    <t>https://www.partstown.com/p/sloan/slns3080053</t>
  </si>
  <si>
    <t>This product has been discontinued (Discontinued January 17, 2025); no price or Add to Cart shown</t>
  </si>
  <si>
    <t>https://www.supplyhouse.com/Sloan-S3080053-Comp-flush-Valve-111xl-1-6-GPF-S3080053</t>
  </si>
  <si>
    <t>ea (each)</t>
  </si>
  <si>
    <t>Order Now, call for availability' (no stock count); 'New Product' Radwell SKU 257839712</t>
  </si>
  <si>
    <t>https://www.radwell.com/Buy/SLOAN%20VALVE%20CO/SLOAN%20VALVE%20CO/S3080053</t>
  </si>
  <si>
    <t>Store Pick Up 7 Available, Available Nearby (link), Shipping Available</t>
  </si>
  <si>
    <t>ferguson.com item #437430 (search ?q=S3080053)</t>
  </si>
  <si>
    <t>https://www.johnstonesupply.com/search?searchPhrase=S3080053</t>
  </si>
  <si>
    <t>Site said: There are no products matching 'S3080053'</t>
  </si>
  <si>
    <t>https://www.remichel.com/WebServices/Catalog/BaseProduct/Search?_FieldName=&amp;_FieldValue=S3080053</t>
  </si>
  <si>
    <t>https://www.grainger.com/search?searchQuery=S3080053&amp;searchBar=true</t>
  </si>
  <si>
    <t>Sorry, no results for 'S3080053'.</t>
  </si>
  <si>
    <t>https://www.tranesupply.com/global-search/S3080053</t>
  </si>
  <si>
    <t>Parts Town: Exact Mfr # S3080053 (Sloan, 'Flush Valve, Polished Chrome, 1.6 gpf', Parts Town # SLNS3080053). Page says 'has been replaced by SLN3080053' (previous part # SLN111XL). Not purchasable as shown. Replacement SLN3080053 not opened. | SupplyHouse.com: Exact SKU S3080053 page exists: Sloan Comp.flush Valve 111xl 1.6 GPF. Discontinued, no price. Search auto-jumped straight to the product page. | Radwell: Exact S3080053, SLOAN VALVE CO; Radwell categorizes it as Solenoid Valve (Parts Town calls it a flush valve; same mfr number). Other conditions (request-a-quote prices): Refurbished $125.00, Never Used Radwell Packaging $138.00, N | Ferguson: Sloan Regal 1.6 gpf exposed manual WC flushometer. Match is on Ferguson's own listing 'Part #' equal to the asked number; the manufacturer 'Mfr. Part #' on the page is different (3080053). Price displayed with a small superscript  | Grainger: No item with this number. Search redirected to Manual Flush Valves category listing 2 Sloan 1.6 gpf exposed-top-spud valves (Regal, 11-1/2 in rough</t>
  </si>
  <si>
    <t>https://www.partstown.com/search?q=W490057</t>
  </si>
  <si>
    <t>https://www.supplyhouse.com/sh/control/search/~SEARCH_STRING=W490057</t>
  </si>
  <si>
    <t>https://www.radwell.com/en-US/Search/?q=W490057</t>
  </si>
  <si>
    <t>ferguson.com item #4834104 (search ?q=W490057)</t>
  </si>
  <si>
    <t>https://www.johnstonesupply.com/search?searchPhrase=W490057</t>
  </si>
  <si>
    <t>Site said: There are no products matching 'W490057'</t>
  </si>
  <si>
    <t>https://www.remichel.com/WebServices/Catalog/BaseProduct/Search?_FieldName=&amp;_FieldValue=W490057</t>
  </si>
  <si>
    <t>https://www.grainger.com/search?searchQuery=W490057&amp;searchBar=true</t>
  </si>
  <si>
    <t>Sorry, no results for 'W490057'.</t>
  </si>
  <si>
    <t>https://www.tranesupply.com/global-search/W490057</t>
  </si>
  <si>
    <t>Ferguson: WD-40 12 oz Smart Straw. Match is on Ferguson's own listing 'Part #' equal to the asked number; the manufacturer 'Mfr. Part #' on the page is different (490057). Price displayed with a small superscript digit after the cents (e.g. | Grainger: Grainger's own words: 'Grainger does not carry the product you searched for... potential alternate for W490057'. Alternate shown: WD-40 12 oz aeros</t>
  </si>
  <si>
    <t>https://www.partstown.com/search?q=DPC1500</t>
  </si>
  <si>
    <t>https://www.supplyhouse.com/sh/control/search/~SEARCH_STRING=DPC1500</t>
  </si>
  <si>
    <t>https://www.radwell.com/en-US/Search/?q=DPC1500</t>
  </si>
  <si>
    <t>per 1 PACK</t>
  </si>
  <si>
    <t>Store Pick Up 1 Available, Available Nearby (link), Shipping Available</t>
  </si>
  <si>
    <t>ferguson.com item #4631240 (search ?q=DPC1500)</t>
  </si>
  <si>
    <t>https://www.johnstonesupply.com/search?searchPhrase=DPC1500</t>
  </si>
  <si>
    <t>Site said: There are no products matching 'DPC1500'</t>
  </si>
  <si>
    <t>https://www.remichel.com/WebServices/Catalog/BaseProduct/Search?_FieldName=&amp;_FieldValue=DPC1500</t>
  </si>
  <si>
    <t>https://www.grainger.com/search?searchQuery=DPC1500&amp;searchBar=true</t>
  </si>
  <si>
    <t>Sorry, no results for 'DPC1500'.</t>
  </si>
  <si>
    <t>https://www.tranesupply.com/global-search/DPC1500</t>
  </si>
  <si>
    <t>Ferguson: Duracell Procell AA alkaline, 24-count pack. Match is on Ferguson's own listing 'Part #' equal to the asked number; the manufacturer 'Mfr. Part #' on the page is different (4133352148). Pack of 24; only 1 pack at branch. | Grainger: Grainger's own words: does not carry the product searched for. Alternate: Procell AA alkaline 24 pk, item 5LE23, Mfr PC1500, $17.35 per pkg of 24,</t>
  </si>
  <si>
    <t>https://www.partstown.com/search?q=RCL1026312000</t>
  </si>
  <si>
    <t>https://www.supplyhouse.com/sh/control/search/~SEARCH_STRING=RCL1026312000</t>
  </si>
  <si>
    <t>https://www.radwell.com/en-US/Search/?q=RCL1026312000</t>
  </si>
  <si>
    <t>ferguson.com item #233634 (search ?q=RCL1026312000)</t>
  </si>
  <si>
    <t>https://www.johnstonesupply.com/search?searchPhrase=RCL1026312000</t>
  </si>
  <si>
    <t>Site said: There are no products matching 'RCL1026312000'</t>
  </si>
  <si>
    <t>https://www.remichel.com/WebServices/Catalog/BaseProduct/Search?_FieldName=&amp;_FieldValue=RCL1026312000</t>
  </si>
  <si>
    <t>https://www.grainger.com/search?searchQuery=RCL1026312000&amp;searchBar=true</t>
  </si>
  <si>
    <t>Sorry, no results for 'RCL1026312000'.</t>
  </si>
  <si>
    <t>https://www.tranesupply.com/global-search/RCL1026312000</t>
  </si>
  <si>
    <t>Ferguson: Romac Style CL1 2 x 12 in stainless repair clamp. Match is on Ferguson's own listing 'Part #' equal to the asked number; the manufacturer 'Mfr. Part #' on the page is different (171-026312000). Price displayed with a small supersc</t>
  </si>
  <si>
    <t>https://www.partstown.com/search?q=RRE180IP</t>
  </si>
  <si>
    <t>https://www.supplyhouse.com/sh/control/search/~SEARCH_STRING=RRE180IP</t>
  </si>
  <si>
    <t>https://www.radwell.com/en-US/Search/?q=RRE180IP</t>
  </si>
  <si>
    <t>ferguson.com item #9885610 (search ?q=RRE180IP)</t>
  </si>
  <si>
    <t>https://www.johnstonesupply.com/search?searchPhrase=RRE180IP</t>
  </si>
  <si>
    <t>Site said: There are no products matching 'RRE180IP'</t>
  </si>
  <si>
    <t>https://www.remichel.com/WebServices/Catalog/BaseProduct/Search?_FieldName=&amp;_FieldValue=RRE180IP</t>
  </si>
  <si>
    <t>https://www.grainger.com/search?searchQuery=RRE180IP&amp;searchBar=true</t>
  </si>
  <si>
    <t>Sorry, no results for 'RRE180IP'.</t>
  </si>
  <si>
    <t>https://www.tranesupply.com/global-search/RRE180IP</t>
  </si>
  <si>
    <t>SupplyHouse.com: Site said couldn't find RRE180IP; rewrote to 're180i' and showed 2 Rinnai RE180i 180,000 BTU tankless water heaters (Natural Gas / Propane), $1000-1500 range. Alternative candidates only; not the asked  | Ferguson: Rinnai RE Series 180 MBH indoor non-condensing propane tankless water heater. Match is on Ferguson's own listing 'Part #' equal to the asked number; the manufacturer 'Mfr. Part #' on the page is different (RE180IP). Price displaye</t>
  </si>
  <si>
    <t>https://www.partstown.com/search?q=BTWV30RX</t>
  </si>
  <si>
    <t>https://www.supplyhouse.com/sh/control/search/~SEARCH_STRING=BTWV30RX</t>
  </si>
  <si>
    <t>https://www.radwell.com/en-US/Search/?q=BTWV30RX</t>
  </si>
  <si>
    <t>ferguson.com item #4308089 (search ?q=BTWV30RX)</t>
  </si>
  <si>
    <t>https://www.johnstonesupply.com/search?searchPhrase=BTWV30RX</t>
  </si>
  <si>
    <t>Site said: There are no products matching 'BTWV30RX'</t>
  </si>
  <si>
    <t>https://www.remichel.com/WebServices/Catalog/BaseProduct/Search?_FieldName=&amp;_FieldValue=BTWV30RX</t>
  </si>
  <si>
    <t>https://www.grainger.com/search?searchQuery=BTWV30RX&amp;searchBar=true</t>
  </si>
  <si>
    <t>Sorry, no results for 'BTWV30RX'.</t>
  </si>
  <si>
    <t>https://www.tranesupply.com/global-search/BTWV30RX</t>
  </si>
  <si>
    <t>Ferguson: BrassCraft 3/4 in IPS x IPS service valve kit with pressure relief valve. Match is on Ferguson's own listing 'Part #' equal to the asked number; the manufacturer 'Mfr. Part #' on the page is different (TWV30RX).</t>
  </si>
  <si>
    <t>https://www.partstown.com/search?q=PL20X25X2</t>
  </si>
  <si>
    <t>https://www.supplyhouse.com/sh/control/search/~SEARCH_STRING=PL20X25X2</t>
  </si>
  <si>
    <t>https://www.radwell.com/en-US/Search/?q=PL20X25X2</t>
  </si>
  <si>
    <t>Search says: There were 0 results for 'PL20X25X2' (for 10/11-style sizes) / No results</t>
  </si>
  <si>
    <t>ferguson.com search ?q=PL20X25X2</t>
  </si>
  <si>
    <t>https://www.johnstonesupply.com/search?searchPhrase=PL20X25X2</t>
  </si>
  <si>
    <t>Site said: There are no products matching 'PL20X25X2'</t>
  </si>
  <si>
    <t>https://www.remichel.com/WebServices/Catalog/BaseProduct/Search?_FieldName=&amp;_FieldValue=PL20X25X2</t>
  </si>
  <si>
    <t>https://www.grainger.com/search?searchQuery=PL20X25X2&amp;searchBar=true</t>
  </si>
  <si>
    <t>Search returned fuzzy size matches, no item with this number</t>
  </si>
  <si>
    <t>https://www.tranesupply.com/global-search/PL20X25X2</t>
  </si>
  <si>
    <t>From Aireco Directly, no access</t>
  </si>
  <si>
    <t>SupplyHouse.com: Exact number: no results (site fuzzy-matched pumps). One name+size search 'pleated filter 20x25x2'. ALTERNATIVE CANDIDATE (not the asked part): Hart &amp; Cooley 102700021, 20x25x2 MERV 8 multi-pleated pane | Radwell: Search: 'Oops. We couldn't find your item.' (Contains search on part number). Name search 'pleated filter 20x25x2' (once): 14 results incl. alternative candidates Grainger 2W233 (In Stock), Trane/Ingersoll Rand AG0450204, Radwell  | Ferguson: Exact number not found by search box (site auto-retried as a spaced 'pl 20x25x2'-style query for 8 and 11). ALTERNATIVE CANDIDATE only, NOT the asked part: NC Filtration Prime V-20 20x25x2 MERV 8 pleated, Case of 12, Part #NNC8PLS | Johnstone Supply: no item-number lookup or category browse, so not marked Not carried. Name search 'pleated filter 20x25x2' (done once) listed alternative candidates with their own numbers: Glasfloss ZLP20252 (Order # L94-616), AAF 80055.022025 (L9 | R.E. Michel: not marked Not carried. Name-size search '20X25X2' (once) shows ALTERNATIVE CANDIDATES with own numbers: 2' pleated MERV 10 AFP2000-20252 (REM# 8L073) $4.78, Arlington 64; MERV 13 AFP3000-20252M13 (8L990A) $16.05, Arlington Not in | Grainger: Grainger parsed the size and redirected to Pleated Air Filters category (GRAINGER-brand filters; no item numbers or pack sizes captured, availabili</t>
  </si>
  <si>
    <t>https://www.partstown.com/search?q=PL16X25X2</t>
  </si>
  <si>
    <t>https://www.supplyhouse.com/sh/control/search/~SEARCH_STRING=PL16X25X2</t>
  </si>
  <si>
    <t>https://www.radwell.com/en-US/Search/?q=PL16X25X2</t>
  </si>
  <si>
    <t>No results for 'PL16X25X2'</t>
  </si>
  <si>
    <t>ferguson.com search ?q=PL16X25X2</t>
  </si>
  <si>
    <t>https://www.johnstonesupply.com/search?searchPhrase=PL16X25X2</t>
  </si>
  <si>
    <t>Site said: There are no products matching 'PL16X25X2'</t>
  </si>
  <si>
    <t>https://www.remichel.com/WebServices/Catalog/BaseProduct/Search?_FieldName=&amp;_FieldValue=PL16X25X2</t>
  </si>
  <si>
    <t>https://www.grainger.com/search?searchQuery=PL16X25X2&amp;searchBar=true</t>
  </si>
  <si>
    <t>https://www.tranesupply.com/global-search/PL16X25X2</t>
  </si>
  <si>
    <t>Parts Town: Fuzzy results only; none with Mfr # PL16X25X2. Alternative candidates (not the asked part): Carrier HVAC 16X25X2-M13-R-P2, 16X25X2-M13-R-P9, 16X25X2-M8-R-P2, 16X25X2-M8-R-P9 (prices/stock not read). | SupplyHouse.com: Exact number: no results. Name+size search 'pleated filter 16x25x2'. ALTERNATIVE CANDIDATE: Hart &amp; Cooley 102700017, 16x25x2 MERV 8, $7.86 each, box of 12 $90.60 ($7.55 ea), In Stock, Get 2,693 by Mon O | Radwell: Search: 'Oops. We couldn't find your item.' (Contains search on part number). Name search 'pleated filter 20x25x2' (once): 14 results incl. alternative candidates Grainger 2W233 (In Stock), Trane/Ingersoll Rand AG0450204, Radwell  | Ferguson: Exact number not found by search box (site auto-retried as a spaced 'pl 20x25x2'-style query for 8 and 11). ALTERNATIVE CANDIDATE only, NOT the asked part: Name search 'pleated filter 16x25x2' returns 5 products, e.g. Parker Hanni | Johnstone Supply: no item-number lookup or category browse, so not marked Not carried. Size-specific candidates not searched (name search done for 20x25x2 only). | R.E. Michel: not marked Not carried. Size-specific candidates not searched. | Grainger: Grainger parsed the size and redirected to Pleated Air Filters category (GRAINGER-brand filters; no item numbers or pack sizes captured, availabili</t>
  </si>
  <si>
    <t>https://www.partstown.com/search?q=PL20X20X2</t>
  </si>
  <si>
    <t>https://www.supplyhouse.com/sh/control/search/~SEARCH_STRING=PL20X20X2</t>
  </si>
  <si>
    <t>https://www.radwell.com/en-US/Search/?q=PL20X20X2</t>
  </si>
  <si>
    <t>No results for 'PL20X20X2'</t>
  </si>
  <si>
    <t>ferguson.com search ?q=PL20X20X2</t>
  </si>
  <si>
    <t>https://www.johnstonesupply.com/search?searchPhrase=PL20X20X2</t>
  </si>
  <si>
    <t>Site said: There are no products matching 'PL20X20X2'</t>
  </si>
  <si>
    <t>https://www.remichel.com/WebServices/Catalog/BaseProduct/Search?_FieldName=&amp;_FieldValue=PL20X20X2</t>
  </si>
  <si>
    <t>https://www.grainger.com/search?searchQuery=PL20X20X2&amp;searchBar=true</t>
  </si>
  <si>
    <t>https://www.tranesupply.com/global-search/PL20X20X2</t>
  </si>
  <si>
    <t>SupplyHouse.com: Exact number: no results. Name+size search 'pleated filter 20x20x2'. ALTERNATIVE CANDIDATE: Hart &amp; Cooley 102700019, 20x20x2 MERV 8, $9.34 each, box of 12 $105.72 ($8.81 ea), In Stock, Get 2,518 by Mon  | Radwell: Search: 'Oops. We couldn't find your item.' (Contains search on part number). Name search 'pleated filter 20x25x2' (once): 14 results incl. alternative candidates Grainger 2W233 (In Stock), Trane/Ingersoll Rand AG0450204, Radwell  | Ferguson: Exact number not found by search box (site auto-retried as a spaced 'pl 20x25x2'-style query for 8 and 11). ALTERNATIVE CANDIDATE only, NOT the asked part: Name search 'pleated filter 20x20x2' returns 4 products, e.g. Parker Hanni | Johnstone Supply: no item-number lookup or category browse, so not marked Not carried. Size-specific candidates not searched (name search done for 20x25x2 only). | R.E. Michel: not marked Not carried. Size-specific candidates not searched. | Grainger: Grainger parsed the size and redirected to Pleated Air Filters category (GRAINGER-brand filters; no item numbers or pack sizes captured, availabili</t>
  </si>
  <si>
    <t>https://www.partstown.com/search?q=PL16X20X2</t>
  </si>
  <si>
    <t>https://www.supplyhouse.com/sh/control/search/~SEARCH_STRING=PL16X20X2</t>
  </si>
  <si>
    <t>https://www.radwell.com/en-US/Search/?q=PL16X20X2</t>
  </si>
  <si>
    <t>Search says: There were 0 results for 'PL16X20X2' (for 10/11-style sizes) / No results</t>
  </si>
  <si>
    <t>ferguson.com search ?q=PL16X20X2</t>
  </si>
  <si>
    <t>https://www.johnstonesupply.com/search?searchPhrase=PL16X20X2</t>
  </si>
  <si>
    <t>Site said: There are no products matching 'PL16X20X2'</t>
  </si>
  <si>
    <t>https://www.remichel.com/WebServices/Catalog/BaseProduct/Search?_FieldName=&amp;_FieldValue=PL16X20X2</t>
  </si>
  <si>
    <t>https://www.grainger.com/search?searchQuery=PL16X20X2&amp;searchBar=true</t>
  </si>
  <si>
    <t>https://www.tranesupply.com/global-search/PL16X20X2</t>
  </si>
  <si>
    <t>SupplyHouse.com: Exact number: no results. Name+size search 'pleated filter 16x20x2'. ALTERNATIVE CANDIDATE: Hart &amp; Cooley 102700016, 16x20x2 MERV 8, $8.07 each, box of 12 $91.08 ($7.59 ea), In Stock, Get 1,836 by Mon O | Radwell: Search: 'Oops. We couldn't find your item.' (Contains search on part number). Name search 'pleated filter 20x25x2' (once): 14 results incl. alternative candidates Grainger 2W233 (In Stock), Trane/Ingersoll Rand AG0450204, Radwell  | Ferguson: Exact number not found by search box (site auto-retried as a spaced 'pl 20x25x2'-style query for 8 and 11). ALTERNATIVE CANDIDATE only, NOT the asked part: NC Filtration 16x20x2 MERV 10 pleated, Part #NC10PLS16202, item #11974905, | Johnstone Supply: no item-number lookup or category browse, so not marked Not carried. Size-specific candidates not searched (name search done for 20x25x2 only). | R.E. Michel: not marked Not carried. Size-specific candidates not searched. | Grainger: Grainger parsed the size and redirected to Pleated Air Filters category (GRAINGER-brand filters; no item numbers or pack sizes captured, availabili</t>
  </si>
  <si>
    <t>https://www.partstown.com/search?q=BBX51</t>
  </si>
  <si>
    <t>https://www.supplyhouse.com/sh/control/search/~SEARCH_STRING=BBX51</t>
  </si>
  <si>
    <t>https://www.radwell.com/en-US/Search/?q=BBX51</t>
  </si>
  <si>
    <t>No results for 'BBX51'</t>
  </si>
  <si>
    <t>ferguson.com search ?q=BBX51</t>
  </si>
  <si>
    <t>https://www.johnstonesupply.com/search?searchPhrase=BBX51</t>
  </si>
  <si>
    <t>Site said: There are no products matching 'BBX51'</t>
  </si>
  <si>
    <t>https://www.remichel.com/WebServices/Catalog/BaseProduct/Search?_FieldName=&amp;_FieldValue=BBX51</t>
  </si>
  <si>
    <t>https://www.grainger.com/search?searchQuery=BBX51&amp;searchBar=true</t>
  </si>
  <si>
    <t>Sorry, no results for 'BBX51'.</t>
  </si>
  <si>
    <t>https://www.tranesupply.com/global-search/BBX51</t>
  </si>
  <si>
    <t>Grainger: Suggested results only. Alternative candidate: Dayton cogged V-belt BX51 (54 in), item 6L269, $21.87 each. BX51 is not BBX51.</t>
  </si>
  <si>
    <t>https://www.partstown.com/p/american-metalcraft/amnbb6105</t>
  </si>
  <si>
    <t>In Stock; Get 39 by Mon, Oct 12; Total Available: 8,083; free shipping on this item</t>
  </si>
  <si>
    <t>https://www.supplyhouse.com/Cover-Luxe-Better-Baseboard-Covers-BB61-6-Ft-Kit-Cover-Set-White</t>
  </si>
  <si>
    <t>Request a Quote' (no price, no stock shown)</t>
  </si>
  <si>
    <t>https://www.radwell.com/en-US/Search/?q=BB61</t>
  </si>
  <si>
    <t>2 prefix-fuzzy results only, none equal to BB61: Eaton B-Line BB613ZN ($62.71, 0 pick up, 0 nearby, no availability) and Bobrick BB6107X60 ($62.71, 0 pick up, no availability)</t>
  </si>
  <si>
    <t>ferguson.com search ?q=BB61</t>
  </si>
  <si>
    <t>https://www.johnstonesupply.com/search?searchPhrase=BB61</t>
  </si>
  <si>
    <t>Site said: There are no products matching 'BB61'</t>
  </si>
  <si>
    <t>https://www.remichel.com/WebServices/Catalog/BaseProduct/Search?_FieldName=&amp;_FieldValue=BB61</t>
  </si>
  <si>
    <t>https://www.grainger.com/search?searchQuery=BB61&amp;searchBar=true</t>
  </si>
  <si>
    <t>Sorry, no results for 'BB61'.</t>
  </si>
  <si>
    <t>https://www.tranesupply.com/global-search/BB61</t>
  </si>
  <si>
    <t>Parts Town: Search for BB61 redirected to American Metalcraft Bar Board BB6105 (Mfr # BB6105, Each): NOT the asked number. Shown 'Temporarily Unavailable', qty 0. Not an exact match; not claimed as alternative of same part. | SupplyHouse.com: Exact SKU BB61 = Cover Luxe (Better Baseboard Covers) 6 Ft. Kit Cover Set (White), a baseboard heater cover. Category was not given on the sheet, so confirm this is the intended item. | Radwell: Exact number BB61 exists but is SCIENTIFIC CUTTING TOOLS 'Radial relief boring bar' (machine tool) - almost certainly not the intended item; product page not opened (click did not navigate). 999 results total (fuzzy). | Ferguson: Exact BB61 not found. The two results are different part numbers (prefix matches), not alternatives for the same item; likely unrelated. | Grainger: Grainger's own words: does not carry; 5 unrelated alternates (barricade sign, downlight, wasp killer, door edge guard).</t>
  </si>
  <si>
    <t>https://www.partstown.com/search?q=R-22%20refrigerant</t>
  </si>
  <si>
    <t>https://www.supplyhouse.com/sh/control/search/~SEARCH_STRING=R22%2030LB%20DISPOS-CAN%20HCFC</t>
  </si>
  <si>
    <t>https://www.radwell.com/en-US/Search/?q=R-22%20refrigerant</t>
  </si>
  <si>
    <t>No results for the full string; 'R-22 refrigerant 30 lb' gave 371 products but no R-22 cylinder in top 20</t>
  </si>
  <si>
    <t>ferguson.com search ?q=R-22%20refrigerant%2030%20lb</t>
  </si>
  <si>
    <t>each (30 lb cylinder; site gives no UOM word)</t>
  </si>
  <si>
    <t>In Stock</t>
  </si>
  <si>
    <t>Order # B92-085, A-Gas R22-30 'R22 Refrigerant, 30 Lb. Cylinder'</t>
  </si>
  <si>
    <t>each (30# cylinder; site gives no UOM word)</t>
  </si>
  <si>
    <t>Arlington VA Branch 2, Warehouse 0, Central Distribution 0, Company 122</t>
  </si>
  <si>
    <t>REM# 1R063, Mfg # 'R22 30#', Igas USA (BMP International), search 'R22'</t>
  </si>
  <si>
    <t>This item can't be purchased online. Call 1-800-GRAINGER to order by phone or to reserve for pickup (no price or stock shown)</t>
  </si>
  <si>
    <t>https://www.grainger.com/search?searchQuery=R-22%20refrigerant&amp;searchBar=true</t>
  </si>
  <si>
    <t>Sorry, no results for 'R22 30LB DISPOS-CAN HCFC'.</t>
  </si>
  <si>
    <t>https://www.tranesupply.com/global-search/R22 30LB DISPOS-CAN HCFC</t>
  </si>
  <si>
    <t>Johnstone Supply: Matched by description, not the asked string; page does not say 'disposable'. Name search 'R-22 refrigerant 30 lb disposable' gave candidate: Order # B92-085, A-Gas R22-30 'R22 Refrigerant, 30 Lb. Cylinder', $893.94, In Stock. ALT | R.E. Michel: Equivalent-by-description, not exact: the asked string 'R22 30LB DISPOS-CAN HCFC' returned nothing (also 'R22 30LB', 'R22 REFRIGERANT', 'HCFC' returned nothing); search 'R22' surfaced 'Refrigerant R-22 / R22 30#'. Page does not sa | Grainger: Sheet string alone returned gas-detector calibration gases. Search 'R-22 refrigerant' shows ALTERNATIVE CANDIDATE: RGAS Refrigerant R-22, 30 lb cyl</t>
  </si>
  <si>
    <t>same as line 10</t>
  </si>
  <si>
    <t>SupplyHouse.com: Same part as line 10 (PL20X20X2), searched once. Exact number: no results. Name+size search 'pleated filter 20x20x2'. ALTERNATIVE CANDIDATE: Hart &amp; Cooley 102700019, 20x20x2 MERV 8, $9.34 each, box of 1 | Radwell: Search: 'Oops. We couldn't find your item.' (Contains search on part number). (same part as line 10) Name search 'pleated filter 20x25x2' (once): 14 results incl. alternative candidates Grainger 2W233 (In Stock), Trane/Ingersoll R | Johnstone Supply: Same part as line 10; one search recorded on both lines. no item-number lookup or category browse, so not marked Not carried. Size-specific candidates not searched (name search done for 20x25x2 only). | R.E. Michel: not marked Not carried. Same part as line 10; recorded on both lines. Size-specific candidates not searched. | Grainger: Same part as line 10 (PL20X20X2), searched once. Grainger parsed the size and redirected to Pleated Air Filters category (GRAINGER-brand filters; n</t>
  </si>
  <si>
    <t>https://www.partstown.com/p/doregrill/ (Doregrill B-GASKNOB-00099 Gas Knob)</t>
  </si>
  <si>
    <t>https://www.supplyhouse.com/sh/control/search/~SEARCH_STRING=BGAS</t>
  </si>
  <si>
    <t>https://www.radwell.com/en-US/Search/?q=BGAS</t>
  </si>
  <si>
    <t>0 results for 'BGAS'; site autocorrected to 'bags' (1,691 irrelevant products)</t>
  </si>
  <si>
    <t>ferguson.com search ?q=BGAS</t>
  </si>
  <si>
    <t>https://www.johnstonesupply.com/search?searchPhrase=BGAS</t>
  </si>
  <si>
    <t>Site said: There are no products matching 'BGAS'</t>
  </si>
  <si>
    <t>https://www.remichel.com/WebServices/Catalog/BaseProduct/Search?_FieldName=&amp;_FieldValue=BGAS</t>
  </si>
  <si>
    <t>https://www.grainger.com/search?searchQuery=BGAS&amp;searchBar=true</t>
  </si>
  <si>
    <t>1,475 fuzzy results (tool bags etc.), none numbered BGAS</t>
  </si>
  <si>
    <t>https://www.tranesupply.com/global-search/BGAS</t>
  </si>
  <si>
    <t>Johnstone Supply: Site suggested 'gas' and listed unrelated gas controls (e.g. Johnstone GASSETUP); none is BGAS. Not a candidate.</t>
  </si>
  <si>
    <t>Quantity 0; 'Obsolete, no longer available'</t>
  </si>
  <si>
    <t>https://www.partstown.com/search?q=RT100S (listing REFTRT100S)</t>
  </si>
  <si>
    <t>In Stock; Get 1,217 by Mon, Oct 12; Total Available: 1,731</t>
  </si>
  <si>
    <t>https://www.supplyhouse.com/Refrigeration-Technologies-RT100S-Big-Blu-Micro-Leak-Detector-1-Qt</t>
  </si>
  <si>
    <t>In Stock, 10 available; ships by Wednesday, October 14 if ordered within 1h39m</t>
  </si>
  <si>
    <t>https://www.radwell.com/Buy/REFRIGERATION%20TECH/REFRIGERATION%20TECH/RT100S</t>
  </si>
  <si>
    <t>ferguson.com item #1079091 (search ?q=RT100S)</t>
  </si>
  <si>
    <t>each (1 Qt spray bottle; site gives no UOM word)</t>
  </si>
  <si>
    <t>In Stock (no quantity shown)</t>
  </si>
  <si>
    <t>Order # B81-319, Mfg # RT100S, Big Blu High Temp. Leak Reactant, Refrigeration Technologies</t>
  </si>
  <si>
    <t>each (1 qt spray bottle; site gives no UOM word)</t>
  </si>
  <si>
    <t>Arlington VA Branch 6, Warehouse 0, Central Distribution 1,728, Company 5,717</t>
  </si>
  <si>
    <t>REM# 2R201, MFG# RT100S, Big Blu Bubble/Foam Type Leak Detector, Refrigeration Technologies</t>
  </si>
  <si>
    <t>https://www.grainger.com/search?searchQuery=RT100S&amp;searchBar=true</t>
  </si>
  <si>
    <t>Will Call at SEATTLE PARTS SUPPLY OF NW: Unavailable; Direct Delivery to 98057: Unavailable; Standard Delivery at 98057: +0 Avl.</t>
  </si>
  <si>
    <t>https://www.tranesupply.com/global-search/RT100S (item listed as 'RT100S!' - BIG BLU LEAK DETECTOR - 1qt)</t>
  </si>
  <si>
    <t>Parts Town: Exact Mfr # RT100S: Refrigeration Technologies Gas Leak Detector, Big Blu, 32 Ounce Spray Bottle, Parts Town # REFTRT100S. Obsolete, no price shown. Found among 18 fuzzy results (Vollrath RT100-S* are different parts). | SupplyHouse.com: Exact SKU RT100S = Refrigeration Technologies Big Blu Micro Leak Detector (1 Qt.). Search jumped straight to product page. | Radwell: Exact RT100S REFRIGERATION TECH, leak detector (Big Blu micro leak detector, 1 qt). 'New Product' Radwell SKU 244782185. Other conditions (request a quote): Refurbished $12.53, Never Used Radwell Packaging $13.79, Never Used Origi | Ferguson: Refrigeration Technologies Big Blue 1 qt Leak Finder. Ferguson listing 'Part #RRT100S'; Mfr. Part # = RT100S (exact manufacturer number match). Price displayed with a small superscript digit after the cents (e.g. $12.94 with raise | Johnstone Supply: Exact Mfg # RT100S matches. Price &amp; Availability control rendered after click. | R.E. Michel: Exact MFG # match. | Grainger: Grainger's own words: does not carry; 6 alternates, e.g. Hercules gas leak detector 8 oz item 39AN80 (not the same product).</t>
  </si>
  <si>
    <t>Run 5 -Trane Parts</t>
  </si>
  <si>
    <t>COMPRESSOR; CSHA-150K-0*00/CSHA-150K-0*0A, 15 TON, 400/50/3, 460/60/3, BRAZE SWEAT, NO OIL CHARGE (product page: Scroll Compressor 15 Ton, R-22, 15 HP, 460V, 3 phase). Unit uses 4.</t>
  </si>
  <si>
    <t>COM09751 (COM06242 superseded)</t>
  </si>
  <si>
    <t>Will Call at SEATTLE PARTS SUPPLY OF NW: 0 Avl. Direct Delivery to 98057: Unavailable. Standard Delivery: +0 Avl.</t>
  </si>
  <si>
    <t>https://www.tranesupply.com/global-search/COM09751 | Unit match: SCWFN8042G0C0240082001020A0JDA03CU20S = 'Exact Match: Model Number', 358 parts (nameplate photo confirms). Family prefix SCWFN8042 alone returned a different variant (A0A01500900...), not used.</t>
  </si>
  <si>
    <t>DRIER; LIQUID LINE, 307S, 7/8 ODF. Successor of DHY00170 DRIER; FILTER (EK417S), per Trane's own supersession note; a 7/8 in to 1 in adapter may be required.</t>
  </si>
  <si>
    <t>Will Call at SEATTLE PARTS SUPPLY OF NW: 4 Avl. Direct Delivery to 98057: Schedule. Standard Delivery: +23 Avl.</t>
  </si>
  <si>
    <t>https://www.tranesupply.com/global-search/DHY01481 (old DHY00170: $37.45, 0 Avl, Superseded)</t>
  </si>
  <si>
    <t>RELAY (Trane list gives no ratings)</t>
  </si>
  <si>
    <t>https://www.tranesupply.com/global-search/RLY00681</t>
  </si>
  <si>
    <t>CONTACTOR; 3P 40A 120VAC / LUGS A2L. Successor of CTR01162 (CONTACTOR; 40 FLA 3 POLE COIL VAC 110-120, W/LUGS) per Trane's supersession list.</t>
  </si>
  <si>
    <t>SFCTR3P40A120VLA2L (supersedes CTR01162; also listed CTR02578)</t>
  </si>
  <si>
    <t>Will Call at SEATTLE PARTS SUPPLY OF NW: 4 Avl. Direct Delivery to 98057: Schedule. Standard Delivery: +32 Avl. (CTR02578, $14.40: 0 Avl.)</t>
  </si>
  <si>
    <t>https://www.tranesupply.com/global-search/SFCTR3P40A120VLA2L (old CTR01162: $9.84, 0 Avl, Superseded)</t>
  </si>
  <si>
    <t>FUSE; 150A, 600V, CLASS T. Unit uses 3.</t>
  </si>
  <si>
    <t>https://www.tranesupply.com/global-search/FUS00907</t>
  </si>
  <si>
    <t>KIT; QWIKCHECK; ACID TEST KIT (generic; not on the unit's parts list). Other listings: CHM00414 Phase III $38.80 (13 Avl.), KIT12248 TA-1 one-time test $25.14 (0 Avl. will call, +2 delivery).</t>
  </si>
  <si>
    <t>QT2000</t>
  </si>
  <si>
    <t>Will Call at SEATTLE PARTS SUPPLY OF NW: 12 Avl. Direct Delivery to 98057: Schedule. Standard Delivery: +99 Avl.</t>
  </si>
  <si>
    <t>https://www.tranesupply.com/global-search/acid%20test%20kit</t>
  </si>
  <si>
    <r>
      <rPr>
        <rFont val="Arial"/>
      </rPr>
      <t xml:space="preserve">No assorted-box SKU; individual 3/4-in Sch 80 black nipples are sold singly </t>
    </r>
    <r>
      <rPr>
        <rFont val="Arial"/>
        <color rgb="FF1155CC"/>
        <u/>
      </rPr>
      <t>https://www.supplyhouse.com/Black-Schedule-80-Nipples-20740000</t>
    </r>
  </si>
  <si>
    <r>
      <rPr>
        <rFont val="Arial"/>
        <color rgb="FF1155CC"/>
        <u/>
      </rPr>
      <t>https://www.supplyhouse.com/sh/control/search/</t>
    </r>
    <r>
      <rPr>
        <rFont val="Arial"/>
      </rPr>
      <t>~SEARCH_STRING=NIBCO%20class%20300%20gate%20valve (SKU NL050XD)</t>
    </r>
  </si>
  <si>
    <t>Carrier: Result</t>
  </si>
  <si>
    <t>Carrier: Price</t>
  </si>
  <si>
    <t>Carrier: UOM</t>
  </si>
  <si>
    <t>Carrier: Availability (stock / pickup / ETA, in the house's words)</t>
  </si>
  <si>
    <t>Carrier: Evidence (link or item #)</t>
  </si>
  <si>
    <t>Carrier: Minutes</t>
  </si>
  <si>
    <t>D01</t>
  </si>
  <si>
    <t>Carrier 38AH-054-621DA</t>
  </si>
  <si>
    <t>Condenser fan motor</t>
  </si>
  <si>
    <t>HD52AZ002 (stated in case; verify applicability)</t>
  </si>
  <si>
    <t>IN PROGRESS: PIC model search found 38AH 054 620 (460-3-60) as sibling lead; exact 38AH-054-621DA applicability not verified. HD52AZ002 is case-stated only. Totaline unauthenticated exact search had no result; authenticated sourcing still pending.</t>
  </si>
  <si>
    <t>D02</t>
  </si>
  <si>
    <t>Condenser fan blade</t>
  </si>
  <si>
    <t>LA01EW046 (stated in case; verify applicability)</t>
  </si>
  <si>
    <t>IN PROGRESS: PIC exact 38AH 054 621DA search returned no match; 620 sibling is not applicability proof. LA01EW046 is case-stated only. Price/availability not verified.</t>
  </si>
  <si>
    <t>D08</t>
  </si>
  <si>
    <t>Carrier 48TJD014</t>
  </si>
  <si>
    <t>Inducer motor (inferred case)</t>
  </si>
  <si>
    <t>UNRESOLVED: PIC 48TJD014 100 (575-3-60), item 112 MOTOR HC30GB460, assembly 50DK406182; 48TJD014 500 (208/230-3-60), item 112 MOTOR HC30GB230, assembly 50DK406181. Full suffix/voltage absent; user confirms no additional unit data. Sources: https://pic.hvacpartners.com/sbom/dashboard/salesPackages/48TJD014%20%20%20100 and https://pic.hvacpartners.com/sbom/dashboard/salesPackages/48TJD014%20%20%20500 .</t>
  </si>
  <si>
    <t>D09</t>
  </si>
  <si>
    <t>Inducer hall-effect sensor</t>
  </si>
  <si>
    <t>UNRESOLVED: Reviewed expanded PIC 48TJD014 100 and 500 guides; no row explicitly identifying a Hall-effect sensor verified. Generic SENSOR rows 107/107A have serial split PSN/SSN 0395GXXXXX and cannot be accepted as requested Hall-effect sensor. No verified part number/price/availability.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</si>
</sst>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7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8.0"/>
      <color rgb="FFFF0000"/>
      <name val="Arial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u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ck">
        <color rgb="FF000000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4" numFmtId="0" xfId="0" applyAlignment="1" applyFill="1" applyFont="1">
      <alignment readingOrder="0" shrinkToFit="0" vertical="top" wrapText="0"/>
    </xf>
    <xf borderId="0" fillId="2" fontId="5" numFmtId="0" xfId="0" applyAlignment="1" applyFill="1" applyFont="1">
      <alignment shrinkToFit="0" vertical="top" wrapText="1"/>
    </xf>
    <xf borderId="0" fillId="2" fontId="5" numFmtId="0" xfId="0" applyAlignment="1" applyFill="1" applyFont="1">
      <alignment readingOrder="0" shrinkToFit="0" vertical="top" wrapText="1"/>
    </xf>
    <xf borderId="1" fillId="3" fontId="6" numFmtId="0" xfId="0" applyAlignment="1" applyBorder="1" applyFill="1" applyFont="1">
      <alignment shrinkToFit="0" vertical="top" wrapText="1"/>
    </xf>
    <xf borderId="0" fillId="2" fontId="6" numFmtId="0" xfId="0" applyAlignment="1" applyFill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1" fillId="3" fontId="5" numFmtId="0" xfId="0" applyAlignment="1" applyBorder="1" applyFill="1" applyFont="1">
      <alignment shrinkToFit="0" vertical="top" wrapText="1"/>
    </xf>
    <xf borderId="3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3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6" fontId="5" numFmtId="0" xfId="0" applyAlignment="1" applyBorder="1" applyFill="1" applyFont="1">
      <alignment readingOrder="0" shrinkToFit="0" vertical="top" wrapText="1"/>
    </xf>
    <xf borderId="3" fillId="7" fontId="6" numFmtId="0" xfId="0" applyAlignment="1" applyBorder="1" applyFill="1" applyFont="1">
      <alignment shrinkToFit="0" vertical="top" wrapText="1"/>
    </xf>
    <xf borderId="1" fillId="7" fontId="5" numFmtId="0" xfId="0" applyAlignment="1" applyBorder="1" applyFill="1" applyFont="1">
      <alignment shrinkToFit="0" vertical="top" wrapText="1"/>
    </xf>
    <xf borderId="1" fillId="7" fontId="6" numFmtId="0" xfId="0" applyAlignment="1" applyBorder="1" applyFill="1" applyFont="1">
      <alignment shrinkToFit="0" vertical="top" wrapText="1"/>
    </xf>
    <xf borderId="0" fillId="7" fontId="5" numFmtId="0" xfId="0" applyAlignment="1" applyFill="1" applyFont="1">
      <alignment shrinkToFit="0" vertical="top" wrapText="1"/>
    </xf>
    <xf borderId="1" fillId="7" fontId="5" numFmtId="0" xfId="0" applyAlignment="1" applyBorder="1" applyFill="1" applyFont="1">
      <alignment readingOrder="0" shrinkToFit="0" vertical="top" wrapText="1"/>
    </xf>
    <xf borderId="1" fillId="3" fontId="5" numFmtId="0" xfId="0" applyAlignment="1" applyBorder="1" applyFill="1" applyFon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4" fontId="7" numFmtId="0" xfId="0" applyAlignment="1" applyBorder="1" applyFill="1" applyFont="1">
      <alignment readingOrder="0" shrinkToFit="0" vertical="top" wrapText="1"/>
    </xf>
    <xf borderId="0" fillId="0" fontId="9" numFmtId="0" xfId="0" applyFont="1"/>
    <xf borderId="1" fillId="4" fontId="7" numFmtId="0" xfId="0" applyAlignment="1" applyBorder="1" applyFill="1" applyFont="1">
      <alignment shrinkToFit="0" vertical="top" wrapText="1"/>
    </xf>
    <xf borderId="4" fillId="0" fontId="9" numFmtId="0" xfId="0" applyBorder="1" applyFont="1"/>
    <xf borderId="0" fillId="7" fontId="9" numFmtId="0" xfId="0" applyFill="1" applyFont="1"/>
    <xf borderId="1" fillId="0" fontId="10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4" fontId="11" numFmtId="0" xfId="0" applyAlignment="1" applyBorder="1" applyFill="1" applyFont="1">
      <alignment readingOrder="0" shrinkToFit="0" vertical="top" wrapText="1"/>
    </xf>
    <xf borderId="1" fillId="5" fontId="7" numFmtId="0" xfId="0" applyAlignment="1" applyBorder="1" applyFill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5" fontId="7" numFmtId="0" xfId="0" applyAlignment="1" applyBorder="1" applyFill="1" applyFont="1">
      <alignment shrinkToFit="0" vertical="top" wrapText="1"/>
    </xf>
    <xf borderId="1" fillId="5" fontId="12" numFmtId="0" xfId="0" applyAlignment="1" applyBorder="1" applyFill="1" applyFont="1">
      <alignment readingOrder="0" shrinkToFit="0" vertical="top" wrapText="1"/>
    </xf>
    <xf borderId="1" fillId="6" fontId="7" numFmtId="0" xfId="0" applyAlignment="1" applyBorder="1" applyFill="1" applyFont="1">
      <alignment readingOrder="0" shrinkToFit="0" vertical="top" wrapText="1"/>
    </xf>
    <xf borderId="1" fillId="6" fontId="13" numFmtId="0" xfId="0" applyAlignment="1" applyBorder="1" applyFill="1" applyFont="1">
      <alignment readingOrder="0" shrinkToFit="0" vertical="top" wrapText="1"/>
    </xf>
    <xf borderId="1" fillId="8" fontId="7" numFmtId="0" xfId="0" applyAlignment="1" applyBorder="1" applyFill="1" applyFont="1">
      <alignment shrinkToFit="0" vertical="top" wrapText="1"/>
    </xf>
    <xf borderId="1" fillId="9" fontId="7" numFmtId="0" xfId="0" applyAlignment="1" applyBorder="1" applyFill="1" applyFont="1">
      <alignment shrinkToFit="0" vertical="top" wrapText="1"/>
    </xf>
    <xf borderId="1" fillId="8" fontId="5" numFmtId="0" xfId="0" applyAlignment="1" applyBorder="1" applyFill="1" applyFont="1">
      <alignment shrinkToFit="0" vertical="top" wrapText="1"/>
    </xf>
    <xf borderId="1" fillId="6" fontId="7" numFmtId="164" xfId="0" applyAlignment="1" applyBorder="1" applyFill="1" applyFont="1" applyNumberFormat="1">
      <alignment readingOrder="0" shrinkToFit="0" vertical="top" wrapText="1"/>
    </xf>
    <xf borderId="1" fillId="8" fontId="7" numFmtId="0" xfId="0" applyAlignment="1" applyBorder="1" applyFill="1" applyFont="1">
      <alignment readingOrder="0" shrinkToFit="0" vertical="top" wrapText="1"/>
    </xf>
    <xf borderId="1" fillId="0" fontId="7" numFmtId="164" xfId="0" applyAlignment="1" applyBorder="1" applyFont="1" applyNumberFormat="1">
      <alignment readingOrder="0" shrinkToFit="0" vertical="top" wrapText="1"/>
    </xf>
    <xf borderId="1" fillId="6" fontId="7" numFmtId="0" xfId="0" applyAlignment="1" applyBorder="1" applyFill="1" applyFont="1">
      <alignment shrinkToFit="0" vertical="top" wrapText="1"/>
    </xf>
    <xf borderId="1" fillId="4" fontId="7" numFmtId="164" xfId="0" applyAlignment="1" applyBorder="1" applyFill="1" applyFont="1" applyNumberFormat="1">
      <alignment readingOrder="0" shrinkToFit="0" vertical="top" wrapText="1"/>
    </xf>
    <xf borderId="1" fillId="5" fontId="7" numFmtId="164" xfId="0" applyAlignment="1" applyBorder="1" applyFill="1" applyFont="1" applyNumberFormat="1">
      <alignment readingOrder="0" shrinkToFit="0" vertical="top" wrapText="1"/>
    </xf>
    <xf borderId="0" fillId="0" fontId="8" numFmtId="0" xfId="0" applyAlignment="1" applyFont="1">
      <alignment readingOrder="0"/>
    </xf>
    <xf borderId="0" fillId="0" fontId="8" numFmtId="0" xfId="0" applyFont="1"/>
    <xf borderId="1" fillId="0" fontId="7" numFmtId="0" xfId="0" applyAlignment="1" applyBorder="1" applyFont="1">
      <alignment shrinkToFit="0" vertical="top" wrapText="1"/>
    </xf>
    <xf borderId="0" fillId="7" fontId="9" numFmtId="0" xfId="0" applyAlignment="1" applyFill="1" applyFont="1">
      <alignment readingOrder="0"/>
    </xf>
    <xf borderId="1" fillId="0" fontId="7" numFmtId="0" xfId="0" applyAlignment="1" applyBorder="1" applyFont="1">
      <alignment readingOrder="0" shrinkToFit="0" vertical="top" wrapText="1"/>
    </xf>
    <xf quotePrefix="1" borderId="1" fillId="0" fontId="7" numFmtId="0" xfId="0" applyAlignment="1" applyBorder="1" applyFont="1">
      <alignment readingOrder="0" shrinkToFit="0" vertical="top" wrapText="1"/>
    </xf>
    <xf borderId="1" fillId="0" fontId="7" numFmtId="165" xfId="0" applyAlignment="1" applyBorder="1" applyFont="1" applyNumberFormat="1">
      <alignment readingOrder="0" shrinkToFit="0" vertical="top" wrapText="1"/>
    </xf>
    <xf borderId="0" fillId="0" fontId="9" numFmtId="0" xfId="0" applyAlignment="1" applyFont="1">
      <alignment readingOrder="0"/>
    </xf>
    <xf borderId="0" fillId="0" fontId="9" numFmtId="0" xfId="0" applyFont="1"/>
    <xf borderId="1" fillId="2" fontId="8" numFmtId="0" xfId="0" applyAlignment="1" applyBorder="1" applyFill="1" applyFont="1">
      <alignment readingOrder="0" shrinkToFit="0" vertical="top" wrapText="1"/>
    </xf>
    <xf borderId="1" fillId="2" fontId="8" numFmtId="0" xfId="0" applyAlignment="1" applyBorder="1" applyFill="1" applyFont="1">
      <alignment shrinkToFit="0" vertical="top" wrapText="1"/>
    </xf>
    <xf borderId="1" fillId="2" fontId="7" numFmtId="0" xfId="0" applyAlignment="1" applyBorder="1" applyFill="1" applyFont="1">
      <alignment shrinkToFit="0" vertical="top" wrapText="1"/>
    </xf>
    <xf borderId="0" fillId="2" fontId="9" numFmtId="0" xfId="0" applyFill="1" applyFont="1"/>
    <xf borderId="4" fillId="2" fontId="9" numFmtId="0" xfId="0" applyBorder="1" applyFill="1" applyFont="1"/>
    <xf borderId="1" fillId="10" fontId="5" numFmtId="0" xfId="0" applyAlignment="1" applyBorder="1" applyFill="1" applyFont="1">
      <alignment shrinkToFit="0" vertical="top" wrapText="1"/>
    </xf>
    <xf borderId="1" fillId="10" fontId="5" numFmtId="0" xfId="0" applyAlignment="1" applyBorder="1" applyFill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4" fillId="0" fontId="9" numFmtId="0" xfId="0" applyBorder="1" applyFont="1"/>
    <xf borderId="1" fillId="10" fontId="6" numFmtId="0" xfId="0" applyAlignment="1" applyBorder="1" applyFill="1" applyFont="1">
      <alignment shrinkToFit="0" vertical="top" wrapText="1"/>
    </xf>
    <xf borderId="0" fillId="10" fontId="9" numFmtId="0" xfId="0" applyFill="1" applyFont="1"/>
    <xf borderId="1" fillId="4" fontId="14" numFmtId="0" xfId="0" applyAlignment="1" applyBorder="1" applyFill="1" applyFont="1">
      <alignment readingOrder="0" shrinkToFit="0" vertical="top" wrapText="1"/>
    </xf>
    <xf borderId="1" fillId="6" fontId="7" numFmtId="165" xfId="0" applyAlignment="1" applyBorder="1" applyFill="1" applyFont="1" applyNumberFormat="1">
      <alignment readingOrder="0" shrinkToFit="0" vertical="top" wrapText="1"/>
    </xf>
    <xf borderId="1" fillId="4" fontId="7" numFmtId="165" xfId="0" applyAlignment="1" applyBorder="1" applyFill="1" applyFont="1" applyNumberFormat="1">
      <alignment readingOrder="0" shrinkToFit="0" vertical="top" wrapText="1"/>
    </xf>
    <xf borderId="1" fillId="10" fontId="6" numFmtId="0" xfId="0" applyAlignment="1" applyBorder="1" applyFill="1" applyFont="1">
      <alignment readingOrder="0" shrinkToFit="0" vertical="top" wrapText="1"/>
    </xf>
    <xf borderId="1" fillId="0" fontId="15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0"/>
    </xf>
    <xf borderId="0" fillId="4" fontId="9" numFmtId="0" xfId="0" applyFill="1" applyFont="1"/>
    <xf borderId="0" fillId="5" fontId="9" numFmtId="0" xfId="0" applyFill="1" applyFont="1"/>
    <xf borderId="0" fillId="6" fontId="9" numFmtId="0" xfId="0" applyFill="1" applyFont="1"/>
    <xf borderId="1" fillId="0" fontId="16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horizontal="right" shrinkToFit="0" vertical="top" wrapText="1"/>
    </xf>
    <xf borderId="4" fillId="10" fontId="9" numFmtId="0" xfId="0" applyBorder="1" applyFill="1" applyFont="1"/>
    <xf borderId="1" fillId="0" fontId="6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2">
    <tableStyle count="3" pivot="0" name="MVP Benchmark Pass 10.15.26-style">
      <tableStyleElement dxfId="1" type="headerRow"/>
      <tableStyleElement dxfId="2" type="firstRowStripe"/>
      <tableStyleElement dxfId="3" type="secondRowStripe"/>
    </tableStyle>
    <tableStyle count="3" pivot="0" name="👑 Master List for QA Test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K76" displayName="Table_1" name="Table_1" id="1">
  <tableColumns count="63">
    <tableColumn name="#" id="1"/>
    <tableColumn name="Scenario" id="2"/>
    <tableColumn name="Unit / source" id="3"/>
    <tableColumn name="Part as asked" id="4"/>
    <tableColumn name="Part # to search (from public OEM lists, 09/30 backstop; blank = search by description + size/rating)" id="5"/>
    <tableColumn name="Qty" id="6"/>
    <tableColumn name="PartsTown: Result" id="7"/>
    <tableColumn name="PartsTown: Price" id="8"/>
    <tableColumn name="PartsTown: UOM" id="9"/>
    <tableColumn name="PartsTown: Availability (stock / pickup / ETA, in the house's words)" id="10"/>
    <tableColumn name="PartsTown: Evidence (link or item #)" id="11"/>
    <tableColumn name="PartsTown: Minutes" id="12"/>
    <tableColumn name="Supplyhouse.com: Result" id="13"/>
    <tableColumn name="Supplyhouse.com: Price" id="14"/>
    <tableColumn name="Supplyhouse.com: UOM" id="15"/>
    <tableColumn name="Supplyhouse.com: Availability (stock / pickup / ETA, in the house's words)" id="16"/>
    <tableColumn name="Supplyhouse.com: Evidence (link or item #)" id="17"/>
    <tableColumn name="Supplyhouse.com: Minutes" id="18"/>
    <tableColumn name="Radwell: Result" id="19"/>
    <tableColumn name="Radwell: Price" id="20"/>
    <tableColumn name="Radwell: UOM" id="21"/>
    <tableColumn name="Radwell: Availability (stock / pickup / ETA, in the house's words)" id="22"/>
    <tableColumn name="Radwell: Evidence (link or item #)" id="23"/>
    <tableColumn name="Radwell: Minutes" id="24"/>
    <tableColumn name="Ferguson: Result" id="25"/>
    <tableColumn name="Ferguson: Price" id="26"/>
    <tableColumn name="Ferguson: UOM" id="27"/>
    <tableColumn name="Ferguson: Availability (stock / pickup / ETA, in the house's words)" id="28"/>
    <tableColumn name="Ferguson: Evidence (link or item #)" id="29"/>
    <tableColumn name="Ferguson: Minutes" id="30"/>
    <tableColumn name="Johnstone: Result" id="31"/>
    <tableColumn name="Johnstone: Price" id="32"/>
    <tableColumn name="Johnstone: UOM" id="33"/>
    <tableColumn name="Johnstone: Availability (stock / pickup / ETA, in the house's words)" id="34"/>
    <tableColumn name="Johnstone: Evidence (link or item #)" id="35"/>
    <tableColumn name="Johnstone: Minutes" id="36"/>
    <tableColumn name="R.E. Michel: Result" id="37"/>
    <tableColumn name="R.E. Michel: Price" id="38"/>
    <tableColumn name="R.E. Michel: UOM" id="39"/>
    <tableColumn name="R.E. Michel: Availability (stock / pickup / ETA, in the house's words)" id="40"/>
    <tableColumn name="R.E. Michel: Evidence (link or item #)" id="41"/>
    <tableColumn name="R.E. Michel: Minutes" id="42"/>
    <tableColumn name="Grainger: Result" id="43"/>
    <tableColumn name="Grainger:  Price" id="44"/>
    <tableColumn name="Grainger: UOM" id="45"/>
    <tableColumn name="Grainger: Availability (stock / pickup / ETA, in the house's words)" id="46"/>
    <tableColumn name="Grainger:  Evidence (link or item #)" id="47"/>
    <tableColumn name="Grainger: Minutes" id="48"/>
    <tableColumn name="Trane Supply: Result" id="49"/>
    <tableColumn name="Trane Supply: Price" id="50"/>
    <tableColumn name="Trane Supply: UOM" id="51"/>
    <tableColumn name="Trane Supply: Availability (stock / pickup / ETA, in the house's words)" id="52"/>
    <tableColumn name="Trane Supply: Evidence (link or item #)" id="53"/>
    <tableColumn name="Trane Supply: Minutes" id="54"/>
    <tableColumn name="Part Price Found at any of the 7?" id="55"/>
    <tableColumn name="Part Price found AND in stock for pick up at any of the 7?" id="56"/>
    <tableColumn name="Collin's Note on finding" id="57"/>
    <tableColumn name="Where does the shop buy it? (only if No)" id="58"/>
    <tableColumn name="That place shows price after login? (Yes/No)" id="59"/>
    <tableColumn name="Shop has a login there? (Yes/No)" id="60"/>
    <tableColumn name="Classification (computed)" id="61"/>
    <tableColumn name="How often bought (Daily/Weekly/Monthly; No value add lines only)" id="62"/>
    <tableColumn name="Notes" id="63"/>
  </tableColumns>
  <tableStyleInfo name="👑 Master List for QA Testing-style" showColumnStripes="0" showFirstColumn="1" showLastColumn="1" showRowStripes="1"/>
</table>
</file>

<file path=xl/tables/table2.xml><?xml version="1.0" encoding="utf-8"?>
<table xmlns="http://schemas.openxmlformats.org/spreadsheetml/2006/main" headerRowCount="0" ref="A1:BK76" displayName="Table_2" name="Table_2" id="2">
  <tableColumns count="6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</tableColumns>
  <tableStyleInfo name="MVP Benchmark Pass 10.15.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adwell.com/en-US/Search/?q=W490057" TargetMode="External"/><Relationship Id="rId42" Type="http://schemas.openxmlformats.org/officeDocument/2006/relationships/hyperlink" Target="https://www.remichel.com/WebServices/Catalog/BaseProduct/Search?_FieldName=&amp;_FieldValue=W490057" TargetMode="External"/><Relationship Id="rId41" Type="http://schemas.openxmlformats.org/officeDocument/2006/relationships/hyperlink" Target="https://www.johnstonesupply.com/search?searchPhrase=W490057" TargetMode="External"/><Relationship Id="rId44" Type="http://schemas.openxmlformats.org/officeDocument/2006/relationships/hyperlink" Target="https://www.tranesupply.com/global-search/W490057" TargetMode="External"/><Relationship Id="rId43" Type="http://schemas.openxmlformats.org/officeDocument/2006/relationships/hyperlink" Target="https://www.grainger.com/search?searchQuery=W490057&amp;searchBar=true" TargetMode="External"/><Relationship Id="rId46" Type="http://schemas.openxmlformats.org/officeDocument/2006/relationships/hyperlink" Target="https://www.supplyhouse.com/sh/control/search/~SEARCH_STRING=DPC1500" TargetMode="External"/><Relationship Id="rId45" Type="http://schemas.openxmlformats.org/officeDocument/2006/relationships/hyperlink" Target="https://www.partstown.com/search?q=DPC1500" TargetMode="External"/><Relationship Id="rId107" Type="http://schemas.openxmlformats.org/officeDocument/2006/relationships/hyperlink" Target="https://www.tranesupply.com/global-search/BBX51" TargetMode="External"/><Relationship Id="rId106" Type="http://schemas.openxmlformats.org/officeDocument/2006/relationships/hyperlink" Target="https://www.grainger.com/search?searchQuery=BBX51&amp;searchBar=true" TargetMode="External"/><Relationship Id="rId105" Type="http://schemas.openxmlformats.org/officeDocument/2006/relationships/hyperlink" Target="https://www.remichel.com/WebServices/Catalog/BaseProduct/Search?_FieldName=&amp;_FieldValue=BBX51" TargetMode="External"/><Relationship Id="rId104" Type="http://schemas.openxmlformats.org/officeDocument/2006/relationships/hyperlink" Target="https://www.johnstonesupply.com/search?searchPhrase=BBX51" TargetMode="External"/><Relationship Id="rId109" Type="http://schemas.openxmlformats.org/officeDocument/2006/relationships/hyperlink" Target="https://www.supplyhouse.com/Cover-Luxe-Better-Baseboard-Covers-BB61-6-Ft-Kit-Cover-Set-White" TargetMode="External"/><Relationship Id="rId108" Type="http://schemas.openxmlformats.org/officeDocument/2006/relationships/hyperlink" Target="https://www.partstown.com/p/american-metalcraft/amnbb6105" TargetMode="External"/><Relationship Id="rId48" Type="http://schemas.openxmlformats.org/officeDocument/2006/relationships/hyperlink" Target="https://www.johnstonesupply.com/search?searchPhrase=DPC1500" TargetMode="External"/><Relationship Id="rId47" Type="http://schemas.openxmlformats.org/officeDocument/2006/relationships/hyperlink" Target="https://www.radwell.com/en-US/Search/?q=DPC1500" TargetMode="External"/><Relationship Id="rId49" Type="http://schemas.openxmlformats.org/officeDocument/2006/relationships/hyperlink" Target="https://www.remichel.com/WebServices/Catalog/BaseProduct/Search?_FieldName=&amp;_FieldValue=DPC1500" TargetMode="External"/><Relationship Id="rId103" Type="http://schemas.openxmlformats.org/officeDocument/2006/relationships/hyperlink" Target="https://www.radwell.com/en-US/Search/?q=BBX51" TargetMode="External"/><Relationship Id="rId102" Type="http://schemas.openxmlformats.org/officeDocument/2006/relationships/hyperlink" Target="https://www.supplyhouse.com/sh/control/search/~SEARCH_STRING=BBX51" TargetMode="External"/><Relationship Id="rId101" Type="http://schemas.openxmlformats.org/officeDocument/2006/relationships/hyperlink" Target="https://www.partstown.com/search?q=BBX51" TargetMode="External"/><Relationship Id="rId100" Type="http://schemas.openxmlformats.org/officeDocument/2006/relationships/hyperlink" Target="https://www.tranesupply.com/global-search/PL16X20X2" TargetMode="External"/><Relationship Id="rId31" Type="http://schemas.openxmlformats.org/officeDocument/2006/relationships/hyperlink" Target="https://www.partstown.com/p/sloan/slns3080053" TargetMode="External"/><Relationship Id="rId30" Type="http://schemas.openxmlformats.org/officeDocument/2006/relationships/hyperlink" Target="https://www.tranesupply.com/global-search/SSBD81199NE" TargetMode="External"/><Relationship Id="rId33" Type="http://schemas.openxmlformats.org/officeDocument/2006/relationships/hyperlink" Target="https://www.radwell.com/Buy/SLOAN%20VALVE%20CO/SLOAN%20VALVE%20CO/S3080053" TargetMode="External"/><Relationship Id="rId32" Type="http://schemas.openxmlformats.org/officeDocument/2006/relationships/hyperlink" Target="https://www.supplyhouse.com/Sloan-S3080053-Comp-flush-Valve-111xl-1-6-GPF-S3080053" TargetMode="External"/><Relationship Id="rId35" Type="http://schemas.openxmlformats.org/officeDocument/2006/relationships/hyperlink" Target="https://www.remichel.com/WebServices/Catalog/BaseProduct/Search?_FieldName=&amp;_FieldValue=S3080053" TargetMode="External"/><Relationship Id="rId34" Type="http://schemas.openxmlformats.org/officeDocument/2006/relationships/hyperlink" Target="https://www.johnstonesupply.com/search?searchPhrase=S3080053" TargetMode="External"/><Relationship Id="rId37" Type="http://schemas.openxmlformats.org/officeDocument/2006/relationships/hyperlink" Target="https://www.tranesupply.com/global-search/S3080053" TargetMode="External"/><Relationship Id="rId36" Type="http://schemas.openxmlformats.org/officeDocument/2006/relationships/hyperlink" Target="https://www.grainger.com/search?searchQuery=S3080053&amp;searchBar=true" TargetMode="External"/><Relationship Id="rId39" Type="http://schemas.openxmlformats.org/officeDocument/2006/relationships/hyperlink" Target="https://www.supplyhouse.com/sh/control/search/~SEARCH_STRING=W490057" TargetMode="External"/><Relationship Id="rId38" Type="http://schemas.openxmlformats.org/officeDocument/2006/relationships/hyperlink" Target="https://www.partstown.com/search?q=W490057" TargetMode="External"/><Relationship Id="rId20" Type="http://schemas.openxmlformats.org/officeDocument/2006/relationships/hyperlink" Target="https://www.partstown.com/lochinvar/loc100330200" TargetMode="External"/><Relationship Id="rId22" Type="http://schemas.openxmlformats.org/officeDocument/2006/relationships/hyperlink" Target="https://www.supplyhouse.com/Black-Schedule-80-Nipples-20740000" TargetMode="External"/><Relationship Id="rId21" Type="http://schemas.openxmlformats.org/officeDocument/2006/relationships/hyperlink" Target="https://www.supplyhouse.com/Lochinvar-100330200-Flame-Sensor-w-Gasket" TargetMode="External"/><Relationship Id="rId24" Type="http://schemas.openxmlformats.org/officeDocument/2006/relationships/hyperlink" Target="https://www.partstown.com/search?q=SSBD81199NE" TargetMode="External"/><Relationship Id="rId23" Type="http://schemas.openxmlformats.org/officeDocument/2006/relationships/hyperlink" Target="https://www.supplyhouse.com/sh/control/search/" TargetMode="External"/><Relationship Id="rId129" Type="http://schemas.openxmlformats.org/officeDocument/2006/relationships/hyperlink" Target="https://www.remichel.com/WebServices/Catalog/BaseProduct/Search?_FieldName=&amp;_FieldValue=BGAS" TargetMode="External"/><Relationship Id="rId128" Type="http://schemas.openxmlformats.org/officeDocument/2006/relationships/hyperlink" Target="https://www.johnstonesupply.com/search?searchPhrase=BGAS" TargetMode="External"/><Relationship Id="rId127" Type="http://schemas.openxmlformats.org/officeDocument/2006/relationships/hyperlink" Target="https://www.radwell.com/en-US/Search/?q=BGAS" TargetMode="External"/><Relationship Id="rId126" Type="http://schemas.openxmlformats.org/officeDocument/2006/relationships/hyperlink" Target="https://www.supplyhouse.com/sh/control/search/~SEARCH_STRING=BGAS" TargetMode="External"/><Relationship Id="rId26" Type="http://schemas.openxmlformats.org/officeDocument/2006/relationships/hyperlink" Target="https://www.radwell.com/en-US/Search/?q=SSBD81199NE" TargetMode="External"/><Relationship Id="rId121" Type="http://schemas.openxmlformats.org/officeDocument/2006/relationships/hyperlink" Target="https://www.radwell.com/en-US/Search/?q=PL20X20X2" TargetMode="External"/><Relationship Id="rId25" Type="http://schemas.openxmlformats.org/officeDocument/2006/relationships/hyperlink" Target="https://www.supplyhouse.com/sh/control/search/~SEARCH_STRING=SSBD81199NE" TargetMode="External"/><Relationship Id="rId120" Type="http://schemas.openxmlformats.org/officeDocument/2006/relationships/hyperlink" Target="https://www.supplyhouse.com/sh/control/search/~SEARCH_STRING=PL20X20X2" TargetMode="External"/><Relationship Id="rId28" Type="http://schemas.openxmlformats.org/officeDocument/2006/relationships/hyperlink" Target="https://www.remichel.com/WebServices/Catalog/BaseProduct/Search?_FieldName=&amp;_FieldValue=SSBD81199NE" TargetMode="External"/><Relationship Id="rId27" Type="http://schemas.openxmlformats.org/officeDocument/2006/relationships/hyperlink" Target="https://www.johnstonesupply.com/search?searchPhrase=SSBD81199NE" TargetMode="External"/><Relationship Id="rId125" Type="http://schemas.openxmlformats.org/officeDocument/2006/relationships/hyperlink" Target="https://www.tranesupply.com/global-search/PL20X20X2" TargetMode="External"/><Relationship Id="rId29" Type="http://schemas.openxmlformats.org/officeDocument/2006/relationships/hyperlink" Target="https://www.grainger.com/search?searchQuery=SSBD81199NE&amp;searchBar=true" TargetMode="External"/><Relationship Id="rId124" Type="http://schemas.openxmlformats.org/officeDocument/2006/relationships/hyperlink" Target="https://www.grainger.com/search?searchQuery=PL20X20X2&amp;searchBar=true" TargetMode="External"/><Relationship Id="rId123" Type="http://schemas.openxmlformats.org/officeDocument/2006/relationships/hyperlink" Target="https://www.remichel.com/WebServices/Catalog/BaseProduct/Search?_FieldName=&amp;_FieldValue=PL20X20X2" TargetMode="External"/><Relationship Id="rId122" Type="http://schemas.openxmlformats.org/officeDocument/2006/relationships/hyperlink" Target="https://www.johnstonesupply.com/search?searchPhrase=PL20X20X2" TargetMode="External"/><Relationship Id="rId95" Type="http://schemas.openxmlformats.org/officeDocument/2006/relationships/hyperlink" Target="https://www.supplyhouse.com/sh/control/search/~SEARCH_STRING=PL16X20X2" TargetMode="External"/><Relationship Id="rId94" Type="http://schemas.openxmlformats.org/officeDocument/2006/relationships/hyperlink" Target="https://www.partstown.com/search?q=PL16X20X2" TargetMode="External"/><Relationship Id="rId97" Type="http://schemas.openxmlformats.org/officeDocument/2006/relationships/hyperlink" Target="https://www.johnstonesupply.com/search?searchPhrase=PL16X20X2" TargetMode="External"/><Relationship Id="rId96" Type="http://schemas.openxmlformats.org/officeDocument/2006/relationships/hyperlink" Target="https://www.radwell.com/en-US/Search/?q=PL16X20X2" TargetMode="External"/><Relationship Id="rId11" Type="http://schemas.openxmlformats.org/officeDocument/2006/relationships/hyperlink" Target="https://www.supplyhouse.com/York-S1-02625511000-24-3-Blade-Fan-1-2-Bore" TargetMode="External"/><Relationship Id="rId99" Type="http://schemas.openxmlformats.org/officeDocument/2006/relationships/hyperlink" Target="https://www.grainger.com/search?searchQuery=PL16X20X2&amp;searchBar=true" TargetMode="External"/><Relationship Id="rId10" Type="http://schemas.openxmlformats.org/officeDocument/2006/relationships/hyperlink" Target="https://www.partstown.com/york/yorks1-02625511000" TargetMode="External"/><Relationship Id="rId98" Type="http://schemas.openxmlformats.org/officeDocument/2006/relationships/hyperlink" Target="https://www.remichel.com/WebServices/Catalog/BaseProduct/Search?_FieldName=&amp;_FieldValue=PL16X20X2" TargetMode="External"/><Relationship Id="rId13" Type="http://schemas.openxmlformats.org/officeDocument/2006/relationships/hyperlink" Target="https://www.supplyhouse.com/AAON-ASM01668-Modulating-Gas-x-Controller" TargetMode="External"/><Relationship Id="rId12" Type="http://schemas.openxmlformats.org/officeDocument/2006/relationships/hyperlink" Target="https://www.partstown.com/aaon/aaonasm01668" TargetMode="External"/><Relationship Id="rId91" Type="http://schemas.openxmlformats.org/officeDocument/2006/relationships/hyperlink" Target="https://www.remichel.com/WebServices/Catalog/BaseProduct/Search?_FieldName=&amp;_FieldValue=PL20X20X2" TargetMode="External"/><Relationship Id="rId90" Type="http://schemas.openxmlformats.org/officeDocument/2006/relationships/hyperlink" Target="https://www.johnstonesupply.com/search?searchPhrase=PL20X20X2" TargetMode="External"/><Relationship Id="rId93" Type="http://schemas.openxmlformats.org/officeDocument/2006/relationships/hyperlink" Target="https://www.tranesupply.com/global-search/PL20X20X2" TargetMode="External"/><Relationship Id="rId92" Type="http://schemas.openxmlformats.org/officeDocument/2006/relationships/hyperlink" Target="https://www.grainger.com/search?searchQuery=PL20X20X2&amp;searchBar=true" TargetMode="External"/><Relationship Id="rId118" Type="http://schemas.openxmlformats.org/officeDocument/2006/relationships/hyperlink" Target="https://www.grainger.com/search?searchQuery=R-22%20refrigerant&amp;searchBar=true" TargetMode="External"/><Relationship Id="rId117" Type="http://schemas.openxmlformats.org/officeDocument/2006/relationships/hyperlink" Target="https://www.radwell.com/en-US/Search/?q=R-22%20refrigerant" TargetMode="External"/><Relationship Id="rId116" Type="http://schemas.openxmlformats.org/officeDocument/2006/relationships/hyperlink" Target="https://www.supplyhouse.com/sh/control/search/~SEARCH_STRING=R22%2030LB%20DISPOS-CAN%20HCFC" TargetMode="External"/><Relationship Id="rId115" Type="http://schemas.openxmlformats.org/officeDocument/2006/relationships/hyperlink" Target="https://www.partstown.com/search?q=R-22%20refrigerant" TargetMode="External"/><Relationship Id="rId119" Type="http://schemas.openxmlformats.org/officeDocument/2006/relationships/hyperlink" Target="https://www.partstown.com/search?q=PL20X20X2" TargetMode="External"/><Relationship Id="rId15" Type="http://schemas.openxmlformats.org/officeDocument/2006/relationships/hyperlink" Target="https://www.supplyhouse.com/LG-TBZ37416201-Compressor-Set-TBZ37416201" TargetMode="External"/><Relationship Id="rId110" Type="http://schemas.openxmlformats.org/officeDocument/2006/relationships/hyperlink" Target="https://www.radwell.com/en-US/Search/?q=BB61" TargetMode="External"/><Relationship Id="rId14" Type="http://schemas.openxmlformats.org/officeDocument/2006/relationships/hyperlink" Target="https://www.partstown.com/lg-appliances/lgaptbz37416201" TargetMode="External"/><Relationship Id="rId17" Type="http://schemas.openxmlformats.org/officeDocument/2006/relationships/hyperlink" Target="https://www.partstown.com/lochinvar/loc100345163" TargetMode="External"/><Relationship Id="rId16" Type="http://schemas.openxmlformats.org/officeDocument/2006/relationships/hyperlink" Target="https://www.partstown.com/lg-appliances/lgapmjx65110301" TargetMode="External"/><Relationship Id="rId19" Type="http://schemas.openxmlformats.org/officeDocument/2006/relationships/hyperlink" Target="https://www.supplyhouse.com/Lochinvar-100297132-Igniter-w-Gasket-Screws" TargetMode="External"/><Relationship Id="rId114" Type="http://schemas.openxmlformats.org/officeDocument/2006/relationships/hyperlink" Target="https://www.tranesupply.com/global-search/BB61" TargetMode="External"/><Relationship Id="rId18" Type="http://schemas.openxmlformats.org/officeDocument/2006/relationships/hyperlink" Target="https://www.partstown.com/lochinvar/loc100297132" TargetMode="External"/><Relationship Id="rId113" Type="http://schemas.openxmlformats.org/officeDocument/2006/relationships/hyperlink" Target="https://www.grainger.com/search?searchQuery=BB61&amp;searchBar=true" TargetMode="External"/><Relationship Id="rId112" Type="http://schemas.openxmlformats.org/officeDocument/2006/relationships/hyperlink" Target="https://www.remichel.com/WebServices/Catalog/BaseProduct/Search?_FieldName=&amp;_FieldValue=BB61" TargetMode="External"/><Relationship Id="rId111" Type="http://schemas.openxmlformats.org/officeDocument/2006/relationships/hyperlink" Target="https://www.johnstonesupply.com/search?searchPhrase=BB61" TargetMode="External"/><Relationship Id="rId84" Type="http://schemas.openxmlformats.org/officeDocument/2006/relationships/hyperlink" Target="https://www.remichel.com/WebServices/Catalog/BaseProduct/Search?_FieldName=&amp;_FieldValue=PL16X25X2" TargetMode="External"/><Relationship Id="rId83" Type="http://schemas.openxmlformats.org/officeDocument/2006/relationships/hyperlink" Target="https://www.johnstonesupply.com/search?searchPhrase=PL16X25X2" TargetMode="External"/><Relationship Id="rId86" Type="http://schemas.openxmlformats.org/officeDocument/2006/relationships/hyperlink" Target="https://www.tranesupply.com/global-search/PL16X25X2" TargetMode="External"/><Relationship Id="rId85" Type="http://schemas.openxmlformats.org/officeDocument/2006/relationships/hyperlink" Target="https://www.grainger.com/search?searchQuery=PL16X25X2&amp;searchBar=true" TargetMode="External"/><Relationship Id="rId88" Type="http://schemas.openxmlformats.org/officeDocument/2006/relationships/hyperlink" Target="https://www.supplyhouse.com/sh/control/search/~SEARCH_STRING=PL20X20X2" TargetMode="External"/><Relationship Id="rId87" Type="http://schemas.openxmlformats.org/officeDocument/2006/relationships/hyperlink" Target="https://www.partstown.com/search?q=PL20X20X2" TargetMode="External"/><Relationship Id="rId89" Type="http://schemas.openxmlformats.org/officeDocument/2006/relationships/hyperlink" Target="https://www.radwell.com/en-US/Search/?q=PL20X20X2" TargetMode="External"/><Relationship Id="rId80" Type="http://schemas.openxmlformats.org/officeDocument/2006/relationships/hyperlink" Target="https://www.partstown.com/search?q=PL16X25X2" TargetMode="External"/><Relationship Id="rId82" Type="http://schemas.openxmlformats.org/officeDocument/2006/relationships/hyperlink" Target="https://www.radwell.com/en-US/Search/?q=PL16X25X2" TargetMode="External"/><Relationship Id="rId81" Type="http://schemas.openxmlformats.org/officeDocument/2006/relationships/hyperlink" Target="https://www.supplyhouse.com/sh/control/search/~SEARCH_STRING=PL16X25X2" TargetMode="External"/><Relationship Id="rId1" Type="http://schemas.openxmlformats.org/officeDocument/2006/relationships/hyperlink" Target="https://www.partstown.com/trane/trncom09751" TargetMode="External"/><Relationship Id="rId2" Type="http://schemas.openxmlformats.org/officeDocument/2006/relationships/hyperlink" Target="https://www.partstown.com/trane/trndhy01481" TargetMode="External"/><Relationship Id="rId3" Type="http://schemas.openxmlformats.org/officeDocument/2006/relationships/hyperlink" Target="https://www.supplyhouse.com/Trane-DHY01481-30cu-Liquid-Line-Drier-7-8-Sweat-Connections-DHY01481" TargetMode="External"/><Relationship Id="rId4" Type="http://schemas.openxmlformats.org/officeDocument/2006/relationships/hyperlink" Target="https://www.partstown.com/trane/trnsfctr3p40a120vla2l" TargetMode="External"/><Relationship Id="rId9" Type="http://schemas.openxmlformats.org/officeDocument/2006/relationships/hyperlink" Target="https://www.supplyhouse.com/York-S1-02427501000-850-RPM-1-Phase-48-Condenser-Motor-1-4-HP-460V" TargetMode="External"/><Relationship Id="rId5" Type="http://schemas.openxmlformats.org/officeDocument/2006/relationships/hyperlink" Target="https://www.partstown.com/trane/trnfus00907" TargetMode="External"/><Relationship Id="rId6" Type="http://schemas.openxmlformats.org/officeDocument/2006/relationships/hyperlink" Target="https://www.supplyhouse.com/Trane-FUS00907-JLLS150-JJS-150-600vac-150amp-Class-T-Fast-Acting-Fuse-FUS00907" TargetMode="External"/><Relationship Id="rId7" Type="http://schemas.openxmlformats.org/officeDocument/2006/relationships/hyperlink" Target="https://www.supplyhouse.com/Qwik-Products-QT2000-QwikCheck-Acid-Test-Kit" TargetMode="External"/><Relationship Id="rId8" Type="http://schemas.openxmlformats.org/officeDocument/2006/relationships/hyperlink" Target="https://www.partstown.com/york/yorks1-02427501000" TargetMode="External"/><Relationship Id="rId73" Type="http://schemas.openxmlformats.org/officeDocument/2006/relationships/hyperlink" Target="https://www.partstown.com/search?q=PL20X25X2" TargetMode="External"/><Relationship Id="rId72" Type="http://schemas.openxmlformats.org/officeDocument/2006/relationships/hyperlink" Target="https://www.tranesupply.com/global-search/BTWV30RX" TargetMode="External"/><Relationship Id="rId75" Type="http://schemas.openxmlformats.org/officeDocument/2006/relationships/hyperlink" Target="https://www.radwell.com/en-US/Search/?q=PL20X25X2" TargetMode="External"/><Relationship Id="rId74" Type="http://schemas.openxmlformats.org/officeDocument/2006/relationships/hyperlink" Target="https://www.supplyhouse.com/sh/control/search/~SEARCH_STRING=PL20X25X2" TargetMode="External"/><Relationship Id="rId77" Type="http://schemas.openxmlformats.org/officeDocument/2006/relationships/hyperlink" Target="https://www.remichel.com/WebServices/Catalog/BaseProduct/Search?_FieldName=&amp;_FieldValue=PL20X25X2" TargetMode="External"/><Relationship Id="rId76" Type="http://schemas.openxmlformats.org/officeDocument/2006/relationships/hyperlink" Target="https://www.johnstonesupply.com/search?searchPhrase=PL20X25X2" TargetMode="External"/><Relationship Id="rId79" Type="http://schemas.openxmlformats.org/officeDocument/2006/relationships/hyperlink" Target="https://www.tranesupply.com/global-search/PL20X25X2" TargetMode="External"/><Relationship Id="rId78" Type="http://schemas.openxmlformats.org/officeDocument/2006/relationships/hyperlink" Target="https://www.grainger.com/search?searchQuery=PL20X25X2&amp;searchBar=true" TargetMode="External"/><Relationship Id="rId71" Type="http://schemas.openxmlformats.org/officeDocument/2006/relationships/hyperlink" Target="https://www.grainger.com/search?searchQuery=BTWV30RX&amp;searchBar=true" TargetMode="External"/><Relationship Id="rId70" Type="http://schemas.openxmlformats.org/officeDocument/2006/relationships/hyperlink" Target="https://www.remichel.com/WebServices/Catalog/BaseProduct/Search?_FieldName=&amp;_FieldValue=BTWV30RX" TargetMode="External"/><Relationship Id="rId138" Type="http://schemas.openxmlformats.org/officeDocument/2006/relationships/drawing" Target="../drawings/drawing4.xml"/><Relationship Id="rId137" Type="http://schemas.openxmlformats.org/officeDocument/2006/relationships/hyperlink" Target="https://www.tranesupply.com/global-search/acid%20test%20kit" TargetMode="External"/><Relationship Id="rId132" Type="http://schemas.openxmlformats.org/officeDocument/2006/relationships/hyperlink" Target="https://www.supplyhouse.com/Refrigeration-Technologies-RT100S-Big-Blu-Micro-Leak-Detector-1-Qt" TargetMode="External"/><Relationship Id="rId131" Type="http://schemas.openxmlformats.org/officeDocument/2006/relationships/hyperlink" Target="https://www.tranesupply.com/global-search/BGAS" TargetMode="External"/><Relationship Id="rId130" Type="http://schemas.openxmlformats.org/officeDocument/2006/relationships/hyperlink" Target="https://www.grainger.com/search?searchQuery=BGAS&amp;searchBar=true" TargetMode="External"/><Relationship Id="rId136" Type="http://schemas.openxmlformats.org/officeDocument/2006/relationships/hyperlink" Target="https://www.tranesupply.com/global-search/FUS00907" TargetMode="External"/><Relationship Id="rId135" Type="http://schemas.openxmlformats.org/officeDocument/2006/relationships/hyperlink" Target="https://www.tranesupply.com/global-search/RLY00681" TargetMode="External"/><Relationship Id="rId134" Type="http://schemas.openxmlformats.org/officeDocument/2006/relationships/hyperlink" Target="https://www.grainger.com/search?searchQuery=RT100S&amp;searchBar=true" TargetMode="External"/><Relationship Id="rId133" Type="http://schemas.openxmlformats.org/officeDocument/2006/relationships/hyperlink" Target="https://www.radwell.com/Buy/REFRIGERATION%20TECH/REFRIGERATION%20TECH/RT100S" TargetMode="External"/><Relationship Id="rId62" Type="http://schemas.openxmlformats.org/officeDocument/2006/relationships/hyperlink" Target="https://www.johnstonesupply.com/search?searchPhrase=RRE180IP" TargetMode="External"/><Relationship Id="rId61" Type="http://schemas.openxmlformats.org/officeDocument/2006/relationships/hyperlink" Target="https://www.radwell.com/en-US/Search/?q=RRE180IP" TargetMode="External"/><Relationship Id="rId64" Type="http://schemas.openxmlformats.org/officeDocument/2006/relationships/hyperlink" Target="https://www.grainger.com/search?searchQuery=RRE180IP&amp;searchBar=true" TargetMode="External"/><Relationship Id="rId63" Type="http://schemas.openxmlformats.org/officeDocument/2006/relationships/hyperlink" Target="https://www.remichel.com/WebServices/Catalog/BaseProduct/Search?_FieldName=&amp;_FieldValue=RRE180IP" TargetMode="External"/><Relationship Id="rId66" Type="http://schemas.openxmlformats.org/officeDocument/2006/relationships/hyperlink" Target="https://www.partstown.com/search?q=BTWV30RX" TargetMode="External"/><Relationship Id="rId65" Type="http://schemas.openxmlformats.org/officeDocument/2006/relationships/hyperlink" Target="https://www.tranesupply.com/global-search/RRE180IP" TargetMode="External"/><Relationship Id="rId68" Type="http://schemas.openxmlformats.org/officeDocument/2006/relationships/hyperlink" Target="https://www.radwell.com/en-US/Search/?q=BTWV30RX" TargetMode="External"/><Relationship Id="rId67" Type="http://schemas.openxmlformats.org/officeDocument/2006/relationships/hyperlink" Target="https://www.supplyhouse.com/sh/control/search/~SEARCH_STRING=BTWV30RX" TargetMode="External"/><Relationship Id="rId60" Type="http://schemas.openxmlformats.org/officeDocument/2006/relationships/hyperlink" Target="https://www.supplyhouse.com/sh/control/search/~SEARCH_STRING=RRE180IP" TargetMode="External"/><Relationship Id="rId69" Type="http://schemas.openxmlformats.org/officeDocument/2006/relationships/hyperlink" Target="https://www.johnstonesupply.com/search?searchPhrase=BTWV30RX" TargetMode="External"/><Relationship Id="rId51" Type="http://schemas.openxmlformats.org/officeDocument/2006/relationships/hyperlink" Target="https://www.tranesupply.com/global-search/DPC1500" TargetMode="External"/><Relationship Id="rId50" Type="http://schemas.openxmlformats.org/officeDocument/2006/relationships/hyperlink" Target="https://www.grainger.com/search?searchQuery=DPC1500&amp;searchBar=true" TargetMode="External"/><Relationship Id="rId53" Type="http://schemas.openxmlformats.org/officeDocument/2006/relationships/hyperlink" Target="https://www.supplyhouse.com/sh/control/search/~SEARCH_STRING=RCL1026312000" TargetMode="External"/><Relationship Id="rId52" Type="http://schemas.openxmlformats.org/officeDocument/2006/relationships/hyperlink" Target="https://www.partstown.com/search?q=RCL1026312000" TargetMode="External"/><Relationship Id="rId55" Type="http://schemas.openxmlformats.org/officeDocument/2006/relationships/hyperlink" Target="https://www.johnstonesupply.com/search?searchPhrase=RCL1026312000" TargetMode="External"/><Relationship Id="rId54" Type="http://schemas.openxmlformats.org/officeDocument/2006/relationships/hyperlink" Target="https://www.radwell.com/en-US/Search/?q=RCL1026312000" TargetMode="External"/><Relationship Id="rId57" Type="http://schemas.openxmlformats.org/officeDocument/2006/relationships/hyperlink" Target="https://www.grainger.com/search?searchQuery=RCL1026312000&amp;searchBar=true" TargetMode="External"/><Relationship Id="rId56" Type="http://schemas.openxmlformats.org/officeDocument/2006/relationships/hyperlink" Target="https://www.remichel.com/WebServices/Catalog/BaseProduct/Search?_FieldName=&amp;_FieldValue=RCL1026312000" TargetMode="External"/><Relationship Id="rId59" Type="http://schemas.openxmlformats.org/officeDocument/2006/relationships/hyperlink" Target="https://www.partstown.com/search?q=RRE180IP" TargetMode="External"/><Relationship Id="rId58" Type="http://schemas.openxmlformats.org/officeDocument/2006/relationships/hyperlink" Target="https://www.tranesupply.com/global-search/RCL1026312000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rainger.com/product/AAON-Controller-Detector-40LV50" TargetMode="External"/><Relationship Id="rId42" Type="http://schemas.openxmlformats.org/officeDocument/2006/relationships/hyperlink" Target="https://www.johnstonesupply.com/search?searchPhrase=TBZ37957301" TargetMode="External"/><Relationship Id="rId41" Type="http://schemas.openxmlformats.org/officeDocument/2006/relationships/hyperlink" Target="https://www.ferguson.com/search?q=TBZ37416201&amp;lang=en_US" TargetMode="External"/><Relationship Id="rId44" Type="http://schemas.openxmlformats.org/officeDocument/2006/relationships/hyperlink" Target="https://www.grainger.com/search?searchQuery=TBZ37957301&amp;searchBar=true" TargetMode="External"/><Relationship Id="rId43" Type="http://schemas.openxmlformats.org/officeDocument/2006/relationships/hyperlink" Target="https://www.remichel.com/WebServices/Catalog/BaseProduct/Search?_FieldName=&amp;_FieldValue=TBZ37957301" TargetMode="External"/><Relationship Id="rId46" Type="http://schemas.openxmlformats.org/officeDocument/2006/relationships/hyperlink" Target="https://www.johnstonesupply.com/search?searchPhrase=MJX65110301" TargetMode="External"/><Relationship Id="rId45" Type="http://schemas.openxmlformats.org/officeDocument/2006/relationships/hyperlink" Target="https://www.ferguson.com/search?q=MJX65110301&amp;lang=en_US" TargetMode="External"/><Relationship Id="rId48" Type="http://schemas.openxmlformats.org/officeDocument/2006/relationships/hyperlink" Target="https://www.grainger.com/search?searchQuery=MJX65110301&amp;searchBar=true" TargetMode="External"/><Relationship Id="rId47" Type="http://schemas.openxmlformats.org/officeDocument/2006/relationships/hyperlink" Target="https://www.remichel.com/WebServices/Catalog/BaseProduct/Search?_FieldName=&amp;_FieldValue=MJX65110301" TargetMode="External"/><Relationship Id="rId49" Type="http://schemas.openxmlformats.org/officeDocument/2006/relationships/hyperlink" Target="https://www.ferguson.com/product/lochinvar-armor-ignitor-with-gasket-screw-l100297132/9334956.html" TargetMode="External"/><Relationship Id="rId31" Type="http://schemas.openxmlformats.org/officeDocument/2006/relationships/hyperlink" Target="https://www.remichel.com/WebServices/Catalog/BaseProduct/Search?_FieldName=&amp;_FieldValue=S1-02427501000" TargetMode="External"/><Relationship Id="rId30" Type="http://schemas.openxmlformats.org/officeDocument/2006/relationships/hyperlink" Target="https://www.johnstonesupply.com/product-view?pID=S80-914" TargetMode="External"/><Relationship Id="rId33" Type="http://schemas.openxmlformats.org/officeDocument/2006/relationships/hyperlink" Target="https://www.ferguson.com/search?q=S1-02625511000&amp;lang=en_US" TargetMode="External"/><Relationship Id="rId32" Type="http://schemas.openxmlformats.org/officeDocument/2006/relationships/hyperlink" Target="https://www.grainger.com/product/EATON-Definite-Purpose-Magnetic-49C062?opr=NSDSP&amp;analytics=FM%3AnspNav" TargetMode="External"/><Relationship Id="rId35" Type="http://schemas.openxmlformats.org/officeDocument/2006/relationships/hyperlink" Target="https://www.remichel.com/WebServices/Catalog/BaseProduct/Search?_FieldName=&amp;_FieldValue=S1-02625511000" TargetMode="External"/><Relationship Id="rId34" Type="http://schemas.openxmlformats.org/officeDocument/2006/relationships/hyperlink" Target="https://www.johnstonesupply.com/product-view?pID=W89-729" TargetMode="External"/><Relationship Id="rId37" Type="http://schemas.openxmlformats.org/officeDocument/2006/relationships/hyperlink" Target="https://www.ferguson.com/search?q=ASM01668+MODGAS-X&amp;lang=en_US" TargetMode="External"/><Relationship Id="rId36" Type="http://schemas.openxmlformats.org/officeDocument/2006/relationships/hyperlink" Target="https://www.grainger.com/product/YORK-FAN-BLADES-449EE8?searchQuery=S1-02625511000&amp;searchBar=true&amp;tier=Tier+6&amp;s_e=false&amp;s_c=solr8" TargetMode="External"/><Relationship Id="rId39" Type="http://schemas.openxmlformats.org/officeDocument/2006/relationships/hyperlink" Target="https://www.remichel.com/WebServices/Catalog/BaseProduct/Search?_FieldName=&amp;_FieldValue=ASM01668%20MODGAS-X" TargetMode="External"/><Relationship Id="rId38" Type="http://schemas.openxmlformats.org/officeDocument/2006/relationships/hyperlink" Target="https://www.johnstonesupply.com/search?searchPhrase=ASM01668%20MODGAS-X" TargetMode="External"/><Relationship Id="rId20" Type="http://schemas.openxmlformats.org/officeDocument/2006/relationships/hyperlink" Target="https://www.grainger.com/product/IGUS-Cable-Carrier-832EN9?searchQuery=FUS00907&amp;searchBar=true&amp;tier=Tier+7&amp;s_e=false&amp;s_c=solr8" TargetMode="External"/><Relationship Id="rId22" Type="http://schemas.openxmlformats.org/officeDocument/2006/relationships/hyperlink" Target="https://www.johnstonesupply.com/product-view?pID=B11-678" TargetMode="External"/><Relationship Id="rId21" Type="http://schemas.openxmlformats.org/officeDocument/2006/relationships/hyperlink" Target="https://www.ferguson.com/product/mainstream-engineering-air-conditioner-acid-test-kit-mqt2000/436040.html" TargetMode="External"/><Relationship Id="rId24" Type="http://schemas.openxmlformats.org/officeDocument/2006/relationships/hyperlink" Target="https://www.grainger.com/product/HYDRION-Peracetic-Acid-Test-Strip-39J088" TargetMode="External"/><Relationship Id="rId23" Type="http://schemas.openxmlformats.org/officeDocument/2006/relationships/hyperlink" Target="https://www.remichel.com/WebServices/Catalog/BaseProduct/Search?_FieldName=&amp;_FieldValue=Acid%20Test%20Kit" TargetMode="External"/><Relationship Id="rId26" Type="http://schemas.openxmlformats.org/officeDocument/2006/relationships/hyperlink" Target="https://www.johnstonesupply.com/search?searchPhrase=E1RD036S46B" TargetMode="External"/><Relationship Id="rId25" Type="http://schemas.openxmlformats.org/officeDocument/2006/relationships/hyperlink" Target="https://www.ferguson.com/search?q=E1RD036S46B&amp;lang=en_US" TargetMode="External"/><Relationship Id="rId28" Type="http://schemas.openxmlformats.org/officeDocument/2006/relationships/hyperlink" Target="https://www.grainger.com/product/Belt-Drive-Motor-1-Speed-1AGG1?opr=NSDSP&amp;analytics=FM%3AnspNav" TargetMode="External"/><Relationship Id="rId27" Type="http://schemas.openxmlformats.org/officeDocument/2006/relationships/hyperlink" Target="https://www.remichel.com/WebServices/Catalog/BaseProduct/Search?_FieldName=&amp;_FieldValue=E1RD036S46B" TargetMode="External"/><Relationship Id="rId29" Type="http://schemas.openxmlformats.org/officeDocument/2006/relationships/hyperlink" Target="https://www.ferguson.com/search?q=S1-02427501000&amp;lang=en_US" TargetMode="External"/><Relationship Id="rId11" Type="http://schemas.openxmlformats.org/officeDocument/2006/relationships/hyperlink" Target="https://www.remichel.com/WebServices/Catalog/BaseProduct/Search?_FieldName=&amp;_FieldValue=RLY00681" TargetMode="External"/><Relationship Id="rId10" Type="http://schemas.openxmlformats.org/officeDocument/2006/relationships/hyperlink" Target="https://www.johnstonesupply.com/search?searchPhrase=RLY00681" TargetMode="External"/><Relationship Id="rId13" Type="http://schemas.openxmlformats.org/officeDocument/2006/relationships/hyperlink" Target="https://www.ferguson.com/search?q=SFCTR3P40A120VLA2L&amp;lang=en_US" TargetMode="External"/><Relationship Id="rId12" Type="http://schemas.openxmlformats.org/officeDocument/2006/relationships/hyperlink" Target="https://www.grainger.com/search?searchQuery=RLY00681&amp;searchBar=true" TargetMode="External"/><Relationship Id="rId15" Type="http://schemas.openxmlformats.org/officeDocument/2006/relationships/hyperlink" Target="https://www.remichel.com/WebServices/Catalog/BaseProduct/Search?_FieldName=&amp;_FieldValue=SFCTR3P40A120VLA2L" TargetMode="External"/><Relationship Id="rId14" Type="http://schemas.openxmlformats.org/officeDocument/2006/relationships/hyperlink" Target="https://www.johnstonesupply.com/search?searchPhrase=SFCTR3P40A120VLA2L" TargetMode="External"/><Relationship Id="rId17" Type="http://schemas.openxmlformats.org/officeDocument/2006/relationships/hyperlink" Target="https://www.ferguson.com/search?q=FUS00907&amp;lang=en_US" TargetMode="External"/><Relationship Id="rId16" Type="http://schemas.openxmlformats.org/officeDocument/2006/relationships/hyperlink" Target="https://www.grainger.com/product/EATON-Definite-Purpose-Magnetic-49C085?searchQuery=SFCTR3P40A120VLA2L&amp;searchBar=true&amp;xRefMatch=true&amp;tier=Tier+8&amp;s_e=false&amp;s_c=solr8" TargetMode="External"/><Relationship Id="rId19" Type="http://schemas.openxmlformats.org/officeDocument/2006/relationships/hyperlink" Target="https://www.remichel.com/WebServices/Catalog/BaseProduct/Search?_FieldName=&amp;_FieldValue=FUS00907" TargetMode="External"/><Relationship Id="rId18" Type="http://schemas.openxmlformats.org/officeDocument/2006/relationships/hyperlink" Target="https://www.johnstonesupply.com/search?searchPhrase=FUS00907" TargetMode="External"/><Relationship Id="rId84" Type="http://schemas.openxmlformats.org/officeDocument/2006/relationships/hyperlink" Target="https://www.grainger.com/category/plumbing/plumbing-valves/shut-off-valves/gate-valves/general-purpose-gate-valves/cast-iron-ductile-iron-general-purpose-gate-valves?sst=4&amp;tv_optin=false&amp;searchBar=true&amp;searchQuery=2-1%2F2%E2%80%9D+NIBCO+GATE+VALVE%2C+CLASS+300%27&amp;s_e=false" TargetMode="External"/><Relationship Id="rId83" Type="http://schemas.openxmlformats.org/officeDocument/2006/relationships/hyperlink" Target="https://www.remichel.com/WebServices/Catalog/BaseProduct/Search?_FieldName=&amp;_FieldValue=2-1%2F2%E2%80%9D%20NIBCO%20Gate%20Valve%2C%20Class%20300" TargetMode="External"/><Relationship Id="rId85" Type="http://schemas.openxmlformats.org/officeDocument/2006/relationships/drawing" Target="../drawings/drawing5.xml"/><Relationship Id="rId80" Type="http://schemas.openxmlformats.org/officeDocument/2006/relationships/hyperlink" Target="https://www.grainger.com/product/NIBCO-Gate-Valve-2-in-6P969" TargetMode="External"/><Relationship Id="rId82" Type="http://schemas.openxmlformats.org/officeDocument/2006/relationships/hyperlink" Target="https://www.johnstonesupply.com/search?searchPhrase=2-1%2F2%E2%80%9D%20NIBCO%20Gate%20Valve%2C%20Class%20300" TargetMode="External"/><Relationship Id="rId81" Type="http://schemas.openxmlformats.org/officeDocument/2006/relationships/hyperlink" Target="https://www.ferguson.com/search?q=2-1%2F2%E2%80%9D+NIBCO+Gate+Valve%2C+Class+300&amp;lang=en_US" TargetMode="External"/><Relationship Id="rId1" Type="http://schemas.openxmlformats.org/officeDocument/2006/relationships/hyperlink" Target="https://www.ferguson.com/search?q=COM09751&amp;lang=en_US" TargetMode="External"/><Relationship Id="rId2" Type="http://schemas.openxmlformats.org/officeDocument/2006/relationships/hyperlink" Target="https://www.johnstonesupply.com/search?searchPhrase=COM09751" TargetMode="External"/><Relationship Id="rId3" Type="http://schemas.openxmlformats.org/officeDocument/2006/relationships/hyperlink" Target="https://www.remichel.com/WebServices/Catalog/BaseProduct/Search?_FieldName=&amp;_FieldValue=COM09751" TargetMode="External"/><Relationship Id="rId4" Type="http://schemas.openxmlformats.org/officeDocument/2006/relationships/hyperlink" Target="https://www.grainger.com/search?searchQuery=COM09751&amp;searchBar=true" TargetMode="External"/><Relationship Id="rId9" Type="http://schemas.openxmlformats.org/officeDocument/2006/relationships/hyperlink" Target="https://www.ferguson.com/search?q=RLY00681&amp;lang=en_US" TargetMode="External"/><Relationship Id="rId5" Type="http://schemas.openxmlformats.org/officeDocument/2006/relationships/hyperlink" Target="https://www.ferguson.com/search?q=DHY01481&amp;lang=en_US" TargetMode="External"/><Relationship Id="rId6" Type="http://schemas.openxmlformats.org/officeDocument/2006/relationships/hyperlink" Target="https://www.johnstonesupply.com/search?searchPhrase=DHY01481" TargetMode="External"/><Relationship Id="rId7" Type="http://schemas.openxmlformats.org/officeDocument/2006/relationships/hyperlink" Target="https://www.remichel.com/WebServices/Catalog/BaseProduct/Search?_FieldName=&amp;_FieldValue=DHY01481" TargetMode="External"/><Relationship Id="rId8" Type="http://schemas.openxmlformats.org/officeDocument/2006/relationships/hyperlink" Target="https://www.grainger.com/product/PARKER-Liquid-Line-Filter-Dryer-Steel-463L46" TargetMode="External"/><Relationship Id="rId73" Type="http://schemas.openxmlformats.org/officeDocument/2006/relationships/hyperlink" Target="https://www.ferguson.com/product/nibco-1%2F2-x-3%2F4-in.-cup-and-mip-x-hose-boiler-drain-valve-nqt74xd/2408200.html" TargetMode="External"/><Relationship Id="rId72" Type="http://schemas.openxmlformats.org/officeDocument/2006/relationships/hyperlink" Target="https://www.grainger.com/category/pipe-hose-tube-fittings/pipe-pipe-fittings/standard-pipe-pipe-fittings/steel-iron-high-strength-pipe-pipe-fittings/steel-iron-pipe-pipe-nipples?sst=4&amp;tv_optin=true&amp;searchBar=true&amp;searchQuery=3%2F4%E2%80%9D+ASSORTED+SCHEDULE+80+BLACK+THREADED+NIPPLES&amp;s_e=false" TargetMode="External"/><Relationship Id="rId75" Type="http://schemas.openxmlformats.org/officeDocument/2006/relationships/hyperlink" Target="https://www.remichel.com/WebServices/Catalog/BaseProduct/Search?_FieldName=&amp;_FieldValue=1-1%2F2%E2%80%9D%20NIBCO%20T-174A%20Brass%20Threaded%20Gate%20Valves" TargetMode="External"/><Relationship Id="rId74" Type="http://schemas.openxmlformats.org/officeDocument/2006/relationships/hyperlink" Target="https://www.johnstonesupply.com/search?searchPhrase=1-1%2F2%E2%80%9D%20NIBCO%20T-174A%20Brass%20Threaded%20Gate%20Valves" TargetMode="External"/><Relationship Id="rId77" Type="http://schemas.openxmlformats.org/officeDocument/2006/relationships/hyperlink" Target="https://www.ferguson.com/product/proflo-2-in.-lead-free-brass-port-fnpt-gate-valve-pfxt300k/3880197.html" TargetMode="External"/><Relationship Id="rId76" Type="http://schemas.openxmlformats.org/officeDocument/2006/relationships/hyperlink" Target="https://www.grainger.com/category/plumbing/plumbing-valves/shut-off-valves/gate-valves/general-purpose-gate-valves/bronze-general-purpose-gate-valves?sst=4&amp;tv_optin=false&amp;searchBar=true&amp;searchQuery=1-1%2F2%E2%80%9D+NIBCO+T-174A+Brass+Threaded+Gate+Valves&amp;s_e=false" TargetMode="External"/><Relationship Id="rId79" Type="http://schemas.openxmlformats.org/officeDocument/2006/relationships/hyperlink" Target="https://www.remichel.com/WebServices/Catalog/BaseProduct/Search?_FieldName=&amp;_FieldValue=2%E2%80%9D%20NIBCO%20T-174A%20Brass%20Threaded%20Gate%20Valve" TargetMode="External"/><Relationship Id="rId78" Type="http://schemas.openxmlformats.org/officeDocument/2006/relationships/hyperlink" Target="https://www.johnstonesupply.com/search?searchPhrase=2%E2%80%9D%20NIBCO%20T-174A%20Brass%20Threaded%20Gate%20Valve" TargetMode="External"/><Relationship Id="rId71" Type="http://schemas.openxmlformats.org/officeDocument/2006/relationships/hyperlink" Target="https://www.remichel.com/WebServices/Catalog/BaseProduct/Search?_FieldName=&amp;_FieldValue=3%2F4%E2%80%9D%20Assorted%20Schedule%2080%20Black%20Threaded%20Nipples" TargetMode="External"/><Relationship Id="rId70" Type="http://schemas.openxmlformats.org/officeDocument/2006/relationships/hyperlink" Target="https://www.johnstonesupply.com/product-view?pID=R54-149" TargetMode="External"/><Relationship Id="rId62" Type="http://schemas.openxmlformats.org/officeDocument/2006/relationships/hyperlink" Target="https://www.johnstonesupply.com/search?searchPhrase=3%2F4%E2%80%9D%20Schedule%2080%20Black%20Steel%20Pipe%2C%2010%E2%80%99%20Lengths" TargetMode="External"/><Relationship Id="rId61" Type="http://schemas.openxmlformats.org/officeDocument/2006/relationships/hyperlink" Target="https://www.ferguson.com/search?q=3%2F4%E2%80%9D+Schedule+80+Black+Steel+Pipe%2C+10%E2%80%99+Lengths&amp;lang=en_US" TargetMode="External"/><Relationship Id="rId64" Type="http://schemas.openxmlformats.org/officeDocument/2006/relationships/hyperlink" Target="https://www.grainger.com/product/Pipe-3-8-in-Nominal-Pipe-Size-1LMB8" TargetMode="External"/><Relationship Id="rId63" Type="http://schemas.openxmlformats.org/officeDocument/2006/relationships/hyperlink" Target="https://www.remichel.com/WebServices/Catalog/BaseProduct/Search?_FieldName=&amp;_FieldValue=3%2F4%E2%80%9D%20Schedule%2080%20Black%20Steel%20Pipe%2C%2010%E2%80%99%20Lengths" TargetMode="External"/><Relationship Id="rId66" Type="http://schemas.openxmlformats.org/officeDocument/2006/relationships/hyperlink" Target="https://www.johnstonesupply.com/search?searchPhrase=2%E2%80%9D%20SCHEDULE%2080%20BLACK%20STEEL%20PIPE" TargetMode="External"/><Relationship Id="rId65" Type="http://schemas.openxmlformats.org/officeDocument/2006/relationships/hyperlink" Target="https://www.ferguson.com/product/2-in.-schedule-80-seamless-black-carbon-steel-pipe-dbspa106b801040k/4568082.html" TargetMode="External"/><Relationship Id="rId68" Type="http://schemas.openxmlformats.org/officeDocument/2006/relationships/hyperlink" Target="https://www.grainger.com/product/Pipe-2-in-Nominal-Pipe-Size-1RJT4" TargetMode="External"/><Relationship Id="rId67" Type="http://schemas.openxmlformats.org/officeDocument/2006/relationships/hyperlink" Target="https://www.remichel.com/WebServices/Catalog/BaseProduct/Search?_FieldName=&amp;_FieldValue=2%E2%80%9D%20Schedule%2080%20Black%20Steel%20Pipe" TargetMode="External"/><Relationship Id="rId60" Type="http://schemas.openxmlformats.org/officeDocument/2006/relationships/hyperlink" Target="https://www.grainger.com/product/Pipe-304-Stainless-Steel-4TPL9" TargetMode="External"/><Relationship Id="rId69" Type="http://schemas.openxmlformats.org/officeDocument/2006/relationships/hyperlink" Target="https://www.ferguson.com/search?q=3%2F4%E2%80%9D+Assorted+Schedule+80+Black+Threaded+Nipples&amp;lang=en_US" TargetMode="External"/><Relationship Id="rId51" Type="http://schemas.openxmlformats.org/officeDocument/2006/relationships/hyperlink" Target="https://www.remichel.com/WebServices/Catalog/BaseProduct/Search?_FieldName=&amp;_FieldValue=100297132" TargetMode="External"/><Relationship Id="rId50" Type="http://schemas.openxmlformats.org/officeDocument/2006/relationships/hyperlink" Target="https://www.johnstonesupply.com/search?searchPhrase=100297132" TargetMode="External"/><Relationship Id="rId53" Type="http://schemas.openxmlformats.org/officeDocument/2006/relationships/hyperlink" Target="https://www.ferguson.com/product/lochinvar-flame-sensor-with-gasket-screws-l100330200/9334947.html" TargetMode="External"/><Relationship Id="rId52" Type="http://schemas.openxmlformats.org/officeDocument/2006/relationships/hyperlink" Target="https://www.grainger.com/product/LOCHINVAR-Pilot-Ignitor-Assembly-Kit-419JT9?searchQuery=100297132&amp;searchBar=true&amp;tier=Tier+6&amp;s_e=false&amp;s_c=solr8" TargetMode="External"/><Relationship Id="rId55" Type="http://schemas.openxmlformats.org/officeDocument/2006/relationships/hyperlink" Target="https://www.remichel.com/WebServices/Catalog/BaseProduct/Search?_FieldName=&amp;_FieldValue=100330200" TargetMode="External"/><Relationship Id="rId54" Type="http://schemas.openxmlformats.org/officeDocument/2006/relationships/hyperlink" Target="https://www.johnstonesupply.com/search?searchPhrase=100330200" TargetMode="External"/><Relationship Id="rId57" Type="http://schemas.openxmlformats.org/officeDocument/2006/relationships/hyperlink" Target="https://www.ferguson.com/search?q=1-1%2F2%E2%80%9D+Schedule+80+Black+Steel+Pipe%2C+10%E2%80%99+Lengths&amp;lang=en_US" TargetMode="External"/><Relationship Id="rId56" Type="http://schemas.openxmlformats.org/officeDocument/2006/relationships/hyperlink" Target="https://www.grainger.com/search?searchQuery=100330200&amp;searchBar=true" TargetMode="External"/><Relationship Id="rId59" Type="http://schemas.openxmlformats.org/officeDocument/2006/relationships/hyperlink" Target="https://www.remichel.com/WebServices/Catalog/BaseProduct/Search?_FieldName=&amp;_FieldValue=1-1%2F2%E2%80%9D%20Schedule%2080%20Black%20Steel%20Pipe%2C%2010%E2%80%99%20Lengths" TargetMode="External"/><Relationship Id="rId58" Type="http://schemas.openxmlformats.org/officeDocument/2006/relationships/hyperlink" Target="https://www.johnstonesupply.com/search?searchPhrase=1-1%2F2%E2%80%9D%20Schedule%2080%20Black%20Steel%20Pipe%2C%2010%E2%80%99%20Lengths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artstown.com/lochinvar/loc100330200" TargetMode="External"/><Relationship Id="rId22" Type="http://schemas.openxmlformats.org/officeDocument/2006/relationships/hyperlink" Target="https://www.supplyhouse.com/Black-Schedule-80-Nipples-20740000" TargetMode="External"/><Relationship Id="rId21" Type="http://schemas.openxmlformats.org/officeDocument/2006/relationships/hyperlink" Target="https://www.supplyhouse.com/Lochinvar-100330200-Flame-Sensor-w-Gasket" TargetMode="External"/><Relationship Id="rId24" Type="http://schemas.openxmlformats.org/officeDocument/2006/relationships/drawing" Target="../drawings/drawing6.xml"/><Relationship Id="rId23" Type="http://schemas.openxmlformats.org/officeDocument/2006/relationships/hyperlink" Target="https://www.supplyhouse.com/sh/control/search/" TargetMode="External"/><Relationship Id="rId11" Type="http://schemas.openxmlformats.org/officeDocument/2006/relationships/hyperlink" Target="https://www.supplyhouse.com/York-S1-02625511000-24-3-Blade-Fan-1-2-Bore" TargetMode="External"/><Relationship Id="rId10" Type="http://schemas.openxmlformats.org/officeDocument/2006/relationships/hyperlink" Target="https://www.partstown.com/york/yorks1-02625511000" TargetMode="External"/><Relationship Id="rId13" Type="http://schemas.openxmlformats.org/officeDocument/2006/relationships/hyperlink" Target="https://www.supplyhouse.com/AAON-ASM01668-Modulating-Gas-x-Controller" TargetMode="External"/><Relationship Id="rId12" Type="http://schemas.openxmlformats.org/officeDocument/2006/relationships/hyperlink" Target="https://www.partstown.com/aaon/aaonasm01668" TargetMode="External"/><Relationship Id="rId15" Type="http://schemas.openxmlformats.org/officeDocument/2006/relationships/hyperlink" Target="https://www.supplyhouse.com/LG-TBZ37416201-Compressor-Set-TBZ37416201" TargetMode="External"/><Relationship Id="rId14" Type="http://schemas.openxmlformats.org/officeDocument/2006/relationships/hyperlink" Target="https://www.partstown.com/lg-appliances/lgaptbz37416201" TargetMode="External"/><Relationship Id="rId17" Type="http://schemas.openxmlformats.org/officeDocument/2006/relationships/hyperlink" Target="https://www.partstown.com/lochinvar/loc100345163" TargetMode="External"/><Relationship Id="rId16" Type="http://schemas.openxmlformats.org/officeDocument/2006/relationships/hyperlink" Target="https://www.partstown.com/lg-appliances/lgapmjx65110301" TargetMode="External"/><Relationship Id="rId19" Type="http://schemas.openxmlformats.org/officeDocument/2006/relationships/hyperlink" Target="https://www.supplyhouse.com/Lochinvar-100297132-Igniter-w-Gasket-Screws" TargetMode="External"/><Relationship Id="rId18" Type="http://schemas.openxmlformats.org/officeDocument/2006/relationships/hyperlink" Target="https://www.partstown.com/lochinvar/loc100297132" TargetMode="External"/><Relationship Id="rId1" Type="http://schemas.openxmlformats.org/officeDocument/2006/relationships/hyperlink" Target="https://www.partstown.com/trane/trncom09751" TargetMode="External"/><Relationship Id="rId2" Type="http://schemas.openxmlformats.org/officeDocument/2006/relationships/hyperlink" Target="https://www.partstown.com/trane/trndhy01481" TargetMode="External"/><Relationship Id="rId3" Type="http://schemas.openxmlformats.org/officeDocument/2006/relationships/hyperlink" Target="https://www.supplyhouse.com/Trane-DHY01481-30cu-Liquid-Line-Drier-7-8-Sweat-Connections-DHY01481" TargetMode="External"/><Relationship Id="rId4" Type="http://schemas.openxmlformats.org/officeDocument/2006/relationships/hyperlink" Target="https://www.partstown.com/trane/trnsfctr3p40a120vla2l" TargetMode="External"/><Relationship Id="rId9" Type="http://schemas.openxmlformats.org/officeDocument/2006/relationships/hyperlink" Target="https://www.supplyhouse.com/York-S1-02427501000-850-RPM-1-Phase-48-Condenser-Motor-1-4-HP-460V" TargetMode="External"/><Relationship Id="rId5" Type="http://schemas.openxmlformats.org/officeDocument/2006/relationships/hyperlink" Target="https://www.partstown.com/trane/trnfus00907" TargetMode="External"/><Relationship Id="rId6" Type="http://schemas.openxmlformats.org/officeDocument/2006/relationships/hyperlink" Target="https://www.supplyhouse.com/Trane-FUS00907-JLLS150-JJS-150-600vac-150amp-Class-T-Fast-Acting-Fuse-FUS00907" TargetMode="External"/><Relationship Id="rId7" Type="http://schemas.openxmlformats.org/officeDocument/2006/relationships/hyperlink" Target="https://www.supplyhouse.com/Qwik-Products-QT2000-QwikCheck-Acid-Test-Kit" TargetMode="External"/><Relationship Id="rId8" Type="http://schemas.openxmlformats.org/officeDocument/2006/relationships/hyperlink" Target="https://www.partstown.com/york/yorks1-02427501000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michel.com/WebServices/Catalog/BaseProduct/Search?_FieldName=&amp;_FieldValue=RRE180IP" TargetMode="External"/><Relationship Id="rId42" Type="http://schemas.openxmlformats.org/officeDocument/2006/relationships/hyperlink" Target="https://www.tranesupply.com/global-search/RRE180IP" TargetMode="External"/><Relationship Id="rId41" Type="http://schemas.openxmlformats.org/officeDocument/2006/relationships/hyperlink" Target="https://www.grainger.com/search?searchQuery=RRE180IP&amp;searchBar=true" TargetMode="External"/><Relationship Id="rId44" Type="http://schemas.openxmlformats.org/officeDocument/2006/relationships/hyperlink" Target="https://www.supplyhouse.com/sh/control/search/~SEARCH_STRING=BTWV30RX" TargetMode="External"/><Relationship Id="rId43" Type="http://schemas.openxmlformats.org/officeDocument/2006/relationships/hyperlink" Target="https://www.partstown.com/search?q=BTWV30RX" TargetMode="External"/><Relationship Id="rId46" Type="http://schemas.openxmlformats.org/officeDocument/2006/relationships/hyperlink" Target="https://www.johnstonesupply.com/search?searchPhrase=BTWV30RX" TargetMode="External"/><Relationship Id="rId45" Type="http://schemas.openxmlformats.org/officeDocument/2006/relationships/hyperlink" Target="https://www.radwell.com/en-US/Search/?q=BTWV30RX" TargetMode="External"/><Relationship Id="rId107" Type="http://schemas.openxmlformats.org/officeDocument/2006/relationships/hyperlink" Target="https://www.grainger.com/search?searchQuery=BGAS&amp;searchBar=true" TargetMode="External"/><Relationship Id="rId106" Type="http://schemas.openxmlformats.org/officeDocument/2006/relationships/hyperlink" Target="https://www.remichel.com/WebServices/Catalog/BaseProduct/Search?_FieldName=&amp;_FieldValue=BGAS" TargetMode="External"/><Relationship Id="rId105" Type="http://schemas.openxmlformats.org/officeDocument/2006/relationships/hyperlink" Target="https://www.johnstonesupply.com/search?searchPhrase=BGAS" TargetMode="External"/><Relationship Id="rId104" Type="http://schemas.openxmlformats.org/officeDocument/2006/relationships/hyperlink" Target="https://www.radwell.com/en-US/Search/?q=BGAS" TargetMode="External"/><Relationship Id="rId109" Type="http://schemas.openxmlformats.org/officeDocument/2006/relationships/hyperlink" Target="https://www.supplyhouse.com/Refrigeration-Technologies-RT100S-Big-Blu-Micro-Leak-Detector-1-Qt" TargetMode="External"/><Relationship Id="rId108" Type="http://schemas.openxmlformats.org/officeDocument/2006/relationships/hyperlink" Target="https://www.tranesupply.com/global-search/BGAS" TargetMode="External"/><Relationship Id="rId48" Type="http://schemas.openxmlformats.org/officeDocument/2006/relationships/hyperlink" Target="https://www.grainger.com/search?searchQuery=BTWV30RX&amp;searchBar=true" TargetMode="External"/><Relationship Id="rId47" Type="http://schemas.openxmlformats.org/officeDocument/2006/relationships/hyperlink" Target="https://www.remichel.com/WebServices/Catalog/BaseProduct/Search?_FieldName=&amp;_FieldValue=BTWV30RX" TargetMode="External"/><Relationship Id="rId49" Type="http://schemas.openxmlformats.org/officeDocument/2006/relationships/hyperlink" Target="https://www.tranesupply.com/global-search/BTWV30RX" TargetMode="External"/><Relationship Id="rId103" Type="http://schemas.openxmlformats.org/officeDocument/2006/relationships/hyperlink" Target="https://www.supplyhouse.com/sh/control/search/~SEARCH_STRING=BGAS" TargetMode="External"/><Relationship Id="rId102" Type="http://schemas.openxmlformats.org/officeDocument/2006/relationships/hyperlink" Target="https://www.tranesupply.com/global-search/PL20X20X2" TargetMode="External"/><Relationship Id="rId101" Type="http://schemas.openxmlformats.org/officeDocument/2006/relationships/hyperlink" Target="https://www.grainger.com/search?searchQuery=PL20X20X2&amp;searchBar=true" TargetMode="External"/><Relationship Id="rId100" Type="http://schemas.openxmlformats.org/officeDocument/2006/relationships/hyperlink" Target="https://www.remichel.com/WebServices/Catalog/BaseProduct/Search?_FieldName=&amp;_FieldValue=PL20X20X2" TargetMode="External"/><Relationship Id="rId31" Type="http://schemas.openxmlformats.org/officeDocument/2006/relationships/hyperlink" Target="https://www.radwell.com/en-US/Search/?q=RCL1026312000" TargetMode="External"/><Relationship Id="rId30" Type="http://schemas.openxmlformats.org/officeDocument/2006/relationships/hyperlink" Target="https://www.supplyhouse.com/sh/control/search/~SEARCH_STRING=RCL1026312000" TargetMode="External"/><Relationship Id="rId33" Type="http://schemas.openxmlformats.org/officeDocument/2006/relationships/hyperlink" Target="https://www.remichel.com/WebServices/Catalog/BaseProduct/Search?_FieldName=&amp;_FieldValue=RCL1026312000" TargetMode="External"/><Relationship Id="rId32" Type="http://schemas.openxmlformats.org/officeDocument/2006/relationships/hyperlink" Target="https://www.johnstonesupply.com/search?searchPhrase=RCL1026312000" TargetMode="External"/><Relationship Id="rId35" Type="http://schemas.openxmlformats.org/officeDocument/2006/relationships/hyperlink" Target="https://www.tranesupply.com/global-search/RCL1026312000" TargetMode="External"/><Relationship Id="rId34" Type="http://schemas.openxmlformats.org/officeDocument/2006/relationships/hyperlink" Target="https://www.grainger.com/search?searchQuery=RCL1026312000&amp;searchBar=true" TargetMode="External"/><Relationship Id="rId37" Type="http://schemas.openxmlformats.org/officeDocument/2006/relationships/hyperlink" Target="https://www.supplyhouse.com/sh/control/search/~SEARCH_STRING=RRE180IP" TargetMode="External"/><Relationship Id="rId36" Type="http://schemas.openxmlformats.org/officeDocument/2006/relationships/hyperlink" Target="https://www.partstown.com/search?q=RRE180IP" TargetMode="External"/><Relationship Id="rId39" Type="http://schemas.openxmlformats.org/officeDocument/2006/relationships/hyperlink" Target="https://www.johnstonesupply.com/search?searchPhrase=RRE180IP" TargetMode="External"/><Relationship Id="rId38" Type="http://schemas.openxmlformats.org/officeDocument/2006/relationships/hyperlink" Target="https://www.radwell.com/en-US/Search/?q=RRE180IP" TargetMode="External"/><Relationship Id="rId20" Type="http://schemas.openxmlformats.org/officeDocument/2006/relationships/hyperlink" Target="https://www.grainger.com/search?searchQuery=W490057&amp;searchBar=true" TargetMode="External"/><Relationship Id="rId22" Type="http://schemas.openxmlformats.org/officeDocument/2006/relationships/hyperlink" Target="https://www.partstown.com/search?q=DPC1500" TargetMode="External"/><Relationship Id="rId21" Type="http://schemas.openxmlformats.org/officeDocument/2006/relationships/hyperlink" Target="https://www.tranesupply.com/global-search/W490057" TargetMode="External"/><Relationship Id="rId24" Type="http://schemas.openxmlformats.org/officeDocument/2006/relationships/hyperlink" Target="https://www.radwell.com/en-US/Search/?q=DPC1500" TargetMode="External"/><Relationship Id="rId23" Type="http://schemas.openxmlformats.org/officeDocument/2006/relationships/hyperlink" Target="https://www.supplyhouse.com/sh/control/search/~SEARCH_STRING=DPC1500" TargetMode="External"/><Relationship Id="rId26" Type="http://schemas.openxmlformats.org/officeDocument/2006/relationships/hyperlink" Target="https://www.remichel.com/WebServices/Catalog/BaseProduct/Search?_FieldName=&amp;_FieldValue=DPC1500" TargetMode="External"/><Relationship Id="rId25" Type="http://schemas.openxmlformats.org/officeDocument/2006/relationships/hyperlink" Target="https://www.johnstonesupply.com/search?searchPhrase=DPC1500" TargetMode="External"/><Relationship Id="rId28" Type="http://schemas.openxmlformats.org/officeDocument/2006/relationships/hyperlink" Target="https://www.tranesupply.com/global-search/DPC1500" TargetMode="External"/><Relationship Id="rId27" Type="http://schemas.openxmlformats.org/officeDocument/2006/relationships/hyperlink" Target="https://www.grainger.com/search?searchQuery=DPC1500&amp;searchBar=true" TargetMode="External"/><Relationship Id="rId29" Type="http://schemas.openxmlformats.org/officeDocument/2006/relationships/hyperlink" Target="https://www.partstown.com/search?q=RCL1026312000" TargetMode="External"/><Relationship Id="rId95" Type="http://schemas.openxmlformats.org/officeDocument/2006/relationships/hyperlink" Target="https://www.grainger.com/search?searchQuery=R-22%20refrigerant&amp;searchBar=true" TargetMode="External"/><Relationship Id="rId94" Type="http://schemas.openxmlformats.org/officeDocument/2006/relationships/hyperlink" Target="https://www.radwell.com/en-US/Search/?q=R-22%20refrigerant" TargetMode="External"/><Relationship Id="rId97" Type="http://schemas.openxmlformats.org/officeDocument/2006/relationships/hyperlink" Target="https://www.supplyhouse.com/sh/control/search/~SEARCH_STRING=PL20X20X2" TargetMode="External"/><Relationship Id="rId96" Type="http://schemas.openxmlformats.org/officeDocument/2006/relationships/hyperlink" Target="https://www.partstown.com/search?q=PL20X20X2" TargetMode="External"/><Relationship Id="rId11" Type="http://schemas.openxmlformats.org/officeDocument/2006/relationships/hyperlink" Target="https://www.johnstonesupply.com/search?searchPhrase=S3080053" TargetMode="External"/><Relationship Id="rId99" Type="http://schemas.openxmlformats.org/officeDocument/2006/relationships/hyperlink" Target="https://www.johnstonesupply.com/search?searchPhrase=PL20X20X2" TargetMode="External"/><Relationship Id="rId10" Type="http://schemas.openxmlformats.org/officeDocument/2006/relationships/hyperlink" Target="https://www.radwell.com/Buy/SLOAN%20VALVE%20CO/SLOAN%20VALVE%20CO/S3080053" TargetMode="External"/><Relationship Id="rId98" Type="http://schemas.openxmlformats.org/officeDocument/2006/relationships/hyperlink" Target="https://www.radwell.com/en-US/Search/?q=PL20X20X2" TargetMode="External"/><Relationship Id="rId13" Type="http://schemas.openxmlformats.org/officeDocument/2006/relationships/hyperlink" Target="https://www.grainger.com/search?searchQuery=S3080053&amp;searchBar=true" TargetMode="External"/><Relationship Id="rId12" Type="http://schemas.openxmlformats.org/officeDocument/2006/relationships/hyperlink" Target="https://www.remichel.com/WebServices/Catalog/BaseProduct/Search?_FieldName=&amp;_FieldValue=S3080053" TargetMode="External"/><Relationship Id="rId91" Type="http://schemas.openxmlformats.org/officeDocument/2006/relationships/hyperlink" Target="https://www.tranesupply.com/global-search/BB61" TargetMode="External"/><Relationship Id="rId90" Type="http://schemas.openxmlformats.org/officeDocument/2006/relationships/hyperlink" Target="https://www.grainger.com/search?searchQuery=BB61&amp;searchBar=true" TargetMode="External"/><Relationship Id="rId93" Type="http://schemas.openxmlformats.org/officeDocument/2006/relationships/hyperlink" Target="https://www.supplyhouse.com/sh/control/search/~SEARCH_STRING=R22%2030LB%20DISPOS-CAN%20HCFC" TargetMode="External"/><Relationship Id="rId92" Type="http://schemas.openxmlformats.org/officeDocument/2006/relationships/hyperlink" Target="https://www.partstown.com/search?q=R-22%20refrigerant" TargetMode="External"/><Relationship Id="rId15" Type="http://schemas.openxmlformats.org/officeDocument/2006/relationships/hyperlink" Target="https://www.partstown.com/search?q=W490057" TargetMode="External"/><Relationship Id="rId110" Type="http://schemas.openxmlformats.org/officeDocument/2006/relationships/hyperlink" Target="https://www.radwell.com/Buy/REFRIGERATION%20TECH/REFRIGERATION%20TECH/RT100S" TargetMode="External"/><Relationship Id="rId14" Type="http://schemas.openxmlformats.org/officeDocument/2006/relationships/hyperlink" Target="https://www.tranesupply.com/global-search/S3080053" TargetMode="External"/><Relationship Id="rId17" Type="http://schemas.openxmlformats.org/officeDocument/2006/relationships/hyperlink" Target="https://www.radwell.com/en-US/Search/?q=W490057" TargetMode="External"/><Relationship Id="rId16" Type="http://schemas.openxmlformats.org/officeDocument/2006/relationships/hyperlink" Target="https://www.supplyhouse.com/sh/control/search/~SEARCH_STRING=W490057" TargetMode="External"/><Relationship Id="rId19" Type="http://schemas.openxmlformats.org/officeDocument/2006/relationships/hyperlink" Target="https://www.remichel.com/WebServices/Catalog/BaseProduct/Search?_FieldName=&amp;_FieldValue=W490057" TargetMode="External"/><Relationship Id="rId18" Type="http://schemas.openxmlformats.org/officeDocument/2006/relationships/hyperlink" Target="https://www.johnstonesupply.com/search?searchPhrase=W490057" TargetMode="External"/><Relationship Id="rId112" Type="http://schemas.openxmlformats.org/officeDocument/2006/relationships/drawing" Target="../drawings/drawing8.xml"/><Relationship Id="rId111" Type="http://schemas.openxmlformats.org/officeDocument/2006/relationships/hyperlink" Target="https://www.grainger.com/search?searchQuery=RT100S&amp;searchBar=true" TargetMode="External"/><Relationship Id="rId84" Type="http://schemas.openxmlformats.org/officeDocument/2006/relationships/hyperlink" Target="https://www.tranesupply.com/global-search/BBX51" TargetMode="External"/><Relationship Id="rId83" Type="http://schemas.openxmlformats.org/officeDocument/2006/relationships/hyperlink" Target="https://www.grainger.com/search?searchQuery=BBX51&amp;searchBar=true" TargetMode="External"/><Relationship Id="rId86" Type="http://schemas.openxmlformats.org/officeDocument/2006/relationships/hyperlink" Target="https://www.supplyhouse.com/Cover-Luxe-Better-Baseboard-Covers-BB61-6-Ft-Kit-Cover-Set-White" TargetMode="External"/><Relationship Id="rId85" Type="http://schemas.openxmlformats.org/officeDocument/2006/relationships/hyperlink" Target="https://www.partstown.com/p/american-metalcraft/amnbb6105" TargetMode="External"/><Relationship Id="rId88" Type="http://schemas.openxmlformats.org/officeDocument/2006/relationships/hyperlink" Target="https://www.johnstonesupply.com/search?searchPhrase=BB61" TargetMode="External"/><Relationship Id="rId87" Type="http://schemas.openxmlformats.org/officeDocument/2006/relationships/hyperlink" Target="https://www.radwell.com/en-US/Search/?q=BB61" TargetMode="External"/><Relationship Id="rId89" Type="http://schemas.openxmlformats.org/officeDocument/2006/relationships/hyperlink" Target="https://www.remichel.com/WebServices/Catalog/BaseProduct/Search?_FieldName=&amp;_FieldValue=BB61" TargetMode="External"/><Relationship Id="rId80" Type="http://schemas.openxmlformats.org/officeDocument/2006/relationships/hyperlink" Target="https://www.radwell.com/en-US/Search/?q=BBX51" TargetMode="External"/><Relationship Id="rId82" Type="http://schemas.openxmlformats.org/officeDocument/2006/relationships/hyperlink" Target="https://www.remichel.com/WebServices/Catalog/BaseProduct/Search?_FieldName=&amp;_FieldValue=BBX51" TargetMode="External"/><Relationship Id="rId81" Type="http://schemas.openxmlformats.org/officeDocument/2006/relationships/hyperlink" Target="https://www.johnstonesupply.com/search?searchPhrase=BBX51" TargetMode="External"/><Relationship Id="rId1" Type="http://schemas.openxmlformats.org/officeDocument/2006/relationships/hyperlink" Target="https://www.partstown.com/search?q=SSBD81199NE" TargetMode="External"/><Relationship Id="rId2" Type="http://schemas.openxmlformats.org/officeDocument/2006/relationships/hyperlink" Target="https://www.supplyhouse.com/sh/control/search/~SEARCH_STRING=SSBD81199NE" TargetMode="External"/><Relationship Id="rId3" Type="http://schemas.openxmlformats.org/officeDocument/2006/relationships/hyperlink" Target="https://www.radwell.com/en-US/Search/?q=SSBD81199NE" TargetMode="External"/><Relationship Id="rId4" Type="http://schemas.openxmlformats.org/officeDocument/2006/relationships/hyperlink" Target="https://www.johnstonesupply.com/search?searchPhrase=SSBD81199NE" TargetMode="External"/><Relationship Id="rId9" Type="http://schemas.openxmlformats.org/officeDocument/2006/relationships/hyperlink" Target="https://www.supplyhouse.com/Sloan-S3080053-Comp-flush-Valve-111xl-1-6-GPF-S3080053" TargetMode="External"/><Relationship Id="rId5" Type="http://schemas.openxmlformats.org/officeDocument/2006/relationships/hyperlink" Target="https://www.remichel.com/WebServices/Catalog/BaseProduct/Search?_FieldName=&amp;_FieldValue=SSBD81199NE" TargetMode="External"/><Relationship Id="rId6" Type="http://schemas.openxmlformats.org/officeDocument/2006/relationships/hyperlink" Target="https://www.grainger.com/search?searchQuery=SSBD81199NE&amp;searchBar=true" TargetMode="External"/><Relationship Id="rId7" Type="http://schemas.openxmlformats.org/officeDocument/2006/relationships/hyperlink" Target="https://www.tranesupply.com/global-search/SSBD81199NE" TargetMode="External"/><Relationship Id="rId8" Type="http://schemas.openxmlformats.org/officeDocument/2006/relationships/hyperlink" Target="https://www.partstown.com/p/sloan/slns3080053" TargetMode="External"/><Relationship Id="rId73" Type="http://schemas.openxmlformats.org/officeDocument/2006/relationships/hyperlink" Target="https://www.radwell.com/en-US/Search/?q=PL16X20X2" TargetMode="External"/><Relationship Id="rId72" Type="http://schemas.openxmlformats.org/officeDocument/2006/relationships/hyperlink" Target="https://www.supplyhouse.com/sh/control/search/~SEARCH_STRING=PL16X20X2" TargetMode="External"/><Relationship Id="rId75" Type="http://schemas.openxmlformats.org/officeDocument/2006/relationships/hyperlink" Target="https://www.remichel.com/WebServices/Catalog/BaseProduct/Search?_FieldName=&amp;_FieldValue=PL16X20X2" TargetMode="External"/><Relationship Id="rId74" Type="http://schemas.openxmlformats.org/officeDocument/2006/relationships/hyperlink" Target="https://www.johnstonesupply.com/search?searchPhrase=PL16X20X2" TargetMode="External"/><Relationship Id="rId77" Type="http://schemas.openxmlformats.org/officeDocument/2006/relationships/hyperlink" Target="https://www.tranesupply.com/global-search/PL16X20X2" TargetMode="External"/><Relationship Id="rId76" Type="http://schemas.openxmlformats.org/officeDocument/2006/relationships/hyperlink" Target="https://www.grainger.com/search?searchQuery=PL16X20X2&amp;searchBar=true" TargetMode="External"/><Relationship Id="rId79" Type="http://schemas.openxmlformats.org/officeDocument/2006/relationships/hyperlink" Target="https://www.supplyhouse.com/sh/control/search/~SEARCH_STRING=BBX51" TargetMode="External"/><Relationship Id="rId78" Type="http://schemas.openxmlformats.org/officeDocument/2006/relationships/hyperlink" Target="https://www.partstown.com/search?q=BBX51" TargetMode="External"/><Relationship Id="rId71" Type="http://schemas.openxmlformats.org/officeDocument/2006/relationships/hyperlink" Target="https://www.partstown.com/search?q=PL16X20X2" TargetMode="External"/><Relationship Id="rId70" Type="http://schemas.openxmlformats.org/officeDocument/2006/relationships/hyperlink" Target="https://www.tranesupply.com/global-search/PL20X20X2" TargetMode="External"/><Relationship Id="rId62" Type="http://schemas.openxmlformats.org/officeDocument/2006/relationships/hyperlink" Target="https://www.grainger.com/search?searchQuery=PL16X25X2&amp;searchBar=true" TargetMode="External"/><Relationship Id="rId61" Type="http://schemas.openxmlformats.org/officeDocument/2006/relationships/hyperlink" Target="https://www.remichel.com/WebServices/Catalog/BaseProduct/Search?_FieldName=&amp;_FieldValue=PL16X25X2" TargetMode="External"/><Relationship Id="rId64" Type="http://schemas.openxmlformats.org/officeDocument/2006/relationships/hyperlink" Target="https://www.partstown.com/search?q=PL20X20X2" TargetMode="External"/><Relationship Id="rId63" Type="http://schemas.openxmlformats.org/officeDocument/2006/relationships/hyperlink" Target="https://www.tranesupply.com/global-search/PL16X25X2" TargetMode="External"/><Relationship Id="rId66" Type="http://schemas.openxmlformats.org/officeDocument/2006/relationships/hyperlink" Target="https://www.radwell.com/en-US/Search/?q=PL20X20X2" TargetMode="External"/><Relationship Id="rId65" Type="http://schemas.openxmlformats.org/officeDocument/2006/relationships/hyperlink" Target="https://www.supplyhouse.com/sh/control/search/~SEARCH_STRING=PL20X20X2" TargetMode="External"/><Relationship Id="rId68" Type="http://schemas.openxmlformats.org/officeDocument/2006/relationships/hyperlink" Target="https://www.remichel.com/WebServices/Catalog/BaseProduct/Search?_FieldName=&amp;_FieldValue=PL20X20X2" TargetMode="External"/><Relationship Id="rId67" Type="http://schemas.openxmlformats.org/officeDocument/2006/relationships/hyperlink" Target="https://www.johnstonesupply.com/search?searchPhrase=PL20X20X2" TargetMode="External"/><Relationship Id="rId60" Type="http://schemas.openxmlformats.org/officeDocument/2006/relationships/hyperlink" Target="https://www.johnstonesupply.com/search?searchPhrase=PL16X25X2" TargetMode="External"/><Relationship Id="rId69" Type="http://schemas.openxmlformats.org/officeDocument/2006/relationships/hyperlink" Target="https://www.grainger.com/search?searchQuery=PL20X20X2&amp;searchBar=true" TargetMode="External"/><Relationship Id="rId51" Type="http://schemas.openxmlformats.org/officeDocument/2006/relationships/hyperlink" Target="https://www.supplyhouse.com/sh/control/search/~SEARCH_STRING=PL20X25X2" TargetMode="External"/><Relationship Id="rId50" Type="http://schemas.openxmlformats.org/officeDocument/2006/relationships/hyperlink" Target="https://www.partstown.com/search?q=PL20X25X2" TargetMode="External"/><Relationship Id="rId53" Type="http://schemas.openxmlformats.org/officeDocument/2006/relationships/hyperlink" Target="https://www.johnstonesupply.com/search?searchPhrase=PL20X25X2" TargetMode="External"/><Relationship Id="rId52" Type="http://schemas.openxmlformats.org/officeDocument/2006/relationships/hyperlink" Target="https://www.radwell.com/en-US/Search/?q=PL20X25X2" TargetMode="External"/><Relationship Id="rId55" Type="http://schemas.openxmlformats.org/officeDocument/2006/relationships/hyperlink" Target="https://www.grainger.com/search?searchQuery=PL20X25X2&amp;searchBar=true" TargetMode="External"/><Relationship Id="rId54" Type="http://schemas.openxmlformats.org/officeDocument/2006/relationships/hyperlink" Target="https://www.remichel.com/WebServices/Catalog/BaseProduct/Search?_FieldName=&amp;_FieldValue=PL20X25X2" TargetMode="External"/><Relationship Id="rId57" Type="http://schemas.openxmlformats.org/officeDocument/2006/relationships/hyperlink" Target="https://www.partstown.com/search?q=PL16X25X2" TargetMode="External"/><Relationship Id="rId56" Type="http://schemas.openxmlformats.org/officeDocument/2006/relationships/hyperlink" Target="https://www.tranesupply.com/global-search/PL20X25X2" TargetMode="External"/><Relationship Id="rId59" Type="http://schemas.openxmlformats.org/officeDocument/2006/relationships/hyperlink" Target="https://www.radwell.com/en-US/Search/?q=PL16X25X2" TargetMode="External"/><Relationship Id="rId58" Type="http://schemas.openxmlformats.org/officeDocument/2006/relationships/hyperlink" Target="https://www.supplyhouse.com/sh/control/search/~SEARCH_STRING=PL16X25X2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anesupply.com/global-search/RLY00681" TargetMode="External"/><Relationship Id="rId2" Type="http://schemas.openxmlformats.org/officeDocument/2006/relationships/hyperlink" Target="https://www.tranesupply.com/global-search/FUS00907" TargetMode="External"/><Relationship Id="rId3" Type="http://schemas.openxmlformats.org/officeDocument/2006/relationships/hyperlink" Target="https://www.tranesupply.com/global-search/acid%20test%20kit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2"/>
    </row>
    <row r="4">
      <c r="A4" s="2" t="s">
        <v>2</v>
      </c>
    </row>
    <row r="5">
      <c r="A5" s="3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/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/>
    </row>
    <row r="16">
      <c r="A16" s="2" t="s">
        <v>12</v>
      </c>
    </row>
    <row r="17">
      <c r="A17" s="2" t="s">
        <v>13</v>
      </c>
    </row>
    <row r="18">
      <c r="A18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5.0"/>
    <col customWidth="1" min="2" max="2" width="9.0"/>
    <col customWidth="1" min="3" max="3" width="14.71"/>
    <col customWidth="1" min="4" max="4" width="40.0"/>
    <col customWidth="1" min="5" max="5" width="31.57"/>
    <col customWidth="1" min="6" max="6" width="21.0"/>
    <col customWidth="1" min="7" max="7" width="12.43"/>
  </cols>
  <sheetData>
    <row r="1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10" t="s">
        <v>27</v>
      </c>
      <c r="M1" s="12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10" t="s">
        <v>33</v>
      </c>
      <c r="S1" s="12" t="s">
        <v>34</v>
      </c>
      <c r="T1" s="9" t="s">
        <v>35</v>
      </c>
      <c r="U1" s="9" t="s">
        <v>36</v>
      </c>
      <c r="V1" s="9" t="s">
        <v>37</v>
      </c>
      <c r="W1" s="9" t="s">
        <v>38</v>
      </c>
      <c r="X1" s="10" t="s">
        <v>39</v>
      </c>
      <c r="Y1" s="14" t="s">
        <v>40</v>
      </c>
      <c r="Z1" s="15" t="s">
        <v>41</v>
      </c>
      <c r="AA1" s="15" t="s">
        <v>42</v>
      </c>
      <c r="AB1" s="15" t="s">
        <v>43</v>
      </c>
      <c r="AC1" s="15" t="s">
        <v>44</v>
      </c>
      <c r="AD1" s="16" t="s">
        <v>45</v>
      </c>
      <c r="AE1" s="14" t="s">
        <v>46</v>
      </c>
      <c r="AF1" s="15" t="s">
        <v>47</v>
      </c>
      <c r="AG1" s="15" t="s">
        <v>48</v>
      </c>
      <c r="AH1" s="15" t="s">
        <v>49</v>
      </c>
      <c r="AI1" s="15" t="s">
        <v>50</v>
      </c>
      <c r="AJ1" s="16" t="s">
        <v>51</v>
      </c>
      <c r="AK1" s="14" t="s">
        <v>52</v>
      </c>
      <c r="AL1" s="15" t="s">
        <v>53</v>
      </c>
      <c r="AM1" s="15" t="s">
        <v>54</v>
      </c>
      <c r="AN1" s="15" t="s">
        <v>55</v>
      </c>
      <c r="AO1" s="15" t="s">
        <v>56</v>
      </c>
      <c r="AP1" s="16" t="s">
        <v>57</v>
      </c>
      <c r="AQ1" s="12" t="s">
        <v>61</v>
      </c>
      <c r="AR1" s="9" t="s">
        <v>63</v>
      </c>
      <c r="AS1" s="9" t="s">
        <v>65</v>
      </c>
      <c r="AT1" s="9" t="s">
        <v>66</v>
      </c>
      <c r="AU1" s="9" t="s">
        <v>67</v>
      </c>
      <c r="AV1" s="10" t="s">
        <v>69</v>
      </c>
      <c r="AW1" s="20" t="s">
        <v>58</v>
      </c>
      <c r="AX1" s="21" t="s">
        <v>59</v>
      </c>
      <c r="AY1" s="21" t="s">
        <v>60</v>
      </c>
      <c r="AZ1" s="21" t="s">
        <v>62</v>
      </c>
      <c r="BA1" s="21" t="s">
        <v>64</v>
      </c>
      <c r="BB1" s="22" t="s">
        <v>68</v>
      </c>
      <c r="BC1" s="25" t="s">
        <v>70</v>
      </c>
      <c r="BD1" s="27" t="s">
        <v>71</v>
      </c>
      <c r="BE1" s="29" t="s">
        <v>72</v>
      </c>
      <c r="BF1" s="26" t="s">
        <v>73</v>
      </c>
      <c r="BG1" s="26" t="s">
        <v>74</v>
      </c>
      <c r="BH1" s="26" t="s">
        <v>75</v>
      </c>
      <c r="BI1" s="26" t="s">
        <v>76</v>
      </c>
      <c r="BJ1" s="26" t="s">
        <v>77</v>
      </c>
      <c r="BK1" s="26" t="s">
        <v>78</v>
      </c>
    </row>
    <row r="2">
      <c r="A2" s="32">
        <v>1.0</v>
      </c>
      <c r="B2" s="32">
        <v>1.0</v>
      </c>
      <c r="C2" s="32" t="s">
        <v>80</v>
      </c>
      <c r="D2" s="32" t="s">
        <v>81</v>
      </c>
      <c r="E2" s="32" t="s">
        <v>82</v>
      </c>
      <c r="F2" s="32">
        <v>1.0</v>
      </c>
      <c r="G2" s="35"/>
      <c r="H2" s="35"/>
      <c r="I2" s="35"/>
      <c r="J2" s="35"/>
      <c r="K2" s="35"/>
      <c r="L2" s="37"/>
      <c r="M2" s="35"/>
      <c r="N2" s="35"/>
      <c r="O2" s="35"/>
      <c r="P2" s="35"/>
      <c r="Q2" s="35"/>
      <c r="R2" s="37"/>
      <c r="S2" s="35"/>
      <c r="T2" s="35"/>
      <c r="U2" s="35"/>
      <c r="V2" s="35"/>
      <c r="W2" s="35"/>
      <c r="X2" s="37"/>
      <c r="Y2" s="35"/>
      <c r="Z2" s="35"/>
      <c r="AA2" s="35"/>
      <c r="AB2" s="35"/>
      <c r="AC2" s="35"/>
      <c r="AD2" s="37"/>
      <c r="AE2" s="35"/>
      <c r="AF2" s="35"/>
      <c r="AG2" s="35"/>
      <c r="AH2" s="35"/>
      <c r="AI2" s="35"/>
      <c r="AJ2" s="37"/>
      <c r="AK2" s="35"/>
      <c r="AL2" s="35"/>
      <c r="AM2" s="35"/>
      <c r="AN2" s="35"/>
      <c r="AO2" s="35"/>
      <c r="AP2" s="37"/>
      <c r="AQ2" s="35"/>
      <c r="AR2" s="35"/>
      <c r="AS2" s="35"/>
      <c r="AT2" s="35"/>
      <c r="AU2" s="35"/>
      <c r="AV2" s="37"/>
      <c r="AW2" s="35"/>
      <c r="AX2" s="35"/>
      <c r="AY2" s="35"/>
      <c r="AZ2" s="35"/>
      <c r="BA2" s="35"/>
      <c r="BB2" s="37"/>
      <c r="BC2" s="38"/>
      <c r="BD2" s="38"/>
      <c r="BE2" s="38"/>
      <c r="BF2" s="38"/>
      <c r="BG2" s="38"/>
      <c r="BH2" s="38"/>
      <c r="BI2" s="38"/>
      <c r="BJ2" s="38"/>
      <c r="BK2" s="38"/>
    </row>
    <row r="3">
      <c r="A3" s="32">
        <v>2.0</v>
      </c>
      <c r="B3" s="32"/>
      <c r="C3" s="32" t="s">
        <v>80</v>
      </c>
      <c r="D3" s="32" t="s">
        <v>89</v>
      </c>
      <c r="E3" s="32" t="s">
        <v>90</v>
      </c>
      <c r="F3" s="32">
        <v>1.0</v>
      </c>
      <c r="G3" s="35"/>
      <c r="H3" s="35"/>
      <c r="I3" s="35"/>
      <c r="J3" s="35"/>
      <c r="K3" s="35"/>
      <c r="L3" s="37"/>
      <c r="M3" s="35"/>
      <c r="N3" s="35"/>
      <c r="O3" s="35"/>
      <c r="P3" s="35"/>
      <c r="Q3" s="35"/>
      <c r="R3" s="37"/>
      <c r="S3" s="35"/>
      <c r="T3" s="35"/>
      <c r="U3" s="35"/>
      <c r="V3" s="35"/>
      <c r="W3" s="35"/>
      <c r="X3" s="37"/>
      <c r="Y3" s="35"/>
      <c r="Z3" s="35"/>
      <c r="AA3" s="35"/>
      <c r="AB3" s="35"/>
      <c r="AC3" s="35"/>
      <c r="AD3" s="37"/>
      <c r="AE3" s="35"/>
      <c r="AF3" s="35"/>
      <c r="AG3" s="35"/>
      <c r="AH3" s="35"/>
      <c r="AI3" s="35"/>
      <c r="AJ3" s="37"/>
      <c r="AK3" s="35"/>
      <c r="AL3" s="35"/>
      <c r="AM3" s="35"/>
      <c r="AN3" s="35"/>
      <c r="AO3" s="35"/>
      <c r="AP3" s="37"/>
      <c r="AQ3" s="35"/>
      <c r="AR3" s="35"/>
      <c r="AS3" s="35"/>
      <c r="AT3" s="35"/>
      <c r="AU3" s="35"/>
      <c r="AV3" s="37"/>
      <c r="AW3" s="35"/>
      <c r="AX3" s="35"/>
      <c r="AY3" s="35"/>
      <c r="AZ3" s="35"/>
      <c r="BA3" s="35"/>
      <c r="BB3" s="37"/>
      <c r="BC3" s="38"/>
      <c r="BD3" s="38"/>
      <c r="BE3" s="38"/>
      <c r="BF3" s="38"/>
      <c r="BG3" s="38"/>
      <c r="BH3" s="38"/>
      <c r="BI3" s="38"/>
      <c r="BJ3" s="38"/>
      <c r="BK3" s="38"/>
    </row>
    <row r="4">
      <c r="A4" s="32">
        <v>3.0</v>
      </c>
      <c r="B4" s="32"/>
      <c r="C4" s="32" t="s">
        <v>80</v>
      </c>
      <c r="D4" s="32" t="s">
        <v>97</v>
      </c>
      <c r="E4" s="43" t="s">
        <v>99</v>
      </c>
      <c r="F4" s="32">
        <v>1.0</v>
      </c>
      <c r="G4" s="35"/>
      <c r="H4" s="35"/>
      <c r="I4" s="35"/>
      <c r="J4" s="35"/>
      <c r="K4" s="35"/>
      <c r="L4" s="37"/>
      <c r="M4" s="35"/>
      <c r="N4" s="35"/>
      <c r="O4" s="35"/>
      <c r="P4" s="35"/>
      <c r="Q4" s="35"/>
      <c r="R4" s="37"/>
      <c r="S4" s="35"/>
      <c r="T4" s="35"/>
      <c r="U4" s="35"/>
      <c r="V4" s="35"/>
      <c r="W4" s="35"/>
      <c r="X4" s="37"/>
      <c r="Y4" s="35"/>
      <c r="Z4" s="35"/>
      <c r="AA4" s="35"/>
      <c r="AB4" s="35"/>
      <c r="AC4" s="35"/>
      <c r="AD4" s="37"/>
      <c r="AE4" s="35"/>
      <c r="AF4" s="35"/>
      <c r="AG4" s="35"/>
      <c r="AH4" s="35"/>
      <c r="AI4" s="35"/>
      <c r="AJ4" s="37"/>
      <c r="AK4" s="35"/>
      <c r="AL4" s="35"/>
      <c r="AM4" s="35"/>
      <c r="AN4" s="35"/>
      <c r="AO4" s="35"/>
      <c r="AP4" s="37"/>
      <c r="AQ4" s="35"/>
      <c r="AR4" s="35"/>
      <c r="AS4" s="35"/>
      <c r="AT4" s="35"/>
      <c r="AU4" s="35"/>
      <c r="AV4" s="37"/>
      <c r="AW4" s="35"/>
      <c r="AX4" s="35"/>
      <c r="AY4" s="35"/>
      <c r="AZ4" s="35"/>
      <c r="BA4" s="35"/>
      <c r="BB4" s="37"/>
      <c r="BC4" s="38"/>
      <c r="BD4" s="38"/>
      <c r="BE4" s="38"/>
      <c r="BF4" s="38"/>
      <c r="BG4" s="38"/>
      <c r="BH4" s="38"/>
      <c r="BI4" s="38"/>
      <c r="BJ4" s="38"/>
      <c r="BK4" s="38"/>
    </row>
    <row r="5">
      <c r="A5" s="32">
        <v>4.0</v>
      </c>
      <c r="B5" s="32"/>
      <c r="C5" s="32" t="s">
        <v>80</v>
      </c>
      <c r="D5" s="32" t="s">
        <v>97</v>
      </c>
      <c r="E5" s="43" t="s">
        <v>101</v>
      </c>
      <c r="F5" s="43">
        <v>1.0</v>
      </c>
      <c r="G5" s="35"/>
      <c r="H5" s="35"/>
      <c r="I5" s="35"/>
      <c r="J5" s="35"/>
      <c r="K5" s="35"/>
      <c r="L5" s="37"/>
      <c r="M5" s="35"/>
      <c r="N5" s="35"/>
      <c r="O5" s="35"/>
      <c r="P5" s="35"/>
      <c r="Q5" s="35"/>
      <c r="R5" s="37"/>
      <c r="S5" s="35"/>
      <c r="T5" s="35"/>
      <c r="U5" s="35"/>
      <c r="V5" s="35"/>
      <c r="W5" s="35"/>
      <c r="X5" s="37"/>
      <c r="Y5" s="35"/>
      <c r="Z5" s="35"/>
      <c r="AA5" s="35"/>
      <c r="AB5" s="35"/>
      <c r="AC5" s="35"/>
      <c r="AD5" s="37"/>
      <c r="AE5" s="35"/>
      <c r="AF5" s="35"/>
      <c r="AG5" s="35"/>
      <c r="AH5" s="35"/>
      <c r="AI5" s="35"/>
      <c r="AJ5" s="37"/>
      <c r="AK5" s="35"/>
      <c r="AL5" s="35"/>
      <c r="AM5" s="35"/>
      <c r="AN5" s="35"/>
      <c r="AO5" s="35"/>
      <c r="AP5" s="37"/>
      <c r="AQ5" s="35"/>
      <c r="AR5" s="35"/>
      <c r="AS5" s="35"/>
      <c r="AT5" s="35"/>
      <c r="AU5" s="35"/>
      <c r="AV5" s="37"/>
      <c r="AW5" s="35"/>
      <c r="AX5" s="35"/>
      <c r="AY5" s="35"/>
      <c r="AZ5" s="35"/>
      <c r="BA5" s="35"/>
      <c r="BB5" s="37"/>
      <c r="BC5" s="38"/>
      <c r="BD5" s="38"/>
      <c r="BE5" s="38"/>
      <c r="BF5" s="38"/>
      <c r="BG5" s="38"/>
      <c r="BH5" s="38"/>
      <c r="BI5" s="38"/>
      <c r="BJ5" s="38"/>
      <c r="BK5" s="38"/>
    </row>
    <row r="6">
      <c r="A6" s="32">
        <v>5.0</v>
      </c>
      <c r="B6" s="32"/>
      <c r="C6" s="32" t="s">
        <v>80</v>
      </c>
      <c r="D6" s="32" t="s">
        <v>97</v>
      </c>
      <c r="E6" s="43" t="s">
        <v>103</v>
      </c>
      <c r="F6" s="43">
        <v>1.0</v>
      </c>
      <c r="G6" s="35"/>
      <c r="H6" s="35"/>
      <c r="I6" s="35"/>
      <c r="J6" s="35"/>
      <c r="K6" s="35"/>
      <c r="L6" s="37"/>
      <c r="M6" s="35"/>
      <c r="N6" s="35"/>
      <c r="O6" s="35"/>
      <c r="P6" s="35"/>
      <c r="Q6" s="35"/>
      <c r="R6" s="37"/>
      <c r="S6" s="35"/>
      <c r="T6" s="35"/>
      <c r="U6" s="35"/>
      <c r="V6" s="35"/>
      <c r="W6" s="35"/>
      <c r="X6" s="37"/>
      <c r="Y6" s="35"/>
      <c r="Z6" s="35"/>
      <c r="AA6" s="35"/>
      <c r="AB6" s="35"/>
      <c r="AC6" s="35"/>
      <c r="AD6" s="37"/>
      <c r="AE6" s="35"/>
      <c r="AF6" s="35"/>
      <c r="AG6" s="35"/>
      <c r="AH6" s="35"/>
      <c r="AI6" s="35"/>
      <c r="AJ6" s="37"/>
      <c r="AK6" s="35"/>
      <c r="AL6" s="35"/>
      <c r="AM6" s="35"/>
      <c r="AN6" s="35"/>
      <c r="AO6" s="35"/>
      <c r="AP6" s="37"/>
      <c r="AQ6" s="35"/>
      <c r="AR6" s="35"/>
      <c r="AS6" s="35"/>
      <c r="AT6" s="35"/>
      <c r="AU6" s="35"/>
      <c r="AV6" s="37"/>
      <c r="AW6" s="35"/>
      <c r="AX6" s="35"/>
      <c r="AY6" s="35"/>
      <c r="AZ6" s="35"/>
      <c r="BA6" s="35"/>
      <c r="BB6" s="37"/>
      <c r="BC6" s="38"/>
      <c r="BD6" s="38"/>
      <c r="BE6" s="38"/>
      <c r="BF6" s="38"/>
      <c r="BG6" s="38"/>
      <c r="BH6" s="38"/>
      <c r="BI6" s="38"/>
      <c r="BJ6" s="38"/>
      <c r="BK6" s="38"/>
    </row>
    <row r="7">
      <c r="A7" s="32">
        <v>6.0</v>
      </c>
      <c r="B7" s="32"/>
      <c r="C7" s="32" t="s">
        <v>80</v>
      </c>
      <c r="D7" s="32" t="s">
        <v>105</v>
      </c>
      <c r="E7" s="32"/>
      <c r="F7" s="32">
        <v>1.0</v>
      </c>
      <c r="G7" s="35"/>
      <c r="H7" s="35"/>
      <c r="I7" s="35"/>
      <c r="J7" s="35"/>
      <c r="K7" s="35"/>
      <c r="L7" s="37"/>
      <c r="M7" s="35"/>
      <c r="N7" s="35"/>
      <c r="O7" s="35"/>
      <c r="P7" s="35"/>
      <c r="Q7" s="35"/>
      <c r="R7" s="37"/>
      <c r="S7" s="35"/>
      <c r="T7" s="35"/>
      <c r="U7" s="35"/>
      <c r="V7" s="35"/>
      <c r="W7" s="35"/>
      <c r="X7" s="37"/>
      <c r="Y7" s="35"/>
      <c r="Z7" s="35"/>
      <c r="AA7" s="35"/>
      <c r="AB7" s="35"/>
      <c r="AC7" s="35"/>
      <c r="AD7" s="37"/>
      <c r="AE7" s="35"/>
      <c r="AF7" s="35"/>
      <c r="AG7" s="35"/>
      <c r="AH7" s="35"/>
      <c r="AI7" s="35"/>
      <c r="AJ7" s="37"/>
      <c r="AK7" s="35"/>
      <c r="AL7" s="35"/>
      <c r="AM7" s="35"/>
      <c r="AN7" s="35"/>
      <c r="AO7" s="35"/>
      <c r="AP7" s="37"/>
      <c r="AQ7" s="35"/>
      <c r="AR7" s="35"/>
      <c r="AS7" s="35"/>
      <c r="AT7" s="35"/>
      <c r="AU7" s="35"/>
      <c r="AV7" s="37"/>
      <c r="AW7" s="35"/>
      <c r="AX7" s="35"/>
      <c r="AY7" s="35"/>
      <c r="AZ7" s="35"/>
      <c r="BA7" s="35"/>
      <c r="BB7" s="37"/>
      <c r="BC7" s="38"/>
      <c r="BD7" s="38"/>
      <c r="BE7" s="38"/>
      <c r="BF7" s="38"/>
      <c r="BG7" s="38"/>
      <c r="BH7" s="38"/>
      <c r="BI7" s="38"/>
      <c r="BJ7" s="38"/>
      <c r="BK7" s="38"/>
    </row>
    <row r="8">
      <c r="A8" s="32">
        <v>7.0</v>
      </c>
      <c r="B8" s="32">
        <v>2.0</v>
      </c>
      <c r="C8" s="32" t="s">
        <v>107</v>
      </c>
      <c r="D8" s="32" t="s">
        <v>108</v>
      </c>
      <c r="E8" s="32" t="s">
        <v>109</v>
      </c>
      <c r="F8" s="32">
        <v>1.0</v>
      </c>
      <c r="G8" s="35"/>
      <c r="H8" s="35"/>
      <c r="I8" s="35"/>
      <c r="J8" s="35"/>
      <c r="K8" s="35"/>
      <c r="L8" s="37"/>
      <c r="M8" s="35"/>
      <c r="N8" s="35"/>
      <c r="O8" s="35"/>
      <c r="P8" s="35"/>
      <c r="Q8" s="35"/>
      <c r="R8" s="37"/>
      <c r="S8" s="35"/>
      <c r="T8" s="35"/>
      <c r="U8" s="35"/>
      <c r="V8" s="35"/>
      <c r="W8" s="35"/>
      <c r="X8" s="37"/>
      <c r="Y8" s="35"/>
      <c r="Z8" s="35"/>
      <c r="AA8" s="35"/>
      <c r="AB8" s="35"/>
      <c r="AC8" s="35"/>
      <c r="AD8" s="37"/>
      <c r="AE8" s="35"/>
      <c r="AF8" s="35"/>
      <c r="AG8" s="35"/>
      <c r="AH8" s="35"/>
      <c r="AI8" s="35"/>
      <c r="AJ8" s="37"/>
      <c r="AK8" s="35"/>
      <c r="AL8" s="35"/>
      <c r="AM8" s="35"/>
      <c r="AN8" s="35"/>
      <c r="AO8" s="35"/>
      <c r="AP8" s="37"/>
      <c r="AQ8" s="35"/>
      <c r="AR8" s="35"/>
      <c r="AS8" s="35"/>
      <c r="AT8" s="35"/>
      <c r="AU8" s="35"/>
      <c r="AV8" s="37"/>
      <c r="AW8" s="35"/>
      <c r="AX8" s="35"/>
      <c r="AY8" s="35"/>
      <c r="AZ8" s="35"/>
      <c r="BA8" s="35"/>
      <c r="BB8" s="37"/>
      <c r="BC8" s="38"/>
      <c r="BD8" s="38"/>
      <c r="BE8" s="38"/>
      <c r="BF8" s="38"/>
      <c r="BG8" s="38"/>
      <c r="BH8" s="38"/>
      <c r="BI8" s="38"/>
      <c r="BJ8" s="38"/>
      <c r="BK8" s="38"/>
    </row>
    <row r="9">
      <c r="A9" s="32">
        <v>8.0</v>
      </c>
      <c r="B9" s="32"/>
      <c r="C9" s="32" t="s">
        <v>107</v>
      </c>
      <c r="D9" s="32" t="s">
        <v>112</v>
      </c>
      <c r="E9" s="32"/>
      <c r="F9" s="32">
        <v>1.0</v>
      </c>
      <c r="G9" s="35"/>
      <c r="H9" s="35"/>
      <c r="I9" s="35"/>
      <c r="J9" s="35"/>
      <c r="K9" s="35"/>
      <c r="L9" s="37"/>
      <c r="M9" s="35"/>
      <c r="N9" s="35"/>
      <c r="O9" s="35"/>
      <c r="P9" s="35"/>
      <c r="Q9" s="35"/>
      <c r="R9" s="37"/>
      <c r="S9" s="35"/>
      <c r="T9" s="35"/>
      <c r="U9" s="35"/>
      <c r="V9" s="35"/>
      <c r="W9" s="35"/>
      <c r="X9" s="37"/>
      <c r="Y9" s="35"/>
      <c r="Z9" s="35"/>
      <c r="AA9" s="35"/>
      <c r="AB9" s="35"/>
      <c r="AC9" s="35"/>
      <c r="AD9" s="37"/>
      <c r="AE9" s="35"/>
      <c r="AF9" s="35"/>
      <c r="AG9" s="35"/>
      <c r="AH9" s="35"/>
      <c r="AI9" s="35"/>
      <c r="AJ9" s="37"/>
      <c r="AK9" s="35"/>
      <c r="AL9" s="35"/>
      <c r="AM9" s="35"/>
      <c r="AN9" s="35"/>
      <c r="AO9" s="35"/>
      <c r="AP9" s="37"/>
      <c r="AQ9" s="35"/>
      <c r="AR9" s="35"/>
      <c r="AS9" s="35"/>
      <c r="AT9" s="35"/>
      <c r="AU9" s="35"/>
      <c r="AV9" s="37"/>
      <c r="AW9" s="35"/>
      <c r="AX9" s="35"/>
      <c r="AY9" s="35"/>
      <c r="AZ9" s="35"/>
      <c r="BA9" s="35"/>
      <c r="BB9" s="37"/>
      <c r="BC9" s="38"/>
      <c r="BD9" s="38"/>
      <c r="BE9" s="38"/>
      <c r="BF9" s="38"/>
      <c r="BG9" s="38"/>
      <c r="BH9" s="38"/>
      <c r="BI9" s="38"/>
      <c r="BJ9" s="38"/>
      <c r="BK9" s="38"/>
    </row>
    <row r="10">
      <c r="A10" s="32">
        <v>9.0</v>
      </c>
      <c r="B10" s="32"/>
      <c r="C10" s="32" t="s">
        <v>107</v>
      </c>
      <c r="D10" s="32" t="s">
        <v>113</v>
      </c>
      <c r="E10" s="32"/>
      <c r="F10" s="32">
        <v>1.0</v>
      </c>
      <c r="G10" s="35"/>
      <c r="H10" s="35"/>
      <c r="I10" s="35"/>
      <c r="J10" s="35"/>
      <c r="K10" s="35"/>
      <c r="L10" s="37"/>
      <c r="M10" s="35"/>
      <c r="N10" s="35"/>
      <c r="O10" s="35"/>
      <c r="P10" s="35"/>
      <c r="Q10" s="35"/>
      <c r="R10" s="37"/>
      <c r="S10" s="35"/>
      <c r="T10" s="35"/>
      <c r="U10" s="35"/>
      <c r="V10" s="35"/>
      <c r="W10" s="35"/>
      <c r="X10" s="37"/>
      <c r="Y10" s="35"/>
      <c r="Z10" s="35"/>
      <c r="AA10" s="35"/>
      <c r="AB10" s="35"/>
      <c r="AC10" s="35"/>
      <c r="AD10" s="37"/>
      <c r="AE10" s="35"/>
      <c r="AF10" s="35"/>
      <c r="AG10" s="35"/>
      <c r="AH10" s="35"/>
      <c r="AI10" s="35"/>
      <c r="AJ10" s="37"/>
      <c r="AK10" s="35"/>
      <c r="AL10" s="35"/>
      <c r="AM10" s="35"/>
      <c r="AN10" s="35"/>
      <c r="AO10" s="35"/>
      <c r="AP10" s="37"/>
      <c r="AQ10" s="35"/>
      <c r="AR10" s="35"/>
      <c r="AS10" s="35"/>
      <c r="AT10" s="35"/>
      <c r="AU10" s="35"/>
      <c r="AV10" s="37"/>
      <c r="AW10" s="35"/>
      <c r="AX10" s="35"/>
      <c r="AY10" s="35"/>
      <c r="AZ10" s="35"/>
      <c r="BA10" s="35"/>
      <c r="BB10" s="37"/>
      <c r="BC10" s="38"/>
      <c r="BD10" s="38"/>
      <c r="BE10" s="38"/>
      <c r="BF10" s="38"/>
      <c r="BG10" s="38"/>
      <c r="BH10" s="38"/>
      <c r="BI10" s="38"/>
      <c r="BJ10" s="38"/>
      <c r="BK10" s="38"/>
    </row>
    <row r="11">
      <c r="A11" s="32">
        <v>10.0</v>
      </c>
      <c r="B11" s="32">
        <v>3.0</v>
      </c>
      <c r="C11" s="32" t="s">
        <v>116</v>
      </c>
      <c r="D11" s="32" t="s">
        <v>117</v>
      </c>
      <c r="E11" s="32" t="s">
        <v>118</v>
      </c>
      <c r="F11" s="32">
        <v>1.0</v>
      </c>
      <c r="G11" s="35"/>
      <c r="H11" s="35"/>
      <c r="I11" s="35"/>
      <c r="J11" s="35"/>
      <c r="K11" s="35"/>
      <c r="L11" s="37"/>
      <c r="M11" s="35"/>
      <c r="N11" s="35"/>
      <c r="O11" s="35"/>
      <c r="P11" s="35"/>
      <c r="Q11" s="35"/>
      <c r="R11" s="37"/>
      <c r="S11" s="35"/>
      <c r="T11" s="35"/>
      <c r="U11" s="35"/>
      <c r="V11" s="35"/>
      <c r="W11" s="35"/>
      <c r="X11" s="37"/>
      <c r="Y11" s="35"/>
      <c r="Z11" s="35"/>
      <c r="AA11" s="35"/>
      <c r="AB11" s="35"/>
      <c r="AC11" s="35"/>
      <c r="AD11" s="37"/>
      <c r="AE11" s="35"/>
      <c r="AF11" s="35"/>
      <c r="AG11" s="35"/>
      <c r="AH11" s="35"/>
      <c r="AI11" s="35"/>
      <c r="AJ11" s="37"/>
      <c r="AK11" s="35"/>
      <c r="AL11" s="35"/>
      <c r="AM11" s="35"/>
      <c r="AN11" s="35"/>
      <c r="AO11" s="35"/>
      <c r="AP11" s="37"/>
      <c r="AQ11" s="35"/>
      <c r="AR11" s="35"/>
      <c r="AS11" s="35"/>
      <c r="AT11" s="35"/>
      <c r="AU11" s="35"/>
      <c r="AV11" s="37"/>
      <c r="AW11" s="35"/>
      <c r="AX11" s="35"/>
      <c r="AY11" s="35"/>
      <c r="AZ11" s="35"/>
      <c r="BA11" s="35"/>
      <c r="BB11" s="37"/>
      <c r="BC11" s="38"/>
      <c r="BD11" s="38"/>
      <c r="BE11" s="38"/>
      <c r="BF11" s="38"/>
      <c r="BG11" s="38"/>
      <c r="BH11" s="38"/>
      <c r="BI11" s="38"/>
      <c r="BJ11" s="38"/>
      <c r="BK11" s="38"/>
    </row>
    <row r="12">
      <c r="A12" s="32">
        <v>11.0</v>
      </c>
      <c r="B12" s="32"/>
      <c r="C12" s="32" t="s">
        <v>116</v>
      </c>
      <c r="D12" s="32" t="s">
        <v>119</v>
      </c>
      <c r="E12" s="32" t="s">
        <v>120</v>
      </c>
      <c r="F12" s="32">
        <v>1.0</v>
      </c>
      <c r="G12" s="35"/>
      <c r="H12" s="35"/>
      <c r="I12" s="35"/>
      <c r="J12" s="35"/>
      <c r="K12" s="35"/>
      <c r="L12" s="37"/>
      <c r="M12" s="35"/>
      <c r="N12" s="35"/>
      <c r="O12" s="35"/>
      <c r="P12" s="35"/>
      <c r="Q12" s="35"/>
      <c r="R12" s="37"/>
      <c r="S12" s="35"/>
      <c r="T12" s="35"/>
      <c r="U12" s="35"/>
      <c r="V12" s="35"/>
      <c r="W12" s="35"/>
      <c r="X12" s="37"/>
      <c r="Y12" s="35"/>
      <c r="Z12" s="35"/>
      <c r="AA12" s="35"/>
      <c r="AB12" s="35"/>
      <c r="AC12" s="35"/>
      <c r="AD12" s="37"/>
      <c r="AE12" s="35"/>
      <c r="AF12" s="35"/>
      <c r="AG12" s="35"/>
      <c r="AH12" s="35"/>
      <c r="AI12" s="35"/>
      <c r="AJ12" s="37"/>
      <c r="AK12" s="35"/>
      <c r="AL12" s="35"/>
      <c r="AM12" s="35"/>
      <c r="AN12" s="35"/>
      <c r="AO12" s="35"/>
      <c r="AP12" s="37"/>
      <c r="AQ12" s="35"/>
      <c r="AR12" s="35"/>
      <c r="AS12" s="35"/>
      <c r="AT12" s="35"/>
      <c r="AU12" s="35"/>
      <c r="AV12" s="37"/>
      <c r="AW12" s="35"/>
      <c r="AX12" s="35"/>
      <c r="AY12" s="35"/>
      <c r="AZ12" s="35"/>
      <c r="BA12" s="35"/>
      <c r="BB12" s="37"/>
      <c r="BC12" s="38"/>
      <c r="BD12" s="38"/>
      <c r="BE12" s="38"/>
      <c r="BF12" s="38"/>
      <c r="BG12" s="38"/>
      <c r="BH12" s="38"/>
      <c r="BI12" s="38"/>
      <c r="BJ12" s="38"/>
      <c r="BK12" s="38"/>
    </row>
    <row r="13">
      <c r="A13" s="32">
        <v>12.0</v>
      </c>
      <c r="B13" s="32"/>
      <c r="C13" s="32" t="s">
        <v>116</v>
      </c>
      <c r="D13" s="32" t="s">
        <v>130</v>
      </c>
      <c r="E13" s="32" t="s">
        <v>131</v>
      </c>
      <c r="F13" s="32">
        <v>1.0</v>
      </c>
      <c r="G13" s="35"/>
      <c r="H13" s="35"/>
      <c r="I13" s="35"/>
      <c r="J13" s="35"/>
      <c r="K13" s="35"/>
      <c r="L13" s="37"/>
      <c r="M13" s="35"/>
      <c r="N13" s="35"/>
      <c r="O13" s="35"/>
      <c r="P13" s="35"/>
      <c r="Q13" s="35"/>
      <c r="R13" s="37"/>
      <c r="S13" s="35"/>
      <c r="T13" s="35"/>
      <c r="U13" s="35"/>
      <c r="V13" s="35"/>
      <c r="W13" s="35"/>
      <c r="X13" s="37"/>
      <c r="Y13" s="35"/>
      <c r="Z13" s="35"/>
      <c r="AA13" s="35"/>
      <c r="AB13" s="35"/>
      <c r="AC13" s="35"/>
      <c r="AD13" s="37"/>
      <c r="AE13" s="35"/>
      <c r="AF13" s="35"/>
      <c r="AG13" s="35"/>
      <c r="AH13" s="35"/>
      <c r="AI13" s="35"/>
      <c r="AJ13" s="37"/>
      <c r="AK13" s="35"/>
      <c r="AL13" s="35"/>
      <c r="AM13" s="35"/>
      <c r="AN13" s="35"/>
      <c r="AO13" s="35"/>
      <c r="AP13" s="37"/>
      <c r="AQ13" s="35"/>
      <c r="AR13" s="35"/>
      <c r="AS13" s="35"/>
      <c r="AT13" s="35"/>
      <c r="AU13" s="35"/>
      <c r="AV13" s="37"/>
      <c r="AW13" s="35"/>
      <c r="AX13" s="35"/>
      <c r="AY13" s="35"/>
      <c r="AZ13" s="35"/>
      <c r="BA13" s="35"/>
      <c r="BB13" s="37"/>
      <c r="BC13" s="38"/>
      <c r="BD13" s="38"/>
      <c r="BE13" s="38"/>
      <c r="BF13" s="38"/>
      <c r="BG13" s="38"/>
      <c r="BH13" s="38"/>
      <c r="BI13" s="38"/>
      <c r="BJ13" s="38"/>
      <c r="BK13" s="38"/>
    </row>
    <row r="14">
      <c r="A14" s="32">
        <v>13.0</v>
      </c>
      <c r="B14" s="32">
        <v>4.0</v>
      </c>
      <c r="C14" s="32" t="s">
        <v>136</v>
      </c>
      <c r="D14" s="32" t="s">
        <v>138</v>
      </c>
      <c r="E14" s="32" t="s">
        <v>139</v>
      </c>
      <c r="F14" s="32">
        <v>1.0</v>
      </c>
      <c r="G14" s="35"/>
      <c r="H14" s="35"/>
      <c r="I14" s="35"/>
      <c r="J14" s="35"/>
      <c r="K14" s="35"/>
      <c r="L14" s="37"/>
      <c r="M14" s="35"/>
      <c r="N14" s="35"/>
      <c r="O14" s="35"/>
      <c r="P14" s="35"/>
      <c r="Q14" s="35"/>
      <c r="R14" s="37"/>
      <c r="S14" s="35"/>
      <c r="T14" s="35"/>
      <c r="U14" s="35"/>
      <c r="V14" s="35"/>
      <c r="W14" s="35"/>
      <c r="X14" s="37"/>
      <c r="Y14" s="35"/>
      <c r="Z14" s="35"/>
      <c r="AA14" s="35"/>
      <c r="AB14" s="35"/>
      <c r="AC14" s="35"/>
      <c r="AD14" s="37"/>
      <c r="AE14" s="35"/>
      <c r="AF14" s="35"/>
      <c r="AG14" s="35"/>
      <c r="AH14" s="35"/>
      <c r="AI14" s="35"/>
      <c r="AJ14" s="37"/>
      <c r="AK14" s="35"/>
      <c r="AL14" s="35"/>
      <c r="AM14" s="35"/>
      <c r="AN14" s="35"/>
      <c r="AO14" s="35"/>
      <c r="AP14" s="37"/>
      <c r="AQ14" s="35"/>
      <c r="AR14" s="35"/>
      <c r="AS14" s="35"/>
      <c r="AT14" s="35"/>
      <c r="AU14" s="35"/>
      <c r="AV14" s="37"/>
      <c r="AW14" s="35"/>
      <c r="AX14" s="35"/>
      <c r="AY14" s="35"/>
      <c r="AZ14" s="35"/>
      <c r="BA14" s="35"/>
      <c r="BB14" s="37"/>
      <c r="BC14" s="38"/>
      <c r="BD14" s="38"/>
      <c r="BE14" s="38"/>
      <c r="BF14" s="38"/>
      <c r="BG14" s="38"/>
      <c r="BH14" s="38"/>
      <c r="BI14" s="38"/>
      <c r="BJ14" s="38"/>
      <c r="BK14" s="38"/>
    </row>
    <row r="15">
      <c r="A15" s="32">
        <v>14.0</v>
      </c>
      <c r="B15" s="32">
        <v>5.0</v>
      </c>
      <c r="C15" s="32" t="s">
        <v>145</v>
      </c>
      <c r="D15" s="32" t="s">
        <v>81</v>
      </c>
      <c r="E15" s="32" t="s">
        <v>146</v>
      </c>
      <c r="F15" s="32">
        <v>1.0</v>
      </c>
      <c r="G15" s="35"/>
      <c r="H15" s="35"/>
      <c r="I15" s="35"/>
      <c r="J15" s="35"/>
      <c r="K15" s="35"/>
      <c r="L15" s="37"/>
      <c r="M15" s="35"/>
      <c r="N15" s="35"/>
      <c r="O15" s="35"/>
      <c r="P15" s="35"/>
      <c r="Q15" s="35"/>
      <c r="R15" s="37"/>
      <c r="S15" s="35"/>
      <c r="T15" s="35"/>
      <c r="U15" s="35"/>
      <c r="V15" s="35"/>
      <c r="W15" s="35"/>
      <c r="X15" s="37"/>
      <c r="Y15" s="35"/>
      <c r="Z15" s="35"/>
      <c r="AA15" s="35"/>
      <c r="AB15" s="35"/>
      <c r="AC15" s="35"/>
      <c r="AD15" s="37"/>
      <c r="AE15" s="35"/>
      <c r="AF15" s="35"/>
      <c r="AG15" s="35"/>
      <c r="AH15" s="35"/>
      <c r="AI15" s="35"/>
      <c r="AJ15" s="37"/>
      <c r="AK15" s="35"/>
      <c r="AL15" s="35"/>
      <c r="AM15" s="35"/>
      <c r="AN15" s="35"/>
      <c r="AO15" s="35"/>
      <c r="AP15" s="37"/>
      <c r="AQ15" s="35"/>
      <c r="AR15" s="35"/>
      <c r="AS15" s="35"/>
      <c r="AT15" s="35"/>
      <c r="AU15" s="35"/>
      <c r="AV15" s="37"/>
      <c r="AW15" s="35"/>
      <c r="AX15" s="35"/>
      <c r="AY15" s="35"/>
      <c r="AZ15" s="35"/>
      <c r="BA15" s="35"/>
      <c r="BB15" s="37"/>
      <c r="BC15" s="38"/>
      <c r="BD15" s="38"/>
      <c r="BE15" s="38"/>
      <c r="BF15" s="38"/>
      <c r="BG15" s="38"/>
      <c r="BH15" s="38"/>
      <c r="BI15" s="38"/>
      <c r="BJ15" s="38"/>
      <c r="BK15" s="38"/>
    </row>
    <row r="16">
      <c r="A16" s="32">
        <v>15.0</v>
      </c>
      <c r="B16" s="32"/>
      <c r="C16" s="32" t="s">
        <v>145</v>
      </c>
      <c r="D16" s="32" t="s">
        <v>151</v>
      </c>
      <c r="E16" s="32" t="s">
        <v>152</v>
      </c>
      <c r="F16" s="32">
        <v>1.0</v>
      </c>
      <c r="G16" s="35"/>
      <c r="H16" s="35"/>
      <c r="I16" s="35"/>
      <c r="J16" s="35"/>
      <c r="K16" s="35"/>
      <c r="L16" s="37"/>
      <c r="M16" s="35"/>
      <c r="N16" s="35"/>
      <c r="O16" s="35"/>
      <c r="P16" s="35"/>
      <c r="Q16" s="35"/>
      <c r="R16" s="37"/>
      <c r="S16" s="35"/>
      <c r="T16" s="35"/>
      <c r="U16" s="35"/>
      <c r="V16" s="35"/>
      <c r="W16" s="35"/>
      <c r="X16" s="37"/>
      <c r="Y16" s="35"/>
      <c r="Z16" s="35"/>
      <c r="AA16" s="35"/>
      <c r="AB16" s="35"/>
      <c r="AC16" s="35"/>
      <c r="AD16" s="37"/>
      <c r="AE16" s="35"/>
      <c r="AF16" s="35"/>
      <c r="AG16" s="35"/>
      <c r="AH16" s="35"/>
      <c r="AI16" s="35"/>
      <c r="AJ16" s="37"/>
      <c r="AK16" s="35"/>
      <c r="AL16" s="35"/>
      <c r="AM16" s="35"/>
      <c r="AN16" s="35"/>
      <c r="AO16" s="35"/>
      <c r="AP16" s="37"/>
      <c r="AQ16" s="35"/>
      <c r="AR16" s="35"/>
      <c r="AS16" s="35"/>
      <c r="AT16" s="35"/>
      <c r="AU16" s="35"/>
      <c r="AV16" s="37"/>
      <c r="AW16" s="35"/>
      <c r="AX16" s="35"/>
      <c r="AY16" s="35"/>
      <c r="AZ16" s="35"/>
      <c r="BA16" s="35"/>
      <c r="BB16" s="37"/>
      <c r="BC16" s="38"/>
      <c r="BD16" s="38"/>
      <c r="BE16" s="38"/>
      <c r="BF16" s="38"/>
      <c r="BG16" s="38"/>
      <c r="BH16" s="38"/>
      <c r="BI16" s="38"/>
      <c r="BJ16" s="38"/>
      <c r="BK16" s="38"/>
    </row>
    <row r="17">
      <c r="A17" s="32">
        <v>16.0</v>
      </c>
      <c r="B17" s="32">
        <v>6.0</v>
      </c>
      <c r="C17" s="32" t="s">
        <v>165</v>
      </c>
      <c r="D17" s="32" t="s">
        <v>166</v>
      </c>
      <c r="E17" s="32" t="s">
        <v>167</v>
      </c>
      <c r="F17" s="32">
        <v>1.0</v>
      </c>
      <c r="G17" s="35"/>
      <c r="H17" s="35"/>
      <c r="I17" s="35"/>
      <c r="J17" s="35"/>
      <c r="K17" s="35"/>
      <c r="L17" s="37"/>
      <c r="M17" s="35"/>
      <c r="N17" s="35"/>
      <c r="O17" s="35"/>
      <c r="P17" s="35"/>
      <c r="Q17" s="35"/>
      <c r="R17" s="37"/>
      <c r="S17" s="35"/>
      <c r="T17" s="35"/>
      <c r="U17" s="35"/>
      <c r="V17" s="35"/>
      <c r="W17" s="35"/>
      <c r="X17" s="37"/>
      <c r="Y17" s="35"/>
      <c r="Z17" s="35"/>
      <c r="AA17" s="35"/>
      <c r="AB17" s="35"/>
      <c r="AC17" s="35"/>
      <c r="AD17" s="37"/>
      <c r="AE17" s="35"/>
      <c r="AF17" s="35"/>
      <c r="AG17" s="35"/>
      <c r="AH17" s="35"/>
      <c r="AI17" s="35"/>
      <c r="AJ17" s="37"/>
      <c r="AK17" s="35"/>
      <c r="AL17" s="35"/>
      <c r="AM17" s="35"/>
      <c r="AN17" s="35"/>
      <c r="AO17" s="35"/>
      <c r="AP17" s="37"/>
      <c r="AQ17" s="35"/>
      <c r="AR17" s="35"/>
      <c r="AS17" s="35"/>
      <c r="AT17" s="35"/>
      <c r="AU17" s="35"/>
      <c r="AV17" s="37"/>
      <c r="AW17" s="35"/>
      <c r="AX17" s="35"/>
      <c r="AY17" s="35"/>
      <c r="AZ17" s="35"/>
      <c r="BA17" s="35"/>
      <c r="BB17" s="37"/>
      <c r="BC17" s="38"/>
      <c r="BD17" s="38"/>
      <c r="BE17" s="38"/>
      <c r="BF17" s="38"/>
      <c r="BG17" s="38"/>
      <c r="BH17" s="38"/>
      <c r="BI17" s="38"/>
      <c r="BJ17" s="38"/>
      <c r="BK17" s="38"/>
    </row>
    <row r="18">
      <c r="A18" s="32">
        <v>17.0</v>
      </c>
      <c r="B18" s="32"/>
      <c r="C18" s="32" t="s">
        <v>165</v>
      </c>
      <c r="D18" s="32" t="s">
        <v>170</v>
      </c>
      <c r="E18" s="32" t="s">
        <v>171</v>
      </c>
      <c r="F18" s="32">
        <v>1.0</v>
      </c>
      <c r="G18" s="35"/>
      <c r="H18" s="35"/>
      <c r="I18" s="35"/>
      <c r="J18" s="35"/>
      <c r="K18" s="35"/>
      <c r="L18" s="37"/>
      <c r="M18" s="35"/>
      <c r="N18" s="35"/>
      <c r="O18" s="35"/>
      <c r="P18" s="35"/>
      <c r="Q18" s="35"/>
      <c r="R18" s="37"/>
      <c r="S18" s="35"/>
      <c r="T18" s="35"/>
      <c r="U18" s="35"/>
      <c r="V18" s="35"/>
      <c r="W18" s="35"/>
      <c r="X18" s="37"/>
      <c r="Y18" s="35"/>
      <c r="Z18" s="35"/>
      <c r="AA18" s="35"/>
      <c r="AB18" s="35"/>
      <c r="AC18" s="35"/>
      <c r="AD18" s="37"/>
      <c r="AE18" s="35"/>
      <c r="AF18" s="35"/>
      <c r="AG18" s="35"/>
      <c r="AH18" s="35"/>
      <c r="AI18" s="35"/>
      <c r="AJ18" s="37"/>
      <c r="AK18" s="35"/>
      <c r="AL18" s="35"/>
      <c r="AM18" s="35"/>
      <c r="AN18" s="35"/>
      <c r="AO18" s="35"/>
      <c r="AP18" s="37"/>
      <c r="AQ18" s="35"/>
      <c r="AR18" s="35"/>
      <c r="AS18" s="35"/>
      <c r="AT18" s="35"/>
      <c r="AU18" s="35"/>
      <c r="AV18" s="37"/>
      <c r="AW18" s="35"/>
      <c r="AX18" s="35"/>
      <c r="AY18" s="35"/>
      <c r="AZ18" s="35"/>
      <c r="BA18" s="35"/>
      <c r="BB18" s="37"/>
      <c r="BC18" s="38"/>
      <c r="BD18" s="38"/>
      <c r="BE18" s="38"/>
      <c r="BF18" s="38"/>
      <c r="BG18" s="38"/>
      <c r="BH18" s="38"/>
      <c r="BI18" s="38"/>
      <c r="BJ18" s="38"/>
      <c r="BK18" s="38"/>
    </row>
    <row r="19">
      <c r="A19" s="32">
        <v>18.0</v>
      </c>
      <c r="B19" s="32"/>
      <c r="C19" s="32" t="s">
        <v>165</v>
      </c>
      <c r="D19" s="32" t="s">
        <v>175</v>
      </c>
      <c r="E19" s="32" t="s">
        <v>176</v>
      </c>
      <c r="F19" s="32">
        <v>1.0</v>
      </c>
      <c r="G19" s="35"/>
      <c r="H19" s="35"/>
      <c r="I19" s="35"/>
      <c r="J19" s="35"/>
      <c r="K19" s="35"/>
      <c r="L19" s="37"/>
      <c r="M19" s="35"/>
      <c r="N19" s="35"/>
      <c r="O19" s="35"/>
      <c r="P19" s="35"/>
      <c r="Q19" s="35"/>
      <c r="R19" s="37"/>
      <c r="S19" s="35"/>
      <c r="T19" s="35"/>
      <c r="U19" s="35"/>
      <c r="V19" s="35"/>
      <c r="W19" s="35"/>
      <c r="X19" s="37"/>
      <c r="Y19" s="35"/>
      <c r="Z19" s="35"/>
      <c r="AA19" s="35"/>
      <c r="AB19" s="35"/>
      <c r="AC19" s="35"/>
      <c r="AD19" s="37"/>
      <c r="AE19" s="35"/>
      <c r="AF19" s="35"/>
      <c r="AG19" s="35"/>
      <c r="AH19" s="35"/>
      <c r="AI19" s="35"/>
      <c r="AJ19" s="37"/>
      <c r="AK19" s="35"/>
      <c r="AL19" s="35"/>
      <c r="AM19" s="35"/>
      <c r="AN19" s="35"/>
      <c r="AO19" s="35"/>
      <c r="AP19" s="37"/>
      <c r="AQ19" s="35"/>
      <c r="AR19" s="35"/>
      <c r="AS19" s="35"/>
      <c r="AT19" s="35"/>
      <c r="AU19" s="35"/>
      <c r="AV19" s="37"/>
      <c r="AW19" s="35"/>
      <c r="AX19" s="35"/>
      <c r="AY19" s="35"/>
      <c r="AZ19" s="35"/>
      <c r="BA19" s="35"/>
      <c r="BB19" s="37"/>
      <c r="BC19" s="38"/>
      <c r="BD19" s="38"/>
      <c r="BE19" s="38"/>
      <c r="BF19" s="38"/>
      <c r="BG19" s="38"/>
      <c r="BH19" s="38"/>
      <c r="BI19" s="38"/>
      <c r="BJ19" s="38"/>
      <c r="BK19" s="38"/>
    </row>
    <row r="20">
      <c r="A20" s="32">
        <v>19.0</v>
      </c>
      <c r="B20" s="32">
        <v>7.0</v>
      </c>
      <c r="C20" s="32"/>
      <c r="D20" s="32" t="s">
        <v>177</v>
      </c>
      <c r="E20" s="32"/>
      <c r="F20" s="32" t="s">
        <v>178</v>
      </c>
      <c r="G20" s="35"/>
      <c r="H20" s="35"/>
      <c r="I20" s="35"/>
      <c r="J20" s="35"/>
      <c r="K20" s="35"/>
      <c r="L20" s="37"/>
      <c r="M20" s="35"/>
      <c r="N20" s="35"/>
      <c r="O20" s="35"/>
      <c r="P20" s="35"/>
      <c r="Q20" s="35"/>
      <c r="R20" s="37"/>
      <c r="S20" s="35"/>
      <c r="T20" s="35"/>
      <c r="U20" s="35"/>
      <c r="V20" s="35"/>
      <c r="W20" s="35"/>
      <c r="X20" s="37"/>
      <c r="Y20" s="35"/>
      <c r="Z20" s="35"/>
      <c r="AA20" s="35"/>
      <c r="AB20" s="35"/>
      <c r="AC20" s="35"/>
      <c r="AD20" s="37"/>
      <c r="AE20" s="35"/>
      <c r="AF20" s="35"/>
      <c r="AG20" s="35"/>
      <c r="AH20" s="35"/>
      <c r="AI20" s="35"/>
      <c r="AJ20" s="37"/>
      <c r="AK20" s="35"/>
      <c r="AL20" s="35"/>
      <c r="AM20" s="35"/>
      <c r="AN20" s="35"/>
      <c r="AO20" s="35"/>
      <c r="AP20" s="37"/>
      <c r="AQ20" s="35"/>
      <c r="AR20" s="35"/>
      <c r="AS20" s="35"/>
      <c r="AT20" s="35"/>
      <c r="AU20" s="35"/>
      <c r="AV20" s="37"/>
      <c r="AW20" s="35"/>
      <c r="AX20" s="35"/>
      <c r="AY20" s="35"/>
      <c r="AZ20" s="35"/>
      <c r="BA20" s="35"/>
      <c r="BB20" s="37"/>
      <c r="BC20" s="38"/>
      <c r="BD20" s="38"/>
      <c r="BE20" s="38"/>
      <c r="BF20" s="38"/>
      <c r="BG20" s="38"/>
      <c r="BH20" s="38"/>
      <c r="BI20" s="38"/>
      <c r="BJ20" s="38"/>
      <c r="BK20" s="38"/>
    </row>
    <row r="21">
      <c r="A21" s="32">
        <v>20.0</v>
      </c>
      <c r="B21" s="32">
        <v>8.0</v>
      </c>
      <c r="C21" s="32"/>
      <c r="D21" s="32" t="s">
        <v>187</v>
      </c>
      <c r="E21" s="32"/>
      <c r="F21" s="32" t="s">
        <v>178</v>
      </c>
      <c r="G21" s="35"/>
      <c r="H21" s="35"/>
      <c r="I21" s="35"/>
      <c r="J21" s="35"/>
      <c r="K21" s="35"/>
      <c r="L21" s="37"/>
      <c r="M21" s="35"/>
      <c r="N21" s="35"/>
      <c r="O21" s="35"/>
      <c r="P21" s="35"/>
      <c r="Q21" s="35"/>
      <c r="R21" s="37"/>
      <c r="S21" s="35"/>
      <c r="T21" s="35"/>
      <c r="U21" s="35"/>
      <c r="V21" s="35"/>
      <c r="W21" s="35"/>
      <c r="X21" s="37"/>
      <c r="Y21" s="35"/>
      <c r="Z21" s="35"/>
      <c r="AA21" s="35"/>
      <c r="AB21" s="35"/>
      <c r="AC21" s="35"/>
      <c r="AD21" s="37"/>
      <c r="AE21" s="35"/>
      <c r="AF21" s="35"/>
      <c r="AG21" s="35"/>
      <c r="AH21" s="35"/>
      <c r="AI21" s="35"/>
      <c r="AJ21" s="37"/>
      <c r="AK21" s="35"/>
      <c r="AL21" s="35"/>
      <c r="AM21" s="35"/>
      <c r="AN21" s="35"/>
      <c r="AO21" s="35"/>
      <c r="AP21" s="37"/>
      <c r="AQ21" s="35"/>
      <c r="AR21" s="35"/>
      <c r="AS21" s="35"/>
      <c r="AT21" s="35"/>
      <c r="AU21" s="35"/>
      <c r="AV21" s="37"/>
      <c r="AW21" s="35"/>
      <c r="AX21" s="35"/>
      <c r="AY21" s="35"/>
      <c r="AZ21" s="35"/>
      <c r="BA21" s="35"/>
      <c r="BB21" s="37"/>
      <c r="BC21" s="38"/>
      <c r="BD21" s="38"/>
      <c r="BE21" s="38"/>
      <c r="BF21" s="38"/>
      <c r="BG21" s="38"/>
      <c r="BH21" s="38"/>
      <c r="BI21" s="38"/>
      <c r="BJ21" s="38"/>
      <c r="BK21" s="38"/>
    </row>
    <row r="22">
      <c r="A22" s="32">
        <v>21.0</v>
      </c>
      <c r="B22" s="32">
        <v>9.0</v>
      </c>
      <c r="C22" s="32"/>
      <c r="D22" s="32" t="s">
        <v>192</v>
      </c>
      <c r="E22" s="32"/>
      <c r="F22" s="32" t="s">
        <v>193</v>
      </c>
      <c r="G22" s="35"/>
      <c r="H22" s="35"/>
      <c r="I22" s="35"/>
      <c r="J22" s="35"/>
      <c r="K22" s="35"/>
      <c r="L22" s="37"/>
      <c r="M22" s="35"/>
      <c r="N22" s="35"/>
      <c r="O22" s="35"/>
      <c r="P22" s="35"/>
      <c r="Q22" s="35"/>
      <c r="R22" s="37"/>
      <c r="S22" s="35"/>
      <c r="T22" s="35"/>
      <c r="U22" s="35"/>
      <c r="V22" s="35"/>
      <c r="W22" s="35"/>
      <c r="X22" s="37"/>
      <c r="Y22" s="35"/>
      <c r="Z22" s="35"/>
      <c r="AA22" s="35"/>
      <c r="AB22" s="35"/>
      <c r="AC22" s="35"/>
      <c r="AD22" s="37"/>
      <c r="AE22" s="35"/>
      <c r="AF22" s="35"/>
      <c r="AG22" s="35"/>
      <c r="AH22" s="35"/>
      <c r="AI22" s="35"/>
      <c r="AJ22" s="37"/>
      <c r="AK22" s="35"/>
      <c r="AL22" s="35"/>
      <c r="AM22" s="35"/>
      <c r="AN22" s="35"/>
      <c r="AO22" s="35"/>
      <c r="AP22" s="37"/>
      <c r="AQ22" s="35"/>
      <c r="AR22" s="35"/>
      <c r="AS22" s="35"/>
      <c r="AT22" s="35"/>
      <c r="AU22" s="35"/>
      <c r="AV22" s="37"/>
      <c r="AW22" s="35"/>
      <c r="AX22" s="35"/>
      <c r="AY22" s="35"/>
      <c r="AZ22" s="35"/>
      <c r="BA22" s="35"/>
      <c r="BB22" s="37"/>
      <c r="BC22" s="38"/>
      <c r="BD22" s="38"/>
      <c r="BE22" s="38"/>
      <c r="BF22" s="38"/>
      <c r="BG22" s="38"/>
      <c r="BH22" s="38"/>
      <c r="BI22" s="38"/>
      <c r="BJ22" s="38"/>
      <c r="BK22" s="38"/>
    </row>
    <row r="23">
      <c r="A23" s="32">
        <v>22.0</v>
      </c>
      <c r="B23" s="32">
        <v>10.0</v>
      </c>
      <c r="C23" s="32"/>
      <c r="D23" s="32" t="s">
        <v>205</v>
      </c>
      <c r="E23" s="32"/>
      <c r="F23" s="32">
        <v>3.0</v>
      </c>
      <c r="G23" s="35"/>
      <c r="H23" s="35"/>
      <c r="I23" s="35"/>
      <c r="J23" s="35"/>
      <c r="K23" s="35"/>
      <c r="L23" s="37"/>
      <c r="M23" s="35"/>
      <c r="N23" s="35"/>
      <c r="O23" s="35"/>
      <c r="P23" s="35"/>
      <c r="Q23" s="35"/>
      <c r="R23" s="37"/>
      <c r="S23" s="35"/>
      <c r="T23" s="35"/>
      <c r="U23" s="35"/>
      <c r="V23" s="35"/>
      <c r="W23" s="35"/>
      <c r="X23" s="37"/>
      <c r="Y23" s="35"/>
      <c r="Z23" s="35"/>
      <c r="AA23" s="35"/>
      <c r="AB23" s="35"/>
      <c r="AC23" s="35"/>
      <c r="AD23" s="37"/>
      <c r="AE23" s="35"/>
      <c r="AF23" s="35"/>
      <c r="AG23" s="35"/>
      <c r="AH23" s="35"/>
      <c r="AI23" s="35"/>
      <c r="AJ23" s="37"/>
      <c r="AK23" s="35"/>
      <c r="AL23" s="35"/>
      <c r="AM23" s="35"/>
      <c r="AN23" s="35"/>
      <c r="AO23" s="35"/>
      <c r="AP23" s="37"/>
      <c r="AQ23" s="35"/>
      <c r="AR23" s="35"/>
      <c r="AS23" s="35"/>
      <c r="AT23" s="35"/>
      <c r="AU23" s="35"/>
      <c r="AV23" s="37"/>
      <c r="AW23" s="35"/>
      <c r="AX23" s="35"/>
      <c r="AY23" s="35"/>
      <c r="AZ23" s="35"/>
      <c r="BA23" s="35"/>
      <c r="BB23" s="37"/>
      <c r="BC23" s="38"/>
      <c r="BD23" s="38"/>
      <c r="BE23" s="38"/>
      <c r="BF23" s="38"/>
      <c r="BG23" s="38"/>
      <c r="BH23" s="38"/>
      <c r="BI23" s="38"/>
      <c r="BJ23" s="38"/>
      <c r="BK23" s="38"/>
    </row>
    <row r="24">
      <c r="A24" s="32">
        <v>23.0</v>
      </c>
      <c r="B24" s="32">
        <v>11.0</v>
      </c>
      <c r="C24" s="32"/>
      <c r="D24" s="32" t="s">
        <v>207</v>
      </c>
      <c r="E24" s="32"/>
      <c r="F24" s="32">
        <v>6.0</v>
      </c>
      <c r="G24" s="35"/>
      <c r="H24" s="35"/>
      <c r="I24" s="35"/>
      <c r="J24" s="35"/>
      <c r="K24" s="35"/>
      <c r="L24" s="37"/>
      <c r="M24" s="35"/>
      <c r="N24" s="35"/>
      <c r="O24" s="35"/>
      <c r="P24" s="35"/>
      <c r="Q24" s="35"/>
      <c r="R24" s="37"/>
      <c r="S24" s="35"/>
      <c r="T24" s="35"/>
      <c r="U24" s="35"/>
      <c r="V24" s="35"/>
      <c r="W24" s="35"/>
      <c r="X24" s="37"/>
      <c r="Y24" s="35"/>
      <c r="Z24" s="35"/>
      <c r="AA24" s="35"/>
      <c r="AB24" s="35"/>
      <c r="AC24" s="35"/>
      <c r="AD24" s="37"/>
      <c r="AE24" s="35"/>
      <c r="AF24" s="35"/>
      <c r="AG24" s="35"/>
      <c r="AH24" s="35"/>
      <c r="AI24" s="35"/>
      <c r="AJ24" s="37"/>
      <c r="AK24" s="35"/>
      <c r="AL24" s="35"/>
      <c r="AM24" s="35"/>
      <c r="AN24" s="35"/>
      <c r="AO24" s="35"/>
      <c r="AP24" s="37"/>
      <c r="AQ24" s="35"/>
      <c r="AR24" s="35"/>
      <c r="AS24" s="35"/>
      <c r="AT24" s="35"/>
      <c r="AU24" s="35"/>
      <c r="AV24" s="37"/>
      <c r="AW24" s="35"/>
      <c r="AX24" s="35"/>
      <c r="AY24" s="35"/>
      <c r="AZ24" s="35"/>
      <c r="BA24" s="35"/>
      <c r="BB24" s="37"/>
      <c r="BC24" s="38"/>
      <c r="BD24" s="38"/>
      <c r="BE24" s="38"/>
      <c r="BF24" s="38"/>
      <c r="BG24" s="38"/>
      <c r="BH24" s="38"/>
      <c r="BI24" s="38"/>
      <c r="BJ24" s="38"/>
      <c r="BK24" s="38"/>
    </row>
    <row r="25">
      <c r="A25" s="32">
        <v>24.0</v>
      </c>
      <c r="B25" s="32">
        <v>12.0</v>
      </c>
      <c r="C25" s="32"/>
      <c r="D25" s="32" t="s">
        <v>209</v>
      </c>
      <c r="E25" s="32"/>
      <c r="F25" s="32">
        <v>1.0</v>
      </c>
      <c r="G25" s="35"/>
      <c r="H25" s="35"/>
      <c r="I25" s="35"/>
      <c r="J25" s="35"/>
      <c r="K25" s="35"/>
      <c r="L25" s="37"/>
      <c r="M25" s="35"/>
      <c r="N25" s="35"/>
      <c r="O25" s="35"/>
      <c r="P25" s="35"/>
      <c r="Q25" s="35"/>
      <c r="R25" s="37"/>
      <c r="S25" s="35"/>
      <c r="T25" s="35"/>
      <c r="U25" s="35"/>
      <c r="V25" s="35"/>
      <c r="W25" s="35"/>
      <c r="X25" s="37"/>
      <c r="Y25" s="35"/>
      <c r="Z25" s="35"/>
      <c r="AA25" s="35"/>
      <c r="AB25" s="35"/>
      <c r="AC25" s="35"/>
      <c r="AD25" s="37"/>
      <c r="AE25" s="35"/>
      <c r="AF25" s="35"/>
      <c r="AG25" s="35"/>
      <c r="AH25" s="35"/>
      <c r="AI25" s="35"/>
      <c r="AJ25" s="37"/>
      <c r="AK25" s="35"/>
      <c r="AL25" s="35"/>
      <c r="AM25" s="35"/>
      <c r="AN25" s="35"/>
      <c r="AO25" s="35"/>
      <c r="AP25" s="37"/>
      <c r="AQ25" s="35"/>
      <c r="AR25" s="35"/>
      <c r="AS25" s="35"/>
      <c r="AT25" s="35"/>
      <c r="AU25" s="35"/>
      <c r="AV25" s="37"/>
      <c r="AW25" s="35"/>
      <c r="AX25" s="35"/>
      <c r="AY25" s="35"/>
      <c r="AZ25" s="35"/>
      <c r="BA25" s="35"/>
      <c r="BB25" s="37"/>
      <c r="BC25" s="38"/>
      <c r="BD25" s="38"/>
      <c r="BE25" s="38"/>
      <c r="BF25" s="38"/>
      <c r="BG25" s="38"/>
      <c r="BH25" s="38"/>
      <c r="BI25" s="38"/>
      <c r="BJ25" s="38"/>
      <c r="BK25" s="38"/>
    </row>
    <row r="26">
      <c r="A26" s="32">
        <v>25.0</v>
      </c>
      <c r="B26" s="32">
        <v>13.0</v>
      </c>
      <c r="C26" s="32"/>
      <c r="D26" s="32" t="s">
        <v>226</v>
      </c>
      <c r="E26" s="32"/>
      <c r="F26" s="32">
        <v>1.0</v>
      </c>
      <c r="G26" s="35"/>
      <c r="H26" s="35"/>
      <c r="I26" s="35"/>
      <c r="J26" s="35"/>
      <c r="K26" s="35"/>
      <c r="L26" s="37"/>
      <c r="M26" s="35"/>
      <c r="N26" s="35"/>
      <c r="O26" s="35"/>
      <c r="P26" s="35"/>
      <c r="Q26" s="35"/>
      <c r="R26" s="37"/>
      <c r="S26" s="35"/>
      <c r="T26" s="35"/>
      <c r="U26" s="35"/>
      <c r="V26" s="35"/>
      <c r="W26" s="35"/>
      <c r="X26" s="37"/>
      <c r="Y26" s="35"/>
      <c r="Z26" s="35"/>
      <c r="AA26" s="35"/>
      <c r="AB26" s="35"/>
      <c r="AC26" s="35"/>
      <c r="AD26" s="37"/>
      <c r="AE26" s="35"/>
      <c r="AF26" s="35"/>
      <c r="AG26" s="35"/>
      <c r="AH26" s="35"/>
      <c r="AI26" s="35"/>
      <c r="AJ26" s="37"/>
      <c r="AK26" s="35"/>
      <c r="AL26" s="35"/>
      <c r="AM26" s="35"/>
      <c r="AN26" s="35"/>
      <c r="AO26" s="35"/>
      <c r="AP26" s="37"/>
      <c r="AQ26" s="35"/>
      <c r="AR26" s="35"/>
      <c r="AS26" s="35"/>
      <c r="AT26" s="35"/>
      <c r="AU26" s="35"/>
      <c r="AV26" s="37"/>
      <c r="AW26" s="35"/>
      <c r="AX26" s="35"/>
      <c r="AY26" s="35"/>
      <c r="AZ26" s="35"/>
      <c r="BA26" s="35"/>
      <c r="BB26" s="37"/>
      <c r="BC26" s="38"/>
      <c r="BD26" s="38"/>
      <c r="BE26" s="38"/>
      <c r="BF26" s="38"/>
      <c r="BG26" s="38"/>
      <c r="BH26" s="38"/>
      <c r="BI26" s="38"/>
      <c r="BJ26" s="38"/>
      <c r="BK26" s="38"/>
    </row>
    <row r="27">
      <c r="A27" s="32">
        <v>26.0</v>
      </c>
      <c r="B27" s="32">
        <v>14.0</v>
      </c>
      <c r="C27" s="32"/>
      <c r="D27" s="32" t="s">
        <v>240</v>
      </c>
      <c r="E27" s="32"/>
      <c r="F27" s="32">
        <v>6.0</v>
      </c>
      <c r="G27" s="35"/>
      <c r="H27" s="35"/>
      <c r="I27" s="35"/>
      <c r="J27" s="35"/>
      <c r="K27" s="35"/>
      <c r="L27" s="37"/>
      <c r="M27" s="35"/>
      <c r="N27" s="35"/>
      <c r="O27" s="35"/>
      <c r="P27" s="35"/>
      <c r="Q27" s="35"/>
      <c r="R27" s="37"/>
      <c r="S27" s="35"/>
      <c r="T27" s="35"/>
      <c r="U27" s="35"/>
      <c r="V27" s="35"/>
      <c r="W27" s="35"/>
      <c r="X27" s="37"/>
      <c r="Y27" s="35"/>
      <c r="Z27" s="35"/>
      <c r="AA27" s="35"/>
      <c r="AB27" s="35"/>
      <c r="AC27" s="35"/>
      <c r="AD27" s="37"/>
      <c r="AE27" s="35"/>
      <c r="AF27" s="35"/>
      <c r="AG27" s="35"/>
      <c r="AH27" s="35"/>
      <c r="AI27" s="35"/>
      <c r="AJ27" s="37"/>
      <c r="AK27" s="35"/>
      <c r="AL27" s="35"/>
      <c r="AM27" s="35"/>
      <c r="AN27" s="35"/>
      <c r="AO27" s="35"/>
      <c r="AP27" s="37"/>
      <c r="AQ27" s="35"/>
      <c r="AR27" s="35"/>
      <c r="AS27" s="35"/>
      <c r="AT27" s="35"/>
      <c r="AU27" s="35"/>
      <c r="AV27" s="37"/>
      <c r="AW27" s="35"/>
      <c r="AX27" s="35"/>
      <c r="AY27" s="35"/>
      <c r="AZ27" s="35"/>
      <c r="BA27" s="35"/>
      <c r="BB27" s="37"/>
      <c r="BC27" s="38"/>
      <c r="BD27" s="38"/>
      <c r="BE27" s="38"/>
      <c r="BF27" s="38"/>
      <c r="BG27" s="38"/>
      <c r="BH27" s="38"/>
      <c r="BI27" s="38"/>
      <c r="BJ27" s="38"/>
      <c r="BK27" s="38"/>
    </row>
    <row r="28">
      <c r="A28" s="32">
        <v>27.0</v>
      </c>
      <c r="B28" s="32">
        <v>15.0</v>
      </c>
      <c r="C28" s="32"/>
      <c r="D28" s="32" t="s">
        <v>243</v>
      </c>
      <c r="E28" s="32"/>
      <c r="F28" s="32">
        <v>3.0</v>
      </c>
      <c r="G28" s="35"/>
      <c r="H28" s="35"/>
      <c r="I28" s="35"/>
      <c r="J28" s="35"/>
      <c r="K28" s="35"/>
      <c r="L28" s="37"/>
      <c r="M28" s="35"/>
      <c r="N28" s="35"/>
      <c r="O28" s="35"/>
      <c r="P28" s="35"/>
      <c r="Q28" s="35"/>
      <c r="R28" s="37"/>
      <c r="S28" s="35"/>
      <c r="T28" s="35"/>
      <c r="U28" s="35"/>
      <c r="V28" s="35"/>
      <c r="W28" s="35"/>
      <c r="X28" s="37"/>
      <c r="Y28" s="35"/>
      <c r="Z28" s="35"/>
      <c r="AA28" s="35"/>
      <c r="AB28" s="35"/>
      <c r="AC28" s="35"/>
      <c r="AD28" s="37"/>
      <c r="AE28" s="35"/>
      <c r="AF28" s="35"/>
      <c r="AG28" s="35"/>
      <c r="AH28" s="35"/>
      <c r="AI28" s="35"/>
      <c r="AJ28" s="37"/>
      <c r="AK28" s="35"/>
      <c r="AL28" s="35"/>
      <c r="AM28" s="35"/>
      <c r="AN28" s="35"/>
      <c r="AO28" s="35"/>
      <c r="AP28" s="37"/>
      <c r="AQ28" s="35"/>
      <c r="AR28" s="35"/>
      <c r="AS28" s="35"/>
      <c r="AT28" s="35"/>
      <c r="AU28" s="35"/>
      <c r="AV28" s="37"/>
      <c r="AW28" s="35"/>
      <c r="AX28" s="35"/>
      <c r="AY28" s="35"/>
      <c r="AZ28" s="35"/>
      <c r="BA28" s="35"/>
      <c r="BB28" s="37"/>
      <c r="BC28" s="38"/>
      <c r="BD28" s="38"/>
      <c r="BE28" s="38"/>
      <c r="BF28" s="38"/>
      <c r="BG28" s="38"/>
      <c r="BH28" s="38"/>
      <c r="BI28" s="38"/>
      <c r="BJ28" s="38"/>
      <c r="BK28" s="38"/>
    </row>
    <row r="29">
      <c r="A29" s="32">
        <v>28.0</v>
      </c>
      <c r="B29" s="32">
        <v>16.0</v>
      </c>
      <c r="C29" s="32"/>
      <c r="D29" s="32" t="s">
        <v>247</v>
      </c>
      <c r="E29" s="32"/>
      <c r="F29" s="32">
        <v>3.0</v>
      </c>
      <c r="G29" s="35"/>
      <c r="H29" s="35"/>
      <c r="I29" s="35"/>
      <c r="J29" s="35"/>
      <c r="K29" s="35"/>
      <c r="L29" s="37"/>
      <c r="M29" s="35"/>
      <c r="N29" s="35"/>
      <c r="O29" s="35"/>
      <c r="P29" s="35"/>
      <c r="Q29" s="35"/>
      <c r="R29" s="37"/>
      <c r="S29" s="35"/>
      <c r="T29" s="35"/>
      <c r="U29" s="35"/>
      <c r="V29" s="35"/>
      <c r="W29" s="35"/>
      <c r="X29" s="37"/>
      <c r="Y29" s="35"/>
      <c r="Z29" s="35"/>
      <c r="AA29" s="35"/>
      <c r="AB29" s="35"/>
      <c r="AC29" s="35"/>
      <c r="AD29" s="37"/>
      <c r="AE29" s="35"/>
      <c r="AF29" s="35"/>
      <c r="AG29" s="35"/>
      <c r="AH29" s="35"/>
      <c r="AI29" s="35"/>
      <c r="AJ29" s="37"/>
      <c r="AK29" s="35"/>
      <c r="AL29" s="35"/>
      <c r="AM29" s="35"/>
      <c r="AN29" s="35"/>
      <c r="AO29" s="35"/>
      <c r="AP29" s="37"/>
      <c r="AQ29" s="35"/>
      <c r="AR29" s="35"/>
      <c r="AS29" s="35"/>
      <c r="AT29" s="35"/>
      <c r="AU29" s="35"/>
      <c r="AV29" s="37"/>
      <c r="AW29" s="35"/>
      <c r="AX29" s="35"/>
      <c r="AY29" s="35"/>
      <c r="AZ29" s="35"/>
      <c r="BA29" s="35"/>
      <c r="BB29" s="37"/>
      <c r="BC29" s="38"/>
      <c r="BD29" s="38"/>
      <c r="BE29" s="38"/>
      <c r="BF29" s="38"/>
      <c r="BG29" s="38"/>
      <c r="BH29" s="38"/>
      <c r="BI29" s="38"/>
      <c r="BJ29" s="38"/>
      <c r="BK29" s="38"/>
    </row>
    <row r="30">
      <c r="A30" s="32">
        <v>29.0</v>
      </c>
      <c r="B30" s="32">
        <v>17.0</v>
      </c>
      <c r="C30" s="32"/>
      <c r="D30" s="32" t="s">
        <v>253</v>
      </c>
      <c r="E30" s="32"/>
      <c r="F30" s="32">
        <v>4.0</v>
      </c>
      <c r="G30" s="35"/>
      <c r="H30" s="35"/>
      <c r="I30" s="35"/>
      <c r="J30" s="35"/>
      <c r="K30" s="35"/>
      <c r="L30" s="37"/>
      <c r="M30" s="35"/>
      <c r="N30" s="35"/>
      <c r="O30" s="35"/>
      <c r="P30" s="35"/>
      <c r="Q30" s="35"/>
      <c r="R30" s="37"/>
      <c r="S30" s="35"/>
      <c r="T30" s="35"/>
      <c r="U30" s="35"/>
      <c r="V30" s="35"/>
      <c r="W30" s="35"/>
      <c r="X30" s="37"/>
      <c r="Y30" s="35"/>
      <c r="Z30" s="35"/>
      <c r="AA30" s="35"/>
      <c r="AB30" s="35"/>
      <c r="AC30" s="35"/>
      <c r="AD30" s="37"/>
      <c r="AE30" s="35"/>
      <c r="AF30" s="35"/>
      <c r="AG30" s="35"/>
      <c r="AH30" s="35"/>
      <c r="AI30" s="35"/>
      <c r="AJ30" s="37"/>
      <c r="AK30" s="35"/>
      <c r="AL30" s="35"/>
      <c r="AM30" s="35"/>
      <c r="AN30" s="35"/>
      <c r="AO30" s="35"/>
      <c r="AP30" s="37"/>
      <c r="AQ30" s="35"/>
      <c r="AR30" s="35"/>
      <c r="AS30" s="35"/>
      <c r="AT30" s="35"/>
      <c r="AU30" s="35"/>
      <c r="AV30" s="37"/>
      <c r="AW30" s="35"/>
      <c r="AX30" s="35"/>
      <c r="AY30" s="35"/>
      <c r="AZ30" s="35"/>
      <c r="BA30" s="35"/>
      <c r="BB30" s="37"/>
      <c r="BC30" s="38"/>
      <c r="BD30" s="38"/>
      <c r="BE30" s="38"/>
      <c r="BF30" s="38"/>
      <c r="BG30" s="38"/>
      <c r="BH30" s="38"/>
      <c r="BI30" s="38"/>
      <c r="BJ30" s="38"/>
      <c r="BK30" s="38"/>
    </row>
    <row r="31">
      <c r="A31" s="32">
        <v>30.0</v>
      </c>
      <c r="B31" s="32">
        <v>18.0</v>
      </c>
      <c r="C31" s="32"/>
      <c r="D31" s="32" t="s">
        <v>259</v>
      </c>
      <c r="E31" s="32"/>
      <c r="F31" s="32">
        <v>10.0</v>
      </c>
      <c r="G31" s="35"/>
      <c r="H31" s="35"/>
      <c r="I31" s="35"/>
      <c r="J31" s="35"/>
      <c r="K31" s="35"/>
      <c r="L31" s="37"/>
      <c r="M31" s="35"/>
      <c r="N31" s="35"/>
      <c r="O31" s="35"/>
      <c r="P31" s="35"/>
      <c r="Q31" s="35"/>
      <c r="R31" s="37"/>
      <c r="S31" s="35"/>
      <c r="T31" s="35"/>
      <c r="U31" s="35"/>
      <c r="V31" s="35"/>
      <c r="W31" s="35"/>
      <c r="X31" s="37"/>
      <c r="Y31" s="35"/>
      <c r="Z31" s="35"/>
      <c r="AA31" s="35"/>
      <c r="AB31" s="35"/>
      <c r="AC31" s="35"/>
      <c r="AD31" s="37"/>
      <c r="AE31" s="35"/>
      <c r="AF31" s="35"/>
      <c r="AG31" s="35"/>
      <c r="AH31" s="35"/>
      <c r="AI31" s="35"/>
      <c r="AJ31" s="37"/>
      <c r="AK31" s="35"/>
      <c r="AL31" s="35"/>
      <c r="AM31" s="35"/>
      <c r="AN31" s="35"/>
      <c r="AO31" s="35"/>
      <c r="AP31" s="37"/>
      <c r="AQ31" s="35"/>
      <c r="AR31" s="35"/>
      <c r="AS31" s="35"/>
      <c r="AT31" s="35"/>
      <c r="AU31" s="35"/>
      <c r="AV31" s="37"/>
      <c r="AW31" s="35"/>
      <c r="AX31" s="35"/>
      <c r="AY31" s="35"/>
      <c r="AZ31" s="35"/>
      <c r="BA31" s="35"/>
      <c r="BB31" s="37"/>
      <c r="BC31" s="38"/>
      <c r="BD31" s="38"/>
      <c r="BE31" s="38"/>
      <c r="BF31" s="38"/>
      <c r="BG31" s="38"/>
      <c r="BH31" s="38"/>
      <c r="BI31" s="38"/>
      <c r="BJ31" s="38"/>
      <c r="BK31" s="38"/>
    </row>
    <row r="32">
      <c r="A32" s="32">
        <v>31.0</v>
      </c>
      <c r="B32" s="32">
        <v>19.0</v>
      </c>
      <c r="C32" s="32"/>
      <c r="D32" s="32" t="s">
        <v>263</v>
      </c>
      <c r="E32" s="32"/>
      <c r="F32" s="32">
        <v>4.0</v>
      </c>
      <c r="G32" s="35"/>
      <c r="H32" s="35"/>
      <c r="I32" s="35"/>
      <c r="J32" s="35"/>
      <c r="K32" s="35"/>
      <c r="L32" s="37"/>
      <c r="M32" s="35"/>
      <c r="N32" s="35"/>
      <c r="O32" s="35"/>
      <c r="P32" s="35"/>
      <c r="Q32" s="35"/>
      <c r="R32" s="37"/>
      <c r="S32" s="35"/>
      <c r="T32" s="35"/>
      <c r="U32" s="35"/>
      <c r="V32" s="35"/>
      <c r="W32" s="35"/>
      <c r="X32" s="37"/>
      <c r="Y32" s="35"/>
      <c r="Z32" s="35"/>
      <c r="AA32" s="35"/>
      <c r="AB32" s="35"/>
      <c r="AC32" s="35"/>
      <c r="AD32" s="37"/>
      <c r="AE32" s="35"/>
      <c r="AF32" s="35"/>
      <c r="AG32" s="35"/>
      <c r="AH32" s="35"/>
      <c r="AI32" s="35"/>
      <c r="AJ32" s="37"/>
      <c r="AK32" s="35"/>
      <c r="AL32" s="35"/>
      <c r="AM32" s="35"/>
      <c r="AN32" s="35"/>
      <c r="AO32" s="35"/>
      <c r="AP32" s="37"/>
      <c r="AQ32" s="35"/>
      <c r="AR32" s="35"/>
      <c r="AS32" s="35"/>
      <c r="AT32" s="35"/>
      <c r="AU32" s="35"/>
      <c r="AV32" s="37"/>
      <c r="AW32" s="35"/>
      <c r="AX32" s="35"/>
      <c r="AY32" s="35"/>
      <c r="AZ32" s="35"/>
      <c r="BA32" s="35"/>
      <c r="BB32" s="37"/>
      <c r="BC32" s="38"/>
      <c r="BD32" s="38"/>
      <c r="BE32" s="38"/>
      <c r="BF32" s="38"/>
      <c r="BG32" s="38"/>
      <c r="BH32" s="38"/>
      <c r="BI32" s="38"/>
      <c r="BJ32" s="38"/>
      <c r="BK32" s="38"/>
    </row>
    <row r="33">
      <c r="A33" s="32">
        <v>32.0</v>
      </c>
      <c r="B33" s="32">
        <v>20.0</v>
      </c>
      <c r="C33" s="32"/>
      <c r="D33" s="32" t="s">
        <v>265</v>
      </c>
      <c r="E33" s="32"/>
      <c r="F33" s="32">
        <v>4.0</v>
      </c>
      <c r="G33" s="35"/>
      <c r="H33" s="35"/>
      <c r="I33" s="35"/>
      <c r="J33" s="35"/>
      <c r="K33" s="35"/>
      <c r="L33" s="37"/>
      <c r="M33" s="35"/>
      <c r="N33" s="35"/>
      <c r="O33" s="35"/>
      <c r="P33" s="35"/>
      <c r="Q33" s="35"/>
      <c r="R33" s="37"/>
      <c r="S33" s="35"/>
      <c r="T33" s="35"/>
      <c r="U33" s="35"/>
      <c r="V33" s="35"/>
      <c r="W33" s="35"/>
      <c r="X33" s="37"/>
      <c r="Y33" s="35"/>
      <c r="Z33" s="35"/>
      <c r="AA33" s="35"/>
      <c r="AB33" s="35"/>
      <c r="AC33" s="35"/>
      <c r="AD33" s="37"/>
      <c r="AE33" s="35"/>
      <c r="AF33" s="35"/>
      <c r="AG33" s="35"/>
      <c r="AH33" s="35"/>
      <c r="AI33" s="35"/>
      <c r="AJ33" s="37"/>
      <c r="AK33" s="35"/>
      <c r="AL33" s="35"/>
      <c r="AM33" s="35"/>
      <c r="AN33" s="35"/>
      <c r="AO33" s="35"/>
      <c r="AP33" s="37"/>
      <c r="AQ33" s="35"/>
      <c r="AR33" s="35"/>
      <c r="AS33" s="35"/>
      <c r="AT33" s="35"/>
      <c r="AU33" s="35"/>
      <c r="AV33" s="37"/>
      <c r="AW33" s="35"/>
      <c r="AX33" s="35"/>
      <c r="AY33" s="35"/>
      <c r="AZ33" s="35"/>
      <c r="BA33" s="35"/>
      <c r="BB33" s="37"/>
      <c r="BC33" s="38"/>
      <c r="BD33" s="38"/>
      <c r="BE33" s="38"/>
      <c r="BF33" s="38"/>
      <c r="BG33" s="38"/>
      <c r="BH33" s="38"/>
      <c r="BI33" s="38"/>
      <c r="BJ33" s="38"/>
      <c r="BK33" s="38"/>
    </row>
    <row r="34">
      <c r="A34" s="32">
        <v>33.0</v>
      </c>
      <c r="B34" s="32">
        <v>21.0</v>
      </c>
      <c r="C34" s="32"/>
      <c r="D34" s="32" t="s">
        <v>270</v>
      </c>
      <c r="E34" s="32"/>
      <c r="F34" s="32">
        <v>2.0</v>
      </c>
      <c r="G34" s="35"/>
      <c r="H34" s="35"/>
      <c r="I34" s="35"/>
      <c r="J34" s="35"/>
      <c r="K34" s="35"/>
      <c r="L34" s="37"/>
      <c r="M34" s="35"/>
      <c r="N34" s="35"/>
      <c r="O34" s="35"/>
      <c r="P34" s="35"/>
      <c r="Q34" s="35"/>
      <c r="R34" s="37"/>
      <c r="S34" s="35"/>
      <c r="T34" s="35"/>
      <c r="U34" s="35"/>
      <c r="V34" s="35"/>
      <c r="W34" s="35"/>
      <c r="X34" s="37"/>
      <c r="Y34" s="35"/>
      <c r="Z34" s="35"/>
      <c r="AA34" s="35"/>
      <c r="AB34" s="35"/>
      <c r="AC34" s="35"/>
      <c r="AD34" s="37"/>
      <c r="AE34" s="35"/>
      <c r="AF34" s="35"/>
      <c r="AG34" s="35"/>
      <c r="AH34" s="35"/>
      <c r="AI34" s="35"/>
      <c r="AJ34" s="37"/>
      <c r="AK34" s="35"/>
      <c r="AL34" s="35"/>
      <c r="AM34" s="35"/>
      <c r="AN34" s="35"/>
      <c r="AO34" s="35"/>
      <c r="AP34" s="37"/>
      <c r="AQ34" s="35"/>
      <c r="AR34" s="35"/>
      <c r="AS34" s="35"/>
      <c r="AT34" s="35"/>
      <c r="AU34" s="35"/>
      <c r="AV34" s="37"/>
      <c r="AW34" s="35"/>
      <c r="AX34" s="35"/>
      <c r="AY34" s="35"/>
      <c r="AZ34" s="35"/>
      <c r="BA34" s="35"/>
      <c r="BB34" s="37"/>
      <c r="BC34" s="38"/>
      <c r="BD34" s="38"/>
      <c r="BE34" s="38"/>
      <c r="BF34" s="38"/>
      <c r="BG34" s="38"/>
      <c r="BH34" s="38"/>
      <c r="BI34" s="38"/>
      <c r="BJ34" s="38"/>
      <c r="BK34" s="38"/>
    </row>
    <row r="35">
      <c r="A35" s="32">
        <v>34.0</v>
      </c>
      <c r="B35" s="32">
        <v>22.0</v>
      </c>
      <c r="C35" s="32"/>
      <c r="D35" s="32" t="s">
        <v>274</v>
      </c>
      <c r="E35" s="32"/>
      <c r="F35" s="32">
        <v>6.0</v>
      </c>
      <c r="G35" s="35"/>
      <c r="H35" s="35"/>
      <c r="I35" s="35"/>
      <c r="J35" s="35"/>
      <c r="K35" s="35"/>
      <c r="L35" s="37"/>
      <c r="M35" s="35"/>
      <c r="N35" s="35"/>
      <c r="O35" s="35"/>
      <c r="P35" s="35"/>
      <c r="Q35" s="35"/>
      <c r="R35" s="37"/>
      <c r="S35" s="35"/>
      <c r="T35" s="35"/>
      <c r="U35" s="35"/>
      <c r="V35" s="35"/>
      <c r="W35" s="35"/>
      <c r="X35" s="37"/>
      <c r="Y35" s="35"/>
      <c r="Z35" s="35"/>
      <c r="AA35" s="35"/>
      <c r="AB35" s="35"/>
      <c r="AC35" s="35"/>
      <c r="AD35" s="37"/>
      <c r="AE35" s="35"/>
      <c r="AF35" s="35"/>
      <c r="AG35" s="35"/>
      <c r="AH35" s="35"/>
      <c r="AI35" s="35"/>
      <c r="AJ35" s="37"/>
      <c r="AK35" s="35"/>
      <c r="AL35" s="35"/>
      <c r="AM35" s="35"/>
      <c r="AN35" s="35"/>
      <c r="AO35" s="35"/>
      <c r="AP35" s="37"/>
      <c r="AQ35" s="35"/>
      <c r="AR35" s="35"/>
      <c r="AS35" s="35"/>
      <c r="AT35" s="35"/>
      <c r="AU35" s="35"/>
      <c r="AV35" s="37"/>
      <c r="AW35" s="35"/>
      <c r="AX35" s="35"/>
      <c r="AY35" s="35"/>
      <c r="AZ35" s="35"/>
      <c r="BA35" s="35"/>
      <c r="BB35" s="37"/>
      <c r="BC35" s="38"/>
      <c r="BD35" s="38"/>
      <c r="BE35" s="38"/>
      <c r="BF35" s="38"/>
      <c r="BG35" s="38"/>
      <c r="BH35" s="38"/>
      <c r="BI35" s="38"/>
      <c r="BJ35" s="38"/>
      <c r="BK35" s="38"/>
    </row>
    <row r="36">
      <c r="A36" s="32">
        <v>35.0</v>
      </c>
      <c r="B36" s="32">
        <v>23.0</v>
      </c>
      <c r="C36" s="32"/>
      <c r="D36" s="32" t="s">
        <v>278</v>
      </c>
      <c r="E36" s="32"/>
      <c r="F36" s="32">
        <v>1.0</v>
      </c>
      <c r="G36" s="35"/>
      <c r="H36" s="35"/>
      <c r="I36" s="35"/>
      <c r="J36" s="35"/>
      <c r="K36" s="35"/>
      <c r="L36" s="37"/>
      <c r="M36" s="35"/>
      <c r="N36" s="35"/>
      <c r="O36" s="35"/>
      <c r="P36" s="35"/>
      <c r="Q36" s="35"/>
      <c r="R36" s="37"/>
      <c r="S36" s="35"/>
      <c r="T36" s="35"/>
      <c r="U36" s="35"/>
      <c r="V36" s="35"/>
      <c r="W36" s="35"/>
      <c r="X36" s="37"/>
      <c r="Y36" s="35"/>
      <c r="Z36" s="35"/>
      <c r="AA36" s="35"/>
      <c r="AB36" s="35"/>
      <c r="AC36" s="35"/>
      <c r="AD36" s="37"/>
      <c r="AE36" s="35"/>
      <c r="AF36" s="35"/>
      <c r="AG36" s="35"/>
      <c r="AH36" s="35"/>
      <c r="AI36" s="35"/>
      <c r="AJ36" s="37"/>
      <c r="AK36" s="35"/>
      <c r="AL36" s="35"/>
      <c r="AM36" s="35"/>
      <c r="AN36" s="35"/>
      <c r="AO36" s="35"/>
      <c r="AP36" s="37"/>
      <c r="AQ36" s="35"/>
      <c r="AR36" s="35"/>
      <c r="AS36" s="35"/>
      <c r="AT36" s="35"/>
      <c r="AU36" s="35"/>
      <c r="AV36" s="37"/>
      <c r="AW36" s="35"/>
      <c r="AX36" s="35"/>
      <c r="AY36" s="35"/>
      <c r="AZ36" s="35"/>
      <c r="BA36" s="35"/>
      <c r="BB36" s="37"/>
      <c r="BC36" s="38"/>
      <c r="BD36" s="38"/>
      <c r="BE36" s="38"/>
      <c r="BF36" s="38"/>
      <c r="BG36" s="38"/>
      <c r="BH36" s="38"/>
      <c r="BI36" s="38"/>
      <c r="BJ36" s="38"/>
      <c r="BK36" s="38"/>
    </row>
    <row r="37">
      <c r="A37" s="32">
        <v>36.0</v>
      </c>
      <c r="B37" s="32">
        <v>24.0</v>
      </c>
      <c r="C37" s="32"/>
      <c r="D37" s="32" t="s">
        <v>287</v>
      </c>
      <c r="E37" s="32"/>
      <c r="F37" s="32">
        <v>1.0</v>
      </c>
      <c r="G37" s="35"/>
      <c r="H37" s="35"/>
      <c r="I37" s="35"/>
      <c r="J37" s="35"/>
      <c r="K37" s="35"/>
      <c r="L37" s="37"/>
      <c r="M37" s="35"/>
      <c r="N37" s="35"/>
      <c r="O37" s="35"/>
      <c r="P37" s="35"/>
      <c r="Q37" s="35"/>
      <c r="R37" s="37"/>
      <c r="S37" s="35"/>
      <c r="T37" s="35"/>
      <c r="U37" s="35"/>
      <c r="V37" s="35"/>
      <c r="W37" s="35"/>
      <c r="X37" s="37"/>
      <c r="Y37" s="35"/>
      <c r="Z37" s="35"/>
      <c r="AA37" s="35"/>
      <c r="AB37" s="35"/>
      <c r="AC37" s="35"/>
      <c r="AD37" s="37"/>
      <c r="AE37" s="35"/>
      <c r="AF37" s="35"/>
      <c r="AG37" s="35"/>
      <c r="AH37" s="35"/>
      <c r="AI37" s="35"/>
      <c r="AJ37" s="37"/>
      <c r="AK37" s="35"/>
      <c r="AL37" s="35"/>
      <c r="AM37" s="35"/>
      <c r="AN37" s="35"/>
      <c r="AO37" s="35"/>
      <c r="AP37" s="37"/>
      <c r="AQ37" s="35"/>
      <c r="AR37" s="35"/>
      <c r="AS37" s="35"/>
      <c r="AT37" s="35"/>
      <c r="AU37" s="35"/>
      <c r="AV37" s="37"/>
      <c r="AW37" s="35"/>
      <c r="AX37" s="35"/>
      <c r="AY37" s="35"/>
      <c r="AZ37" s="35"/>
      <c r="BA37" s="35"/>
      <c r="BB37" s="37"/>
      <c r="BC37" s="38"/>
      <c r="BD37" s="38"/>
      <c r="BE37" s="38"/>
      <c r="BF37" s="38"/>
      <c r="BG37" s="38"/>
      <c r="BH37" s="38"/>
      <c r="BI37" s="38"/>
      <c r="BJ37" s="38"/>
      <c r="BK37" s="38"/>
    </row>
    <row r="38">
      <c r="A38" s="32">
        <v>37.0</v>
      </c>
      <c r="B38" s="32">
        <v>25.0</v>
      </c>
      <c r="C38" s="32"/>
      <c r="D38" s="32" t="s">
        <v>290</v>
      </c>
      <c r="E38" s="32"/>
      <c r="F38" s="32">
        <v>6.0</v>
      </c>
      <c r="G38" s="35"/>
      <c r="H38" s="35"/>
      <c r="I38" s="35"/>
      <c r="J38" s="35"/>
      <c r="K38" s="35"/>
      <c r="L38" s="37"/>
      <c r="M38" s="35"/>
      <c r="N38" s="35"/>
      <c r="O38" s="35"/>
      <c r="P38" s="35"/>
      <c r="Q38" s="35"/>
      <c r="R38" s="37"/>
      <c r="S38" s="35"/>
      <c r="T38" s="35"/>
      <c r="U38" s="35"/>
      <c r="V38" s="35"/>
      <c r="W38" s="35"/>
      <c r="X38" s="37"/>
      <c r="Y38" s="35"/>
      <c r="Z38" s="35"/>
      <c r="AA38" s="35"/>
      <c r="AB38" s="35"/>
      <c r="AC38" s="35"/>
      <c r="AD38" s="37"/>
      <c r="AE38" s="35"/>
      <c r="AF38" s="35"/>
      <c r="AG38" s="35"/>
      <c r="AH38" s="35"/>
      <c r="AI38" s="35"/>
      <c r="AJ38" s="37"/>
      <c r="AK38" s="35"/>
      <c r="AL38" s="35"/>
      <c r="AM38" s="35"/>
      <c r="AN38" s="35"/>
      <c r="AO38" s="35"/>
      <c r="AP38" s="37"/>
      <c r="AQ38" s="35"/>
      <c r="AR38" s="35"/>
      <c r="AS38" s="35"/>
      <c r="AT38" s="35"/>
      <c r="AU38" s="35"/>
      <c r="AV38" s="37"/>
      <c r="AW38" s="35"/>
      <c r="AX38" s="35"/>
      <c r="AY38" s="35"/>
      <c r="AZ38" s="35"/>
      <c r="BA38" s="35"/>
      <c r="BB38" s="37"/>
      <c r="BC38" s="38"/>
      <c r="BD38" s="38"/>
      <c r="BE38" s="38"/>
      <c r="BF38" s="38"/>
      <c r="BG38" s="38"/>
      <c r="BH38" s="38"/>
      <c r="BI38" s="38"/>
      <c r="BJ38" s="38"/>
      <c r="BK38" s="38"/>
    </row>
    <row r="39">
      <c r="A39" s="32">
        <v>38.0</v>
      </c>
      <c r="B39" s="32">
        <v>26.0</v>
      </c>
      <c r="C39" s="32"/>
      <c r="D39" s="32" t="s">
        <v>294</v>
      </c>
      <c r="E39" s="32"/>
      <c r="F39" s="32">
        <v>3.0</v>
      </c>
      <c r="G39" s="35"/>
      <c r="H39" s="35"/>
      <c r="I39" s="35"/>
      <c r="J39" s="35"/>
      <c r="K39" s="35"/>
      <c r="L39" s="37"/>
      <c r="M39" s="35"/>
      <c r="N39" s="35"/>
      <c r="O39" s="35"/>
      <c r="P39" s="35"/>
      <c r="Q39" s="35"/>
      <c r="R39" s="37"/>
      <c r="S39" s="35"/>
      <c r="T39" s="35"/>
      <c r="U39" s="35"/>
      <c r="V39" s="35"/>
      <c r="W39" s="35"/>
      <c r="X39" s="37"/>
      <c r="Y39" s="35"/>
      <c r="Z39" s="35"/>
      <c r="AA39" s="35"/>
      <c r="AB39" s="35"/>
      <c r="AC39" s="35"/>
      <c r="AD39" s="37"/>
      <c r="AE39" s="35"/>
      <c r="AF39" s="35"/>
      <c r="AG39" s="35"/>
      <c r="AH39" s="35"/>
      <c r="AI39" s="35"/>
      <c r="AJ39" s="37"/>
      <c r="AK39" s="35"/>
      <c r="AL39" s="35"/>
      <c r="AM39" s="35"/>
      <c r="AN39" s="35"/>
      <c r="AO39" s="35"/>
      <c r="AP39" s="37"/>
      <c r="AQ39" s="35"/>
      <c r="AR39" s="35"/>
      <c r="AS39" s="35"/>
      <c r="AT39" s="35"/>
      <c r="AU39" s="35"/>
      <c r="AV39" s="37"/>
      <c r="AW39" s="35"/>
      <c r="AX39" s="35"/>
      <c r="AY39" s="35"/>
      <c r="AZ39" s="35"/>
      <c r="BA39" s="35"/>
      <c r="BB39" s="37"/>
      <c r="BC39" s="38"/>
      <c r="BD39" s="38"/>
      <c r="BE39" s="38"/>
      <c r="BF39" s="38"/>
      <c r="BG39" s="38"/>
      <c r="BH39" s="38"/>
      <c r="BI39" s="38"/>
      <c r="BJ39" s="38"/>
      <c r="BK39" s="38"/>
    </row>
    <row r="40">
      <c r="A40" s="32">
        <v>39.0</v>
      </c>
      <c r="B40" s="32">
        <v>27.0</v>
      </c>
      <c r="C40" s="32"/>
      <c r="D40" s="32" t="s">
        <v>299</v>
      </c>
      <c r="E40" s="32"/>
      <c r="F40" s="32">
        <v>1.0</v>
      </c>
      <c r="G40" s="35"/>
      <c r="H40" s="35"/>
      <c r="I40" s="35"/>
      <c r="J40" s="35"/>
      <c r="K40" s="35"/>
      <c r="L40" s="37"/>
      <c r="M40" s="35"/>
      <c r="N40" s="35"/>
      <c r="O40" s="35"/>
      <c r="P40" s="35"/>
      <c r="Q40" s="35"/>
      <c r="R40" s="37"/>
      <c r="S40" s="35"/>
      <c r="T40" s="35"/>
      <c r="U40" s="35"/>
      <c r="V40" s="35"/>
      <c r="W40" s="35"/>
      <c r="X40" s="37"/>
      <c r="Y40" s="35"/>
      <c r="Z40" s="35"/>
      <c r="AA40" s="35"/>
      <c r="AB40" s="35"/>
      <c r="AC40" s="35"/>
      <c r="AD40" s="37"/>
      <c r="AE40" s="35"/>
      <c r="AF40" s="35"/>
      <c r="AG40" s="35"/>
      <c r="AH40" s="35"/>
      <c r="AI40" s="35"/>
      <c r="AJ40" s="37"/>
      <c r="AK40" s="35"/>
      <c r="AL40" s="35"/>
      <c r="AM40" s="35"/>
      <c r="AN40" s="35"/>
      <c r="AO40" s="35"/>
      <c r="AP40" s="37"/>
      <c r="AQ40" s="35"/>
      <c r="AR40" s="35"/>
      <c r="AS40" s="35"/>
      <c r="AT40" s="35"/>
      <c r="AU40" s="35"/>
      <c r="AV40" s="37"/>
      <c r="AW40" s="35"/>
      <c r="AX40" s="35"/>
      <c r="AY40" s="35"/>
      <c r="AZ40" s="35"/>
      <c r="BA40" s="35"/>
      <c r="BB40" s="37"/>
      <c r="BC40" s="38"/>
      <c r="BD40" s="38"/>
      <c r="BE40" s="38"/>
      <c r="BF40" s="38"/>
      <c r="BG40" s="38"/>
      <c r="BH40" s="38"/>
      <c r="BI40" s="38"/>
      <c r="BJ40" s="38"/>
      <c r="BK40" s="38"/>
    </row>
    <row r="41">
      <c r="A41" s="32">
        <v>40.0</v>
      </c>
      <c r="B41" s="32">
        <v>28.0</v>
      </c>
      <c r="C41" s="32"/>
      <c r="D41" s="32" t="s">
        <v>305</v>
      </c>
      <c r="E41" s="32"/>
      <c r="F41" s="32">
        <v>1.0</v>
      </c>
      <c r="G41" s="35"/>
      <c r="H41" s="35"/>
      <c r="I41" s="35"/>
      <c r="J41" s="35"/>
      <c r="K41" s="35"/>
      <c r="L41" s="37"/>
      <c r="M41" s="35"/>
      <c r="N41" s="35"/>
      <c r="O41" s="35"/>
      <c r="P41" s="35"/>
      <c r="Q41" s="35"/>
      <c r="R41" s="37"/>
      <c r="S41" s="35"/>
      <c r="T41" s="35"/>
      <c r="U41" s="35"/>
      <c r="V41" s="35"/>
      <c r="W41" s="35"/>
      <c r="X41" s="37"/>
      <c r="Y41" s="35"/>
      <c r="Z41" s="35"/>
      <c r="AA41" s="35"/>
      <c r="AB41" s="35"/>
      <c r="AC41" s="35"/>
      <c r="AD41" s="37"/>
      <c r="AE41" s="35"/>
      <c r="AF41" s="35"/>
      <c r="AG41" s="35"/>
      <c r="AH41" s="35"/>
      <c r="AI41" s="35"/>
      <c r="AJ41" s="37"/>
      <c r="AK41" s="35"/>
      <c r="AL41" s="35"/>
      <c r="AM41" s="35"/>
      <c r="AN41" s="35"/>
      <c r="AO41" s="35"/>
      <c r="AP41" s="37"/>
      <c r="AQ41" s="35"/>
      <c r="AR41" s="35"/>
      <c r="AS41" s="35"/>
      <c r="AT41" s="35"/>
      <c r="AU41" s="35"/>
      <c r="AV41" s="37"/>
      <c r="AW41" s="35"/>
      <c r="AX41" s="35"/>
      <c r="AY41" s="35"/>
      <c r="AZ41" s="35"/>
      <c r="BA41" s="35"/>
      <c r="BB41" s="37"/>
      <c r="BC41" s="38"/>
      <c r="BD41" s="38"/>
      <c r="BE41" s="38"/>
      <c r="BF41" s="38"/>
      <c r="BG41" s="38"/>
      <c r="BH41" s="38"/>
      <c r="BI41" s="38"/>
      <c r="BJ41" s="38"/>
      <c r="BK41" s="38"/>
    </row>
    <row r="42">
      <c r="A42" s="32">
        <v>41.0</v>
      </c>
      <c r="B42" s="32">
        <v>29.0</v>
      </c>
      <c r="C42" s="32"/>
      <c r="D42" s="32" t="s">
        <v>307</v>
      </c>
      <c r="E42" s="32"/>
      <c r="F42" s="32">
        <v>3.0</v>
      </c>
      <c r="G42" s="35"/>
      <c r="H42" s="35"/>
      <c r="I42" s="35"/>
      <c r="J42" s="35"/>
      <c r="K42" s="35"/>
      <c r="L42" s="37"/>
      <c r="M42" s="35"/>
      <c r="N42" s="35"/>
      <c r="O42" s="35"/>
      <c r="P42" s="35"/>
      <c r="Q42" s="35"/>
      <c r="R42" s="37"/>
      <c r="S42" s="35"/>
      <c r="T42" s="35"/>
      <c r="U42" s="35"/>
      <c r="V42" s="35"/>
      <c r="W42" s="35"/>
      <c r="X42" s="37"/>
      <c r="Y42" s="35"/>
      <c r="Z42" s="35"/>
      <c r="AA42" s="35"/>
      <c r="AB42" s="35"/>
      <c r="AC42" s="35"/>
      <c r="AD42" s="37"/>
      <c r="AE42" s="35"/>
      <c r="AF42" s="35"/>
      <c r="AG42" s="35"/>
      <c r="AH42" s="35"/>
      <c r="AI42" s="35"/>
      <c r="AJ42" s="37"/>
      <c r="AK42" s="35"/>
      <c r="AL42" s="35"/>
      <c r="AM42" s="35"/>
      <c r="AN42" s="35"/>
      <c r="AO42" s="35"/>
      <c r="AP42" s="37"/>
      <c r="AQ42" s="35"/>
      <c r="AR42" s="35"/>
      <c r="AS42" s="35"/>
      <c r="AT42" s="35"/>
      <c r="AU42" s="35"/>
      <c r="AV42" s="37"/>
      <c r="AW42" s="35"/>
      <c r="AX42" s="35"/>
      <c r="AY42" s="35"/>
      <c r="AZ42" s="35"/>
      <c r="BA42" s="35"/>
      <c r="BB42" s="37"/>
      <c r="BC42" s="38"/>
      <c r="BD42" s="38"/>
      <c r="BE42" s="38"/>
      <c r="BF42" s="38"/>
      <c r="BG42" s="38"/>
      <c r="BH42" s="38"/>
      <c r="BI42" s="38"/>
      <c r="BJ42" s="38"/>
      <c r="BK42" s="38"/>
    </row>
    <row r="43">
      <c r="A43" s="32">
        <v>42.0</v>
      </c>
      <c r="B43" s="32">
        <v>30.0</v>
      </c>
      <c r="C43" s="32"/>
      <c r="D43" s="32" t="s">
        <v>309</v>
      </c>
      <c r="E43" s="32"/>
      <c r="F43" s="32">
        <v>1.0</v>
      </c>
      <c r="G43" s="35"/>
      <c r="H43" s="35"/>
      <c r="I43" s="35"/>
      <c r="J43" s="35"/>
      <c r="K43" s="35"/>
      <c r="L43" s="37"/>
      <c r="M43" s="35"/>
      <c r="N43" s="35"/>
      <c r="O43" s="35"/>
      <c r="P43" s="35"/>
      <c r="Q43" s="35"/>
      <c r="R43" s="37"/>
      <c r="S43" s="35"/>
      <c r="T43" s="35"/>
      <c r="U43" s="35"/>
      <c r="V43" s="35"/>
      <c r="W43" s="35"/>
      <c r="X43" s="37"/>
      <c r="Y43" s="35"/>
      <c r="Z43" s="35"/>
      <c r="AA43" s="35"/>
      <c r="AB43" s="35"/>
      <c r="AC43" s="35"/>
      <c r="AD43" s="37"/>
      <c r="AE43" s="35"/>
      <c r="AF43" s="35"/>
      <c r="AG43" s="35"/>
      <c r="AH43" s="35"/>
      <c r="AI43" s="35"/>
      <c r="AJ43" s="37"/>
      <c r="AK43" s="35"/>
      <c r="AL43" s="35"/>
      <c r="AM43" s="35"/>
      <c r="AN43" s="35"/>
      <c r="AO43" s="35"/>
      <c r="AP43" s="37"/>
      <c r="AQ43" s="35"/>
      <c r="AR43" s="35"/>
      <c r="AS43" s="35"/>
      <c r="AT43" s="35"/>
      <c r="AU43" s="35"/>
      <c r="AV43" s="37"/>
      <c r="AW43" s="35"/>
      <c r="AX43" s="35"/>
      <c r="AY43" s="35"/>
      <c r="AZ43" s="35"/>
      <c r="BA43" s="35"/>
      <c r="BB43" s="37"/>
      <c r="BC43" s="38"/>
      <c r="BD43" s="38"/>
      <c r="BE43" s="38"/>
      <c r="BF43" s="38"/>
      <c r="BG43" s="38"/>
      <c r="BH43" s="38"/>
      <c r="BI43" s="38"/>
      <c r="BJ43" s="38"/>
      <c r="BK43" s="38"/>
    </row>
    <row r="44">
      <c r="A44" s="32">
        <v>43.0</v>
      </c>
      <c r="B44" s="32">
        <v>31.0</v>
      </c>
      <c r="C44" s="32"/>
      <c r="D44" s="32" t="s">
        <v>311</v>
      </c>
      <c r="E44" s="32"/>
      <c r="F44" s="32">
        <v>1.0</v>
      </c>
      <c r="G44" s="35"/>
      <c r="H44" s="35"/>
      <c r="I44" s="35"/>
      <c r="J44" s="35"/>
      <c r="K44" s="35"/>
      <c r="L44" s="37"/>
      <c r="M44" s="35"/>
      <c r="N44" s="35"/>
      <c r="O44" s="35"/>
      <c r="P44" s="35"/>
      <c r="Q44" s="35"/>
      <c r="R44" s="37"/>
      <c r="S44" s="35"/>
      <c r="T44" s="35"/>
      <c r="U44" s="35"/>
      <c r="V44" s="35"/>
      <c r="W44" s="35"/>
      <c r="X44" s="37"/>
      <c r="Y44" s="35"/>
      <c r="Z44" s="35"/>
      <c r="AA44" s="35"/>
      <c r="AB44" s="35"/>
      <c r="AC44" s="35"/>
      <c r="AD44" s="37"/>
      <c r="AE44" s="35"/>
      <c r="AF44" s="35"/>
      <c r="AG44" s="35"/>
      <c r="AH44" s="35"/>
      <c r="AI44" s="35"/>
      <c r="AJ44" s="37"/>
      <c r="AK44" s="35"/>
      <c r="AL44" s="35"/>
      <c r="AM44" s="35"/>
      <c r="AN44" s="35"/>
      <c r="AO44" s="35"/>
      <c r="AP44" s="37"/>
      <c r="AQ44" s="35"/>
      <c r="AR44" s="35"/>
      <c r="AS44" s="35"/>
      <c r="AT44" s="35"/>
      <c r="AU44" s="35"/>
      <c r="AV44" s="37"/>
      <c r="AW44" s="35"/>
      <c r="AX44" s="35"/>
      <c r="AY44" s="35"/>
      <c r="AZ44" s="35"/>
      <c r="BA44" s="35"/>
      <c r="BB44" s="37"/>
      <c r="BC44" s="38"/>
      <c r="BD44" s="38"/>
      <c r="BE44" s="38"/>
      <c r="BF44" s="38"/>
      <c r="BG44" s="38"/>
      <c r="BH44" s="38"/>
      <c r="BI44" s="38"/>
      <c r="BJ44" s="38"/>
      <c r="BK44" s="38"/>
    </row>
    <row r="45">
      <c r="A45" s="32">
        <v>44.0</v>
      </c>
      <c r="B45" s="32">
        <v>32.0</v>
      </c>
      <c r="C45" s="32"/>
      <c r="D45" s="32" t="s">
        <v>313</v>
      </c>
      <c r="E45" s="32"/>
      <c r="F45" s="32">
        <v>1.0</v>
      </c>
      <c r="G45" s="35"/>
      <c r="H45" s="35"/>
      <c r="I45" s="35"/>
      <c r="J45" s="35"/>
      <c r="K45" s="35"/>
      <c r="L45" s="37"/>
      <c r="M45" s="35"/>
      <c r="N45" s="35"/>
      <c r="O45" s="35"/>
      <c r="P45" s="35"/>
      <c r="Q45" s="35"/>
      <c r="R45" s="37"/>
      <c r="S45" s="35"/>
      <c r="T45" s="35"/>
      <c r="U45" s="35"/>
      <c r="V45" s="35"/>
      <c r="W45" s="35"/>
      <c r="X45" s="37"/>
      <c r="Y45" s="35"/>
      <c r="Z45" s="35"/>
      <c r="AA45" s="35"/>
      <c r="AB45" s="35"/>
      <c r="AC45" s="35"/>
      <c r="AD45" s="37"/>
      <c r="AE45" s="35"/>
      <c r="AF45" s="35"/>
      <c r="AG45" s="35"/>
      <c r="AH45" s="35"/>
      <c r="AI45" s="35"/>
      <c r="AJ45" s="37"/>
      <c r="AK45" s="35"/>
      <c r="AL45" s="35"/>
      <c r="AM45" s="35"/>
      <c r="AN45" s="35"/>
      <c r="AO45" s="35"/>
      <c r="AP45" s="37"/>
      <c r="AQ45" s="35"/>
      <c r="AR45" s="35"/>
      <c r="AS45" s="35"/>
      <c r="AT45" s="35"/>
      <c r="AU45" s="35"/>
      <c r="AV45" s="37"/>
      <c r="AW45" s="35"/>
      <c r="AX45" s="35"/>
      <c r="AY45" s="35"/>
      <c r="AZ45" s="35"/>
      <c r="BA45" s="35"/>
      <c r="BB45" s="37"/>
      <c r="BC45" s="38"/>
      <c r="BD45" s="38"/>
      <c r="BE45" s="38"/>
      <c r="BF45" s="38"/>
      <c r="BG45" s="38"/>
      <c r="BH45" s="38"/>
      <c r="BI45" s="38"/>
      <c r="BJ45" s="38"/>
      <c r="BK45" s="38"/>
    </row>
    <row r="46">
      <c r="A46" s="32">
        <v>45.0</v>
      </c>
      <c r="B46" s="32">
        <v>33.0</v>
      </c>
      <c r="C46" s="32"/>
      <c r="D46" s="32" t="s">
        <v>315</v>
      </c>
      <c r="E46" s="32"/>
      <c r="F46" s="32">
        <v>1.0</v>
      </c>
      <c r="G46" s="35"/>
      <c r="H46" s="35"/>
      <c r="I46" s="35"/>
      <c r="J46" s="35"/>
      <c r="K46" s="35"/>
      <c r="L46" s="37"/>
      <c r="M46" s="35"/>
      <c r="N46" s="35"/>
      <c r="O46" s="35"/>
      <c r="P46" s="35"/>
      <c r="Q46" s="35"/>
      <c r="R46" s="37"/>
      <c r="S46" s="35"/>
      <c r="T46" s="35"/>
      <c r="U46" s="35"/>
      <c r="V46" s="35"/>
      <c r="W46" s="35"/>
      <c r="X46" s="37"/>
      <c r="Y46" s="35"/>
      <c r="Z46" s="35"/>
      <c r="AA46" s="35"/>
      <c r="AB46" s="35"/>
      <c r="AC46" s="35"/>
      <c r="AD46" s="37"/>
      <c r="AE46" s="35"/>
      <c r="AF46" s="35"/>
      <c r="AG46" s="35"/>
      <c r="AH46" s="35"/>
      <c r="AI46" s="35"/>
      <c r="AJ46" s="37"/>
      <c r="AK46" s="35"/>
      <c r="AL46" s="35"/>
      <c r="AM46" s="35"/>
      <c r="AN46" s="35"/>
      <c r="AO46" s="35"/>
      <c r="AP46" s="37"/>
      <c r="AQ46" s="35"/>
      <c r="AR46" s="35"/>
      <c r="AS46" s="35"/>
      <c r="AT46" s="35"/>
      <c r="AU46" s="35"/>
      <c r="AV46" s="37"/>
      <c r="AW46" s="35"/>
      <c r="AX46" s="35"/>
      <c r="AY46" s="35"/>
      <c r="AZ46" s="35"/>
      <c r="BA46" s="35"/>
      <c r="BB46" s="37"/>
      <c r="BC46" s="38"/>
      <c r="BD46" s="38"/>
      <c r="BE46" s="38"/>
      <c r="BF46" s="38"/>
      <c r="BG46" s="38"/>
      <c r="BH46" s="38"/>
      <c r="BI46" s="38"/>
      <c r="BJ46" s="38"/>
      <c r="BK46" s="38"/>
    </row>
    <row r="47">
      <c r="A47" s="32">
        <v>46.0</v>
      </c>
      <c r="B47" s="32">
        <v>34.0</v>
      </c>
      <c r="C47" s="32"/>
      <c r="D47" s="32" t="s">
        <v>319</v>
      </c>
      <c r="E47" s="32"/>
      <c r="F47" s="32">
        <v>1.0</v>
      </c>
      <c r="G47" s="35"/>
      <c r="H47" s="35"/>
      <c r="I47" s="35"/>
      <c r="J47" s="35"/>
      <c r="K47" s="35"/>
      <c r="L47" s="37"/>
      <c r="M47" s="35"/>
      <c r="N47" s="35"/>
      <c r="O47" s="35"/>
      <c r="P47" s="35"/>
      <c r="Q47" s="35"/>
      <c r="R47" s="37"/>
      <c r="S47" s="35"/>
      <c r="T47" s="35"/>
      <c r="U47" s="35"/>
      <c r="V47" s="35"/>
      <c r="W47" s="35"/>
      <c r="X47" s="37"/>
      <c r="Y47" s="35"/>
      <c r="Z47" s="35"/>
      <c r="AA47" s="35"/>
      <c r="AB47" s="35"/>
      <c r="AC47" s="35"/>
      <c r="AD47" s="37"/>
      <c r="AE47" s="35"/>
      <c r="AF47" s="35"/>
      <c r="AG47" s="35"/>
      <c r="AH47" s="35"/>
      <c r="AI47" s="35"/>
      <c r="AJ47" s="37"/>
      <c r="AK47" s="35"/>
      <c r="AL47" s="35"/>
      <c r="AM47" s="35"/>
      <c r="AN47" s="35"/>
      <c r="AO47" s="35"/>
      <c r="AP47" s="37"/>
      <c r="AQ47" s="35"/>
      <c r="AR47" s="35"/>
      <c r="AS47" s="35"/>
      <c r="AT47" s="35"/>
      <c r="AU47" s="35"/>
      <c r="AV47" s="37"/>
      <c r="AW47" s="35"/>
      <c r="AX47" s="35"/>
      <c r="AY47" s="35"/>
      <c r="AZ47" s="35"/>
      <c r="BA47" s="35"/>
      <c r="BB47" s="37"/>
      <c r="BC47" s="38"/>
      <c r="BD47" s="38"/>
      <c r="BE47" s="38"/>
      <c r="BF47" s="38"/>
      <c r="BG47" s="38"/>
      <c r="BH47" s="38"/>
      <c r="BI47" s="38"/>
      <c r="BJ47" s="38"/>
      <c r="BK47" s="38"/>
    </row>
    <row r="48">
      <c r="A48" s="32">
        <v>47.0</v>
      </c>
      <c r="B48" s="32">
        <v>35.0</v>
      </c>
      <c r="C48" s="32"/>
      <c r="D48" s="32" t="s">
        <v>327</v>
      </c>
      <c r="E48" s="32"/>
      <c r="F48" s="32">
        <v>1.0</v>
      </c>
      <c r="G48" s="35"/>
      <c r="H48" s="35"/>
      <c r="I48" s="35"/>
      <c r="J48" s="35"/>
      <c r="K48" s="35"/>
      <c r="L48" s="37"/>
      <c r="M48" s="35"/>
      <c r="N48" s="35"/>
      <c r="O48" s="35"/>
      <c r="P48" s="35"/>
      <c r="Q48" s="35"/>
      <c r="R48" s="37"/>
      <c r="S48" s="35"/>
      <c r="T48" s="35"/>
      <c r="U48" s="35"/>
      <c r="V48" s="35"/>
      <c r="W48" s="35"/>
      <c r="X48" s="37"/>
      <c r="Y48" s="35"/>
      <c r="Z48" s="35"/>
      <c r="AA48" s="35"/>
      <c r="AB48" s="35"/>
      <c r="AC48" s="35"/>
      <c r="AD48" s="37"/>
      <c r="AE48" s="35"/>
      <c r="AF48" s="35"/>
      <c r="AG48" s="35"/>
      <c r="AH48" s="35"/>
      <c r="AI48" s="35"/>
      <c r="AJ48" s="37"/>
      <c r="AK48" s="35"/>
      <c r="AL48" s="35"/>
      <c r="AM48" s="35"/>
      <c r="AN48" s="35"/>
      <c r="AO48" s="35"/>
      <c r="AP48" s="37"/>
      <c r="AQ48" s="35"/>
      <c r="AR48" s="35"/>
      <c r="AS48" s="35"/>
      <c r="AT48" s="35"/>
      <c r="AU48" s="35"/>
      <c r="AV48" s="37"/>
      <c r="AW48" s="35"/>
      <c r="AX48" s="35"/>
      <c r="AY48" s="35"/>
      <c r="AZ48" s="35"/>
      <c r="BA48" s="35"/>
      <c r="BB48" s="37"/>
      <c r="BC48" s="38"/>
      <c r="BD48" s="38"/>
      <c r="BE48" s="38"/>
      <c r="BF48" s="38"/>
      <c r="BG48" s="38"/>
      <c r="BH48" s="38"/>
      <c r="BI48" s="38"/>
      <c r="BJ48" s="38"/>
      <c r="BK48" s="38"/>
    </row>
    <row r="49">
      <c r="A49" s="32">
        <v>48.0</v>
      </c>
      <c r="B49" s="32">
        <v>36.0</v>
      </c>
      <c r="C49" s="32"/>
      <c r="D49" s="32" t="s">
        <v>335</v>
      </c>
      <c r="E49" s="32"/>
      <c r="F49" s="32">
        <v>2.0</v>
      </c>
      <c r="G49" s="35"/>
      <c r="H49" s="35"/>
      <c r="I49" s="35"/>
      <c r="J49" s="35"/>
      <c r="K49" s="35"/>
      <c r="L49" s="37"/>
      <c r="M49" s="35"/>
      <c r="N49" s="35"/>
      <c r="O49" s="35"/>
      <c r="P49" s="35"/>
      <c r="Q49" s="35"/>
      <c r="R49" s="37"/>
      <c r="S49" s="35"/>
      <c r="T49" s="35"/>
      <c r="U49" s="35"/>
      <c r="V49" s="35"/>
      <c r="W49" s="35"/>
      <c r="X49" s="37"/>
      <c r="Y49" s="35"/>
      <c r="Z49" s="35"/>
      <c r="AA49" s="35"/>
      <c r="AB49" s="35"/>
      <c r="AC49" s="35"/>
      <c r="AD49" s="37"/>
      <c r="AE49" s="35"/>
      <c r="AF49" s="35"/>
      <c r="AG49" s="35"/>
      <c r="AH49" s="35"/>
      <c r="AI49" s="35"/>
      <c r="AJ49" s="37"/>
      <c r="AK49" s="35"/>
      <c r="AL49" s="35"/>
      <c r="AM49" s="35"/>
      <c r="AN49" s="35"/>
      <c r="AO49" s="35"/>
      <c r="AP49" s="37"/>
      <c r="AQ49" s="35"/>
      <c r="AR49" s="35"/>
      <c r="AS49" s="35"/>
      <c r="AT49" s="35"/>
      <c r="AU49" s="35"/>
      <c r="AV49" s="37"/>
      <c r="AW49" s="35"/>
      <c r="AX49" s="35"/>
      <c r="AY49" s="35"/>
      <c r="AZ49" s="35"/>
      <c r="BA49" s="35"/>
      <c r="BB49" s="37"/>
      <c r="BC49" s="38"/>
      <c r="BD49" s="38"/>
      <c r="BE49" s="38"/>
      <c r="BF49" s="38"/>
      <c r="BG49" s="38"/>
      <c r="BH49" s="38"/>
      <c r="BI49" s="38"/>
      <c r="BJ49" s="38"/>
      <c r="BK49" s="38"/>
    </row>
    <row r="50">
      <c r="A50" s="32">
        <v>49.0</v>
      </c>
      <c r="B50" s="32">
        <v>37.0</v>
      </c>
      <c r="C50" s="32"/>
      <c r="D50" s="32" t="s">
        <v>341</v>
      </c>
      <c r="E50" s="32"/>
      <c r="F50" s="32">
        <v>2.0</v>
      </c>
      <c r="G50" s="35"/>
      <c r="H50" s="35"/>
      <c r="I50" s="35"/>
      <c r="J50" s="35"/>
      <c r="K50" s="35"/>
      <c r="L50" s="37"/>
      <c r="M50" s="35"/>
      <c r="N50" s="35"/>
      <c r="O50" s="35"/>
      <c r="P50" s="35"/>
      <c r="Q50" s="35"/>
      <c r="R50" s="37"/>
      <c r="S50" s="35"/>
      <c r="T50" s="35"/>
      <c r="U50" s="35"/>
      <c r="V50" s="35"/>
      <c r="W50" s="35"/>
      <c r="X50" s="37"/>
      <c r="Y50" s="35"/>
      <c r="Z50" s="35"/>
      <c r="AA50" s="35"/>
      <c r="AB50" s="35"/>
      <c r="AC50" s="35"/>
      <c r="AD50" s="37"/>
      <c r="AE50" s="35"/>
      <c r="AF50" s="35"/>
      <c r="AG50" s="35"/>
      <c r="AH50" s="35"/>
      <c r="AI50" s="35"/>
      <c r="AJ50" s="37"/>
      <c r="AK50" s="35"/>
      <c r="AL50" s="35"/>
      <c r="AM50" s="35"/>
      <c r="AN50" s="35"/>
      <c r="AO50" s="35"/>
      <c r="AP50" s="37"/>
      <c r="AQ50" s="35"/>
      <c r="AR50" s="35"/>
      <c r="AS50" s="35"/>
      <c r="AT50" s="35"/>
      <c r="AU50" s="35"/>
      <c r="AV50" s="37"/>
      <c r="AW50" s="35"/>
      <c r="AX50" s="35"/>
      <c r="AY50" s="35"/>
      <c r="AZ50" s="35"/>
      <c r="BA50" s="35"/>
      <c r="BB50" s="37"/>
      <c r="BC50" s="38"/>
      <c r="BD50" s="38"/>
      <c r="BE50" s="38"/>
      <c r="BF50" s="38"/>
      <c r="BG50" s="38"/>
      <c r="BH50" s="38"/>
      <c r="BI50" s="38"/>
      <c r="BJ50" s="38"/>
      <c r="BK50" s="38"/>
    </row>
    <row r="51">
      <c r="A51" s="32">
        <v>50.0</v>
      </c>
      <c r="B51" s="32">
        <v>38.0</v>
      </c>
      <c r="C51" s="32"/>
      <c r="D51" s="32" t="s">
        <v>349</v>
      </c>
      <c r="E51" s="32"/>
      <c r="F51" s="32">
        <v>2.0</v>
      </c>
      <c r="G51" s="35"/>
      <c r="H51" s="35"/>
      <c r="I51" s="35"/>
      <c r="J51" s="35"/>
      <c r="K51" s="35"/>
      <c r="L51" s="37"/>
      <c r="M51" s="35"/>
      <c r="N51" s="35"/>
      <c r="O51" s="35"/>
      <c r="P51" s="35"/>
      <c r="Q51" s="35"/>
      <c r="R51" s="37"/>
      <c r="S51" s="35"/>
      <c r="T51" s="35"/>
      <c r="U51" s="35"/>
      <c r="V51" s="35"/>
      <c r="W51" s="35"/>
      <c r="X51" s="37"/>
      <c r="Y51" s="35"/>
      <c r="Z51" s="35"/>
      <c r="AA51" s="35"/>
      <c r="AB51" s="35"/>
      <c r="AC51" s="35"/>
      <c r="AD51" s="37"/>
      <c r="AE51" s="35"/>
      <c r="AF51" s="35"/>
      <c r="AG51" s="35"/>
      <c r="AH51" s="35"/>
      <c r="AI51" s="35"/>
      <c r="AJ51" s="37"/>
      <c r="AK51" s="35"/>
      <c r="AL51" s="35"/>
      <c r="AM51" s="35"/>
      <c r="AN51" s="35"/>
      <c r="AO51" s="35"/>
      <c r="AP51" s="37"/>
      <c r="AQ51" s="35"/>
      <c r="AR51" s="35"/>
      <c r="AS51" s="35"/>
      <c r="AT51" s="35"/>
      <c r="AU51" s="35"/>
      <c r="AV51" s="37"/>
      <c r="AW51" s="35"/>
      <c r="AX51" s="35"/>
      <c r="AY51" s="35"/>
      <c r="AZ51" s="35"/>
      <c r="BA51" s="35"/>
      <c r="BB51" s="37"/>
      <c r="BC51" s="38"/>
      <c r="BD51" s="38"/>
      <c r="BE51" s="38"/>
      <c r="BF51" s="38"/>
      <c r="BG51" s="38"/>
      <c r="BH51" s="38"/>
      <c r="BI51" s="38"/>
      <c r="BJ51" s="38"/>
      <c r="BK51" s="38"/>
    </row>
    <row r="52">
      <c r="A52" s="32">
        <v>51.0</v>
      </c>
      <c r="B52" s="32">
        <v>39.0</v>
      </c>
      <c r="C52" s="32"/>
      <c r="D52" s="32" t="s">
        <v>353</v>
      </c>
      <c r="E52" s="32"/>
      <c r="F52" s="32">
        <v>3.0</v>
      </c>
      <c r="G52" s="35"/>
      <c r="H52" s="35"/>
      <c r="I52" s="35"/>
      <c r="J52" s="35"/>
      <c r="K52" s="35"/>
      <c r="L52" s="37"/>
      <c r="M52" s="35"/>
      <c r="N52" s="35"/>
      <c r="O52" s="35"/>
      <c r="P52" s="35"/>
      <c r="Q52" s="35"/>
      <c r="R52" s="37"/>
      <c r="S52" s="35"/>
      <c r="T52" s="35"/>
      <c r="U52" s="35"/>
      <c r="V52" s="35"/>
      <c r="W52" s="35"/>
      <c r="X52" s="37"/>
      <c r="Y52" s="35"/>
      <c r="Z52" s="35"/>
      <c r="AA52" s="35"/>
      <c r="AB52" s="35"/>
      <c r="AC52" s="35"/>
      <c r="AD52" s="37"/>
      <c r="AE52" s="35"/>
      <c r="AF52" s="35"/>
      <c r="AG52" s="35"/>
      <c r="AH52" s="35"/>
      <c r="AI52" s="35"/>
      <c r="AJ52" s="37"/>
      <c r="AK52" s="35"/>
      <c r="AL52" s="35"/>
      <c r="AM52" s="35"/>
      <c r="AN52" s="35"/>
      <c r="AO52" s="35"/>
      <c r="AP52" s="37"/>
      <c r="AQ52" s="35"/>
      <c r="AR52" s="35"/>
      <c r="AS52" s="35"/>
      <c r="AT52" s="35"/>
      <c r="AU52" s="35"/>
      <c r="AV52" s="37"/>
      <c r="AW52" s="35"/>
      <c r="AX52" s="35"/>
      <c r="AY52" s="35"/>
      <c r="AZ52" s="35"/>
      <c r="BA52" s="35"/>
      <c r="BB52" s="37"/>
      <c r="BC52" s="38"/>
      <c r="BD52" s="38"/>
      <c r="BE52" s="38"/>
      <c r="BF52" s="38"/>
      <c r="BG52" s="38"/>
      <c r="BH52" s="38"/>
      <c r="BI52" s="38"/>
      <c r="BJ52" s="38"/>
      <c r="BK52" s="38"/>
    </row>
    <row r="53">
      <c r="A53" s="32">
        <v>52.0</v>
      </c>
      <c r="B53" s="57">
        <v>40.0</v>
      </c>
      <c r="C53" s="57" t="s">
        <v>361</v>
      </c>
      <c r="D53" s="57" t="s">
        <v>362</v>
      </c>
      <c r="E53" s="57" t="s">
        <v>363</v>
      </c>
      <c r="F53" s="58"/>
      <c r="G53" s="35"/>
      <c r="H53" s="35"/>
      <c r="I53" s="35"/>
      <c r="J53" s="35"/>
      <c r="K53" s="35"/>
      <c r="L53" s="37"/>
      <c r="M53" s="35"/>
      <c r="N53" s="35"/>
      <c r="O53" s="35"/>
      <c r="P53" s="35"/>
      <c r="Q53" s="35"/>
      <c r="R53" s="37"/>
      <c r="S53" s="35"/>
      <c r="T53" s="35"/>
      <c r="U53" s="35"/>
      <c r="V53" s="35"/>
      <c r="W53" s="35"/>
      <c r="X53" s="37"/>
      <c r="Y53" s="35"/>
      <c r="Z53" s="35"/>
      <c r="AA53" s="35"/>
      <c r="AB53" s="35"/>
      <c r="AC53" s="35"/>
      <c r="AD53" s="37"/>
      <c r="AE53" s="35"/>
      <c r="AF53" s="35"/>
      <c r="AG53" s="35"/>
      <c r="AH53" s="35"/>
      <c r="AI53" s="35"/>
      <c r="AJ53" s="37"/>
      <c r="AK53" s="35"/>
      <c r="AL53" s="35"/>
      <c r="AM53" s="35"/>
      <c r="AN53" s="35"/>
      <c r="AO53" s="35"/>
      <c r="AP53" s="37"/>
      <c r="AQ53" s="35"/>
      <c r="AR53" s="35"/>
      <c r="AS53" s="35"/>
      <c r="AT53" s="35"/>
      <c r="AU53" s="35"/>
      <c r="AV53" s="37"/>
      <c r="AW53" s="35"/>
      <c r="AX53" s="35"/>
      <c r="AY53" s="35"/>
      <c r="AZ53" s="35"/>
      <c r="BA53" s="35"/>
      <c r="BB53" s="37"/>
      <c r="BC53" s="38"/>
      <c r="BD53" s="38"/>
      <c r="BE53" s="38"/>
      <c r="BF53" s="38"/>
      <c r="BG53" s="38"/>
      <c r="BH53" s="38"/>
      <c r="BI53" s="38"/>
      <c r="BJ53" s="38"/>
      <c r="BK53" s="38"/>
    </row>
    <row r="54">
      <c r="A54" s="32">
        <v>53.0</v>
      </c>
      <c r="B54" s="57">
        <v>40.0</v>
      </c>
      <c r="C54" s="57" t="s">
        <v>361</v>
      </c>
      <c r="D54" s="57" t="s">
        <v>375</v>
      </c>
      <c r="E54" s="57" t="s">
        <v>377</v>
      </c>
      <c r="F54" s="58"/>
      <c r="G54" s="35"/>
      <c r="H54" s="35"/>
      <c r="I54" s="35"/>
      <c r="J54" s="35"/>
      <c r="K54" s="35"/>
      <c r="L54" s="37"/>
      <c r="M54" s="35"/>
      <c r="N54" s="35"/>
      <c r="O54" s="35"/>
      <c r="P54" s="35"/>
      <c r="Q54" s="35"/>
      <c r="R54" s="37"/>
      <c r="S54" s="35"/>
      <c r="T54" s="35"/>
      <c r="U54" s="35"/>
      <c r="V54" s="35"/>
      <c r="W54" s="35"/>
      <c r="X54" s="37"/>
      <c r="Y54" s="35"/>
      <c r="Z54" s="35"/>
      <c r="AA54" s="35"/>
      <c r="AB54" s="35"/>
      <c r="AC54" s="35"/>
      <c r="AD54" s="37"/>
      <c r="AE54" s="35"/>
      <c r="AF54" s="35"/>
      <c r="AG54" s="35"/>
      <c r="AH54" s="35"/>
      <c r="AI54" s="35"/>
      <c r="AJ54" s="37"/>
      <c r="AK54" s="35"/>
      <c r="AL54" s="35"/>
      <c r="AM54" s="35"/>
      <c r="AN54" s="35"/>
      <c r="AO54" s="35"/>
      <c r="AP54" s="37"/>
      <c r="AQ54" s="35"/>
      <c r="AR54" s="35"/>
      <c r="AS54" s="35"/>
      <c r="AT54" s="35"/>
      <c r="AU54" s="35"/>
      <c r="AV54" s="37"/>
      <c r="AW54" s="35"/>
      <c r="AX54" s="35"/>
      <c r="AY54" s="35"/>
      <c r="AZ54" s="35"/>
      <c r="BA54" s="35"/>
      <c r="BB54" s="37"/>
      <c r="BC54" s="38"/>
      <c r="BD54" s="38"/>
      <c r="BE54" s="38"/>
      <c r="BF54" s="38"/>
      <c r="BG54" s="38"/>
      <c r="BH54" s="38"/>
      <c r="BI54" s="38"/>
      <c r="BJ54" s="38"/>
      <c r="BK54" s="38"/>
    </row>
    <row r="55">
      <c r="A55" s="32">
        <v>54.0</v>
      </c>
      <c r="B55" s="57">
        <v>40.0</v>
      </c>
      <c r="C55" s="57" t="s">
        <v>361</v>
      </c>
      <c r="D55" s="57" t="s">
        <v>383</v>
      </c>
      <c r="E55" s="57" t="s">
        <v>385</v>
      </c>
      <c r="F55" s="58"/>
      <c r="G55" s="35"/>
      <c r="H55" s="35"/>
      <c r="I55" s="35"/>
      <c r="J55" s="35"/>
      <c r="K55" s="35"/>
      <c r="L55" s="37"/>
      <c r="M55" s="35"/>
      <c r="N55" s="35"/>
      <c r="O55" s="35"/>
      <c r="P55" s="35"/>
      <c r="Q55" s="35"/>
      <c r="R55" s="37"/>
      <c r="S55" s="35"/>
      <c r="T55" s="35"/>
      <c r="U55" s="35"/>
      <c r="V55" s="35"/>
      <c r="W55" s="35"/>
      <c r="X55" s="37"/>
      <c r="Y55" s="35"/>
      <c r="Z55" s="35"/>
      <c r="AA55" s="35"/>
      <c r="AB55" s="35"/>
      <c r="AC55" s="35"/>
      <c r="AD55" s="37"/>
      <c r="AE55" s="35"/>
      <c r="AF55" s="35"/>
      <c r="AG55" s="35"/>
      <c r="AH55" s="35"/>
      <c r="AI55" s="35"/>
      <c r="AJ55" s="37"/>
      <c r="AK55" s="35"/>
      <c r="AL55" s="35"/>
      <c r="AM55" s="35"/>
      <c r="AN55" s="35"/>
      <c r="AO55" s="35"/>
      <c r="AP55" s="37"/>
      <c r="AQ55" s="35"/>
      <c r="AR55" s="35"/>
      <c r="AS55" s="35"/>
      <c r="AT55" s="35"/>
      <c r="AU55" s="35"/>
      <c r="AV55" s="37"/>
      <c r="AW55" s="35"/>
      <c r="AX55" s="35"/>
      <c r="AY55" s="35"/>
      <c r="AZ55" s="35"/>
      <c r="BA55" s="35"/>
      <c r="BB55" s="37"/>
      <c r="BC55" s="38"/>
      <c r="BD55" s="38"/>
      <c r="BE55" s="38"/>
      <c r="BF55" s="38"/>
      <c r="BG55" s="38"/>
      <c r="BH55" s="38"/>
      <c r="BI55" s="38"/>
      <c r="BJ55" s="38"/>
      <c r="BK55" s="38"/>
    </row>
    <row r="56">
      <c r="A56" s="32">
        <v>55.0</v>
      </c>
      <c r="B56" s="57">
        <v>40.0</v>
      </c>
      <c r="C56" s="57" t="s">
        <v>361</v>
      </c>
      <c r="D56" s="57" t="s">
        <v>396</v>
      </c>
      <c r="E56" s="57" t="s">
        <v>397</v>
      </c>
      <c r="F56" s="58"/>
      <c r="G56" s="35"/>
      <c r="H56" s="35"/>
      <c r="I56" s="35"/>
      <c r="J56" s="35"/>
      <c r="K56" s="35"/>
      <c r="L56" s="37"/>
      <c r="M56" s="35"/>
      <c r="N56" s="35"/>
      <c r="O56" s="35"/>
      <c r="P56" s="35"/>
      <c r="Q56" s="35"/>
      <c r="R56" s="37"/>
      <c r="S56" s="35"/>
      <c r="T56" s="35"/>
      <c r="U56" s="35"/>
      <c r="V56" s="35"/>
      <c r="W56" s="35"/>
      <c r="X56" s="37"/>
      <c r="Y56" s="35"/>
      <c r="Z56" s="35"/>
      <c r="AA56" s="35"/>
      <c r="AB56" s="35"/>
      <c r="AC56" s="35"/>
      <c r="AD56" s="37"/>
      <c r="AE56" s="35"/>
      <c r="AF56" s="35"/>
      <c r="AG56" s="35"/>
      <c r="AH56" s="35"/>
      <c r="AI56" s="35"/>
      <c r="AJ56" s="37"/>
      <c r="AK56" s="35"/>
      <c r="AL56" s="35"/>
      <c r="AM56" s="35"/>
      <c r="AN56" s="35"/>
      <c r="AO56" s="35"/>
      <c r="AP56" s="37"/>
      <c r="AQ56" s="35"/>
      <c r="AR56" s="35"/>
      <c r="AS56" s="35"/>
      <c r="AT56" s="35"/>
      <c r="AU56" s="35"/>
      <c r="AV56" s="37"/>
      <c r="AW56" s="35"/>
      <c r="AX56" s="35"/>
      <c r="AY56" s="35"/>
      <c r="AZ56" s="35"/>
      <c r="BA56" s="35"/>
      <c r="BB56" s="37"/>
      <c r="BC56" s="38"/>
      <c r="BD56" s="38"/>
      <c r="BE56" s="38"/>
      <c r="BF56" s="38"/>
      <c r="BG56" s="38"/>
      <c r="BH56" s="38"/>
      <c r="BI56" s="38"/>
      <c r="BJ56" s="38"/>
      <c r="BK56" s="38"/>
    </row>
    <row r="57">
      <c r="A57" s="32">
        <v>56.0</v>
      </c>
      <c r="B57" s="57">
        <v>40.0</v>
      </c>
      <c r="C57" s="57" t="s">
        <v>361</v>
      </c>
      <c r="D57" s="57" t="s">
        <v>403</v>
      </c>
      <c r="E57" s="57" t="s">
        <v>404</v>
      </c>
      <c r="F57" s="58"/>
      <c r="G57" s="35"/>
      <c r="H57" s="35"/>
      <c r="I57" s="35"/>
      <c r="J57" s="35"/>
      <c r="K57" s="35"/>
      <c r="L57" s="37"/>
      <c r="M57" s="35"/>
      <c r="N57" s="35"/>
      <c r="O57" s="35"/>
      <c r="P57" s="35"/>
      <c r="Q57" s="35"/>
      <c r="R57" s="37"/>
      <c r="S57" s="35"/>
      <c r="T57" s="35"/>
      <c r="U57" s="35"/>
      <c r="V57" s="35"/>
      <c r="W57" s="35"/>
      <c r="X57" s="37"/>
      <c r="Y57" s="35"/>
      <c r="Z57" s="35"/>
      <c r="AA57" s="35"/>
      <c r="AB57" s="35"/>
      <c r="AC57" s="35"/>
      <c r="AD57" s="37"/>
      <c r="AE57" s="35"/>
      <c r="AF57" s="35"/>
      <c r="AG57" s="35"/>
      <c r="AH57" s="35"/>
      <c r="AI57" s="35"/>
      <c r="AJ57" s="37"/>
      <c r="AK57" s="35"/>
      <c r="AL57" s="35"/>
      <c r="AM57" s="35"/>
      <c r="AN57" s="35"/>
      <c r="AO57" s="35"/>
      <c r="AP57" s="37"/>
      <c r="AQ57" s="35"/>
      <c r="AR57" s="35"/>
      <c r="AS57" s="35"/>
      <c r="AT57" s="35"/>
      <c r="AU57" s="35"/>
      <c r="AV57" s="37"/>
      <c r="AW57" s="35"/>
      <c r="AX57" s="35"/>
      <c r="AY57" s="35"/>
      <c r="AZ57" s="35"/>
      <c r="BA57" s="35"/>
      <c r="BB57" s="37"/>
      <c r="BC57" s="38"/>
      <c r="BD57" s="38"/>
      <c r="BE57" s="38"/>
      <c r="BF57" s="38"/>
      <c r="BG57" s="38"/>
      <c r="BH57" s="38"/>
      <c r="BI57" s="38"/>
      <c r="BJ57" s="38"/>
      <c r="BK57" s="38"/>
    </row>
    <row r="58">
      <c r="A58" s="32">
        <v>57.0</v>
      </c>
      <c r="B58" s="57">
        <v>40.0</v>
      </c>
      <c r="C58" s="57" t="s">
        <v>361</v>
      </c>
      <c r="D58" s="57" t="s">
        <v>413</v>
      </c>
      <c r="E58" s="57" t="s">
        <v>414</v>
      </c>
      <c r="F58" s="58"/>
      <c r="G58" s="35"/>
      <c r="H58" s="35"/>
      <c r="I58" s="35"/>
      <c r="J58" s="35"/>
      <c r="K58" s="35"/>
      <c r="L58" s="37"/>
      <c r="M58" s="35"/>
      <c r="N58" s="35"/>
      <c r="O58" s="35"/>
      <c r="P58" s="35"/>
      <c r="Q58" s="35"/>
      <c r="R58" s="37"/>
      <c r="S58" s="35"/>
      <c r="T58" s="35"/>
      <c r="U58" s="35"/>
      <c r="V58" s="35"/>
      <c r="W58" s="35"/>
      <c r="X58" s="37"/>
      <c r="Y58" s="35"/>
      <c r="Z58" s="35"/>
      <c r="AA58" s="35"/>
      <c r="AB58" s="35"/>
      <c r="AC58" s="35"/>
      <c r="AD58" s="37"/>
      <c r="AE58" s="35"/>
      <c r="AF58" s="35"/>
      <c r="AG58" s="35"/>
      <c r="AH58" s="35"/>
      <c r="AI58" s="35"/>
      <c r="AJ58" s="37"/>
      <c r="AK58" s="35"/>
      <c r="AL58" s="35"/>
      <c r="AM58" s="35"/>
      <c r="AN58" s="35"/>
      <c r="AO58" s="35"/>
      <c r="AP58" s="37"/>
      <c r="AQ58" s="35"/>
      <c r="AR58" s="35"/>
      <c r="AS58" s="35"/>
      <c r="AT58" s="35"/>
      <c r="AU58" s="35"/>
      <c r="AV58" s="37"/>
      <c r="AW58" s="35"/>
      <c r="AX58" s="35"/>
      <c r="AY58" s="35"/>
      <c r="AZ58" s="35"/>
      <c r="BA58" s="35"/>
      <c r="BB58" s="37"/>
      <c r="BC58" s="38"/>
      <c r="BD58" s="38"/>
      <c r="BE58" s="38"/>
      <c r="BF58" s="38"/>
      <c r="BG58" s="38"/>
      <c r="BH58" s="38"/>
      <c r="BI58" s="38"/>
      <c r="BJ58" s="38"/>
      <c r="BK58" s="38"/>
    </row>
    <row r="59">
      <c r="A59" s="32">
        <v>58.0</v>
      </c>
      <c r="B59" s="43">
        <v>41.0</v>
      </c>
      <c r="C59" s="32"/>
      <c r="D59" s="43" t="s">
        <v>425</v>
      </c>
      <c r="E59" s="43"/>
      <c r="F59" s="43"/>
      <c r="G59" s="59"/>
      <c r="H59" s="35"/>
      <c r="I59" s="35"/>
      <c r="J59" s="35"/>
      <c r="K59" s="35"/>
      <c r="L59" s="37"/>
      <c r="M59" s="35"/>
      <c r="N59" s="35"/>
      <c r="O59" s="35"/>
      <c r="P59" s="35"/>
      <c r="Q59" s="35"/>
      <c r="R59" s="37"/>
      <c r="S59" s="35"/>
      <c r="T59" s="35"/>
      <c r="U59" s="35"/>
      <c r="V59" s="35"/>
      <c r="W59" s="35"/>
      <c r="X59" s="37"/>
      <c r="Y59" s="35"/>
      <c r="Z59" s="35"/>
      <c r="AA59" s="35"/>
      <c r="AB59" s="35"/>
      <c r="AC59" s="35"/>
      <c r="AD59" s="37"/>
      <c r="AE59" s="35"/>
      <c r="AF59" s="35"/>
      <c r="AG59" s="35"/>
      <c r="AH59" s="35"/>
      <c r="AI59" s="35"/>
      <c r="AJ59" s="37"/>
      <c r="AK59" s="35"/>
      <c r="AL59" s="35"/>
      <c r="AM59" s="35"/>
      <c r="AN59" s="35"/>
      <c r="AO59" s="35"/>
      <c r="AP59" s="37"/>
      <c r="AQ59" s="35"/>
      <c r="AR59" s="35"/>
      <c r="AS59" s="35"/>
      <c r="AT59" s="35"/>
      <c r="AU59" s="35"/>
      <c r="AV59" s="37"/>
      <c r="AW59" s="35"/>
      <c r="AX59" s="35"/>
      <c r="AY59" s="35"/>
      <c r="AZ59" s="35"/>
      <c r="BA59" s="35"/>
      <c r="BB59" s="37"/>
      <c r="BC59" s="38"/>
      <c r="BD59" s="38"/>
      <c r="BE59" s="38"/>
      <c r="BF59" s="60" t="s">
        <v>434</v>
      </c>
      <c r="BG59" s="38"/>
      <c r="BH59" s="38"/>
      <c r="BI59" s="38"/>
      <c r="BJ59" s="38"/>
      <c r="BK59" s="38"/>
    </row>
    <row r="60">
      <c r="A60" s="32">
        <v>59.0</v>
      </c>
      <c r="B60" s="43">
        <v>41.0</v>
      </c>
      <c r="C60" s="32"/>
      <c r="D60" s="43" t="s">
        <v>436</v>
      </c>
      <c r="E60" s="43" t="s">
        <v>437</v>
      </c>
      <c r="F60" s="43"/>
      <c r="G60" s="59"/>
      <c r="H60" s="35"/>
      <c r="I60" s="35"/>
      <c r="J60" s="35"/>
      <c r="K60" s="35"/>
      <c r="L60" s="37"/>
      <c r="M60" s="35"/>
      <c r="N60" s="35"/>
      <c r="O60" s="35"/>
      <c r="P60" s="35"/>
      <c r="Q60" s="35"/>
      <c r="R60" s="37"/>
      <c r="S60" s="35"/>
      <c r="T60" s="35"/>
      <c r="U60" s="35"/>
      <c r="V60" s="35"/>
      <c r="W60" s="35"/>
      <c r="X60" s="37"/>
      <c r="Y60" s="35"/>
      <c r="Z60" s="35"/>
      <c r="AA60" s="35"/>
      <c r="AB60" s="35"/>
      <c r="AC60" s="35"/>
      <c r="AD60" s="37"/>
      <c r="AE60" s="35"/>
      <c r="AF60" s="35"/>
      <c r="AG60" s="35"/>
      <c r="AH60" s="35"/>
      <c r="AI60" s="35"/>
      <c r="AJ60" s="37"/>
      <c r="AK60" s="35"/>
      <c r="AL60" s="35"/>
      <c r="AM60" s="35"/>
      <c r="AN60" s="35"/>
      <c r="AO60" s="35"/>
      <c r="AP60" s="37"/>
      <c r="AQ60" s="35"/>
      <c r="AR60" s="35"/>
      <c r="AS60" s="35"/>
      <c r="AT60" s="35"/>
      <c r="AU60" s="35"/>
      <c r="AV60" s="37"/>
      <c r="AW60" s="35"/>
      <c r="AX60" s="35"/>
      <c r="AY60" s="35"/>
      <c r="AZ60" s="35"/>
      <c r="BA60" s="35"/>
      <c r="BB60" s="37"/>
      <c r="BC60" s="38"/>
      <c r="BD60" s="38"/>
      <c r="BE60" s="38"/>
      <c r="BF60" s="60" t="s">
        <v>434</v>
      </c>
      <c r="BG60" s="38"/>
      <c r="BH60" s="38"/>
      <c r="BI60" s="38"/>
      <c r="BJ60" s="38"/>
      <c r="BK60" s="38"/>
    </row>
    <row r="61">
      <c r="A61" s="32">
        <v>60.0</v>
      </c>
      <c r="B61" s="43">
        <v>41.0</v>
      </c>
      <c r="C61" s="32"/>
      <c r="D61" s="43" t="s">
        <v>445</v>
      </c>
      <c r="E61" s="43" t="s">
        <v>437</v>
      </c>
      <c r="F61" s="43"/>
      <c r="G61" s="59"/>
      <c r="H61" s="35"/>
      <c r="I61" s="35"/>
      <c r="J61" s="35"/>
      <c r="K61" s="35"/>
      <c r="L61" s="37"/>
      <c r="M61" s="35"/>
      <c r="N61" s="35"/>
      <c r="O61" s="35"/>
      <c r="P61" s="35"/>
      <c r="Q61" s="35"/>
      <c r="R61" s="37"/>
      <c r="S61" s="35"/>
      <c r="T61" s="35"/>
      <c r="U61" s="35"/>
      <c r="V61" s="35"/>
      <c r="W61" s="35"/>
      <c r="X61" s="37"/>
      <c r="Y61" s="35"/>
      <c r="Z61" s="35"/>
      <c r="AA61" s="35"/>
      <c r="AB61" s="35"/>
      <c r="AC61" s="35"/>
      <c r="AD61" s="37"/>
      <c r="AE61" s="35"/>
      <c r="AF61" s="35"/>
      <c r="AG61" s="35"/>
      <c r="AH61" s="35"/>
      <c r="AI61" s="35"/>
      <c r="AJ61" s="37"/>
      <c r="AK61" s="35"/>
      <c r="AL61" s="35"/>
      <c r="AM61" s="35"/>
      <c r="AN61" s="35"/>
      <c r="AO61" s="35"/>
      <c r="AP61" s="37"/>
      <c r="AQ61" s="35"/>
      <c r="AR61" s="35"/>
      <c r="AS61" s="35"/>
      <c r="AT61" s="35"/>
      <c r="AU61" s="35"/>
      <c r="AV61" s="37"/>
      <c r="AW61" s="35"/>
      <c r="AX61" s="35"/>
      <c r="AY61" s="35"/>
      <c r="AZ61" s="35"/>
      <c r="BA61" s="35"/>
      <c r="BB61" s="37"/>
      <c r="BC61" s="38"/>
      <c r="BD61" s="38"/>
      <c r="BE61" s="38"/>
      <c r="BF61" s="60" t="s">
        <v>434</v>
      </c>
      <c r="BG61" s="38"/>
      <c r="BH61" s="38"/>
      <c r="BI61" s="38"/>
      <c r="BJ61" s="38"/>
      <c r="BK61" s="38"/>
    </row>
    <row r="62">
      <c r="A62" s="32">
        <v>61.0</v>
      </c>
      <c r="B62" s="43">
        <v>41.0</v>
      </c>
      <c r="C62" s="32"/>
      <c r="D62" s="43" t="s">
        <v>449</v>
      </c>
      <c r="E62" s="43" t="s">
        <v>437</v>
      </c>
      <c r="F62" s="43"/>
      <c r="G62" s="61"/>
      <c r="H62" s="35"/>
      <c r="I62" s="35"/>
      <c r="J62" s="35"/>
      <c r="K62" s="35"/>
      <c r="L62" s="37"/>
      <c r="M62" s="35"/>
      <c r="N62" s="35"/>
      <c r="O62" s="35"/>
      <c r="P62" s="35"/>
      <c r="Q62" s="35"/>
      <c r="R62" s="37"/>
      <c r="S62" s="35"/>
      <c r="T62" s="35"/>
      <c r="U62" s="35"/>
      <c r="V62" s="35"/>
      <c r="W62" s="35"/>
      <c r="X62" s="37"/>
      <c r="Y62" s="35"/>
      <c r="Z62" s="35"/>
      <c r="AA62" s="35"/>
      <c r="AB62" s="35"/>
      <c r="AC62" s="35"/>
      <c r="AD62" s="37"/>
      <c r="AE62" s="35"/>
      <c r="AF62" s="35"/>
      <c r="AG62" s="35"/>
      <c r="AH62" s="35"/>
      <c r="AI62" s="35"/>
      <c r="AJ62" s="37"/>
      <c r="AK62" s="35"/>
      <c r="AL62" s="35"/>
      <c r="AM62" s="35"/>
      <c r="AN62" s="35"/>
      <c r="AO62" s="35"/>
      <c r="AP62" s="37"/>
      <c r="AQ62" s="35"/>
      <c r="AR62" s="35"/>
      <c r="AS62" s="35"/>
      <c r="AT62" s="35"/>
      <c r="AU62" s="35"/>
      <c r="AV62" s="37"/>
      <c r="AW62" s="35"/>
      <c r="AX62" s="35"/>
      <c r="AY62" s="35"/>
      <c r="AZ62" s="35"/>
      <c r="BA62" s="35"/>
      <c r="BB62" s="37"/>
      <c r="BC62" s="38"/>
      <c r="BD62" s="38"/>
      <c r="BE62" s="38"/>
      <c r="BF62" s="60" t="s">
        <v>434</v>
      </c>
      <c r="BG62" s="38"/>
      <c r="BH62" s="38"/>
      <c r="BI62" s="38"/>
      <c r="BJ62" s="38"/>
      <c r="BK62" s="38"/>
    </row>
    <row r="63">
      <c r="A63" s="32">
        <v>62.0</v>
      </c>
      <c r="B63" s="43">
        <v>41.0</v>
      </c>
      <c r="C63" s="32"/>
      <c r="D63" s="43" t="s">
        <v>458</v>
      </c>
      <c r="E63" s="43" t="s">
        <v>437</v>
      </c>
      <c r="F63" s="43"/>
      <c r="G63" s="61"/>
      <c r="H63" s="35"/>
      <c r="I63" s="35"/>
      <c r="J63" s="35"/>
      <c r="K63" s="35"/>
      <c r="L63" s="37"/>
      <c r="M63" s="35"/>
      <c r="N63" s="35"/>
      <c r="O63" s="35"/>
      <c r="P63" s="35"/>
      <c r="Q63" s="35"/>
      <c r="R63" s="37"/>
      <c r="S63" s="35"/>
      <c r="T63" s="35"/>
      <c r="U63" s="35"/>
      <c r="V63" s="35"/>
      <c r="W63" s="35"/>
      <c r="X63" s="37"/>
      <c r="Y63" s="35"/>
      <c r="Z63" s="35"/>
      <c r="AA63" s="35"/>
      <c r="AB63" s="35"/>
      <c r="AC63" s="35"/>
      <c r="AD63" s="37"/>
      <c r="AE63" s="35"/>
      <c r="AF63" s="35"/>
      <c r="AG63" s="35"/>
      <c r="AH63" s="35"/>
      <c r="AI63" s="35"/>
      <c r="AJ63" s="37"/>
      <c r="AK63" s="35"/>
      <c r="AL63" s="35"/>
      <c r="AM63" s="35"/>
      <c r="AN63" s="35"/>
      <c r="AO63" s="35"/>
      <c r="AP63" s="37"/>
      <c r="AQ63" s="35"/>
      <c r="AR63" s="35"/>
      <c r="AS63" s="35"/>
      <c r="AT63" s="35"/>
      <c r="AU63" s="35"/>
      <c r="AV63" s="37"/>
      <c r="AW63" s="35"/>
      <c r="AX63" s="35"/>
      <c r="AY63" s="35"/>
      <c r="AZ63" s="35"/>
      <c r="BA63" s="35"/>
      <c r="BB63" s="37"/>
      <c r="BC63" s="38"/>
      <c r="BD63" s="38"/>
      <c r="BE63" s="38"/>
      <c r="BF63" s="60" t="s">
        <v>434</v>
      </c>
      <c r="BG63" s="38"/>
      <c r="BH63" s="38"/>
      <c r="BI63" s="38"/>
      <c r="BJ63" s="38"/>
      <c r="BK63" s="38"/>
    </row>
    <row r="64">
      <c r="A64" s="32">
        <v>63.0</v>
      </c>
      <c r="B64" s="43">
        <v>41.0</v>
      </c>
      <c r="C64" s="32"/>
      <c r="D64" s="43" t="s">
        <v>464</v>
      </c>
      <c r="E64" s="43" t="s">
        <v>437</v>
      </c>
      <c r="F64" s="43"/>
      <c r="G64" s="59"/>
      <c r="H64" s="35"/>
      <c r="I64" s="35"/>
      <c r="J64" s="35"/>
      <c r="K64" s="35"/>
      <c r="L64" s="37"/>
      <c r="M64" s="35"/>
      <c r="N64" s="35"/>
      <c r="O64" s="35"/>
      <c r="P64" s="35"/>
      <c r="Q64" s="35"/>
      <c r="R64" s="37"/>
      <c r="S64" s="35"/>
      <c r="T64" s="35"/>
      <c r="U64" s="35"/>
      <c r="V64" s="35"/>
      <c r="W64" s="35"/>
      <c r="X64" s="37"/>
      <c r="Y64" s="35"/>
      <c r="Z64" s="35"/>
      <c r="AA64" s="35"/>
      <c r="AB64" s="35"/>
      <c r="AC64" s="35"/>
      <c r="AD64" s="37"/>
      <c r="AE64" s="35"/>
      <c r="AF64" s="35"/>
      <c r="AG64" s="35"/>
      <c r="AH64" s="35"/>
      <c r="AI64" s="35"/>
      <c r="AJ64" s="37"/>
      <c r="AK64" s="35"/>
      <c r="AL64" s="35"/>
      <c r="AM64" s="35"/>
      <c r="AN64" s="35"/>
      <c r="AO64" s="35"/>
      <c r="AP64" s="37"/>
      <c r="AQ64" s="35"/>
      <c r="AR64" s="35"/>
      <c r="AS64" s="35"/>
      <c r="AT64" s="35"/>
      <c r="AU64" s="35"/>
      <c r="AV64" s="37"/>
      <c r="AW64" s="35"/>
      <c r="AX64" s="35"/>
      <c r="AY64" s="35"/>
      <c r="AZ64" s="35"/>
      <c r="BA64" s="35"/>
      <c r="BB64" s="37"/>
      <c r="BC64" s="38"/>
      <c r="BD64" s="38"/>
      <c r="BE64" s="38"/>
      <c r="BF64" s="60" t="s">
        <v>434</v>
      </c>
      <c r="BG64" s="38"/>
      <c r="BH64" s="38"/>
      <c r="BI64" s="38"/>
      <c r="BJ64" s="38"/>
      <c r="BK64" s="38"/>
    </row>
    <row r="65">
      <c r="A65" s="32">
        <v>64.0</v>
      </c>
      <c r="B65" s="43">
        <v>41.0</v>
      </c>
      <c r="C65" s="32"/>
      <c r="D65" s="43" t="s">
        <v>470</v>
      </c>
      <c r="E65" s="43" t="s">
        <v>437</v>
      </c>
      <c r="F65" s="43"/>
      <c r="G65" s="59"/>
      <c r="H65" s="35"/>
      <c r="I65" s="35"/>
      <c r="J65" s="35"/>
      <c r="K65" s="35"/>
      <c r="L65" s="37"/>
      <c r="M65" s="35"/>
      <c r="N65" s="35"/>
      <c r="O65" s="35"/>
      <c r="P65" s="35"/>
      <c r="Q65" s="35"/>
      <c r="R65" s="37"/>
      <c r="S65" s="35"/>
      <c r="T65" s="35"/>
      <c r="U65" s="35"/>
      <c r="V65" s="35"/>
      <c r="W65" s="35"/>
      <c r="X65" s="37"/>
      <c r="Y65" s="35"/>
      <c r="Z65" s="35"/>
      <c r="AA65" s="35"/>
      <c r="AB65" s="35"/>
      <c r="AC65" s="35"/>
      <c r="AD65" s="37"/>
      <c r="AE65" s="35"/>
      <c r="AF65" s="35"/>
      <c r="AG65" s="35"/>
      <c r="AH65" s="35"/>
      <c r="AI65" s="35"/>
      <c r="AJ65" s="37"/>
      <c r="AK65" s="35"/>
      <c r="AL65" s="35"/>
      <c r="AM65" s="35"/>
      <c r="AN65" s="35"/>
      <c r="AO65" s="35"/>
      <c r="AP65" s="37"/>
      <c r="AQ65" s="35"/>
      <c r="AR65" s="35"/>
      <c r="AS65" s="35"/>
      <c r="AT65" s="35"/>
      <c r="AU65" s="35"/>
      <c r="AV65" s="37"/>
      <c r="AW65" s="35"/>
      <c r="AX65" s="35"/>
      <c r="AY65" s="35"/>
      <c r="AZ65" s="35"/>
      <c r="BA65" s="35"/>
      <c r="BB65" s="37"/>
      <c r="BC65" s="38"/>
      <c r="BD65" s="38"/>
      <c r="BE65" s="38"/>
      <c r="BF65" s="60" t="s">
        <v>434</v>
      </c>
      <c r="BG65" s="38"/>
      <c r="BH65" s="38"/>
      <c r="BI65" s="38"/>
      <c r="BJ65" s="38"/>
      <c r="BK65" s="38"/>
    </row>
    <row r="66">
      <c r="A66" s="32">
        <v>65.0</v>
      </c>
      <c r="B66" s="43">
        <v>42.0</v>
      </c>
      <c r="C66" s="32"/>
      <c r="D66" s="43" t="s">
        <v>484</v>
      </c>
      <c r="E66" s="43" t="s">
        <v>437</v>
      </c>
      <c r="F66" s="43"/>
      <c r="G66" s="15"/>
      <c r="H66" s="35"/>
      <c r="I66" s="35"/>
      <c r="J66" s="35"/>
      <c r="K66" s="35"/>
      <c r="L66" s="37"/>
      <c r="M66" s="35"/>
      <c r="N66" s="35"/>
      <c r="O66" s="35"/>
      <c r="P66" s="35"/>
      <c r="Q66" s="35"/>
      <c r="R66" s="37"/>
      <c r="S66" s="35"/>
      <c r="T66" s="35"/>
      <c r="U66" s="35"/>
      <c r="V66" s="35"/>
      <c r="W66" s="35"/>
      <c r="X66" s="37"/>
      <c r="Y66" s="35"/>
      <c r="Z66" s="35"/>
      <c r="AA66" s="35"/>
      <c r="AB66" s="35"/>
      <c r="AC66" s="35"/>
      <c r="AD66" s="37"/>
      <c r="AE66" s="35"/>
      <c r="AF66" s="35"/>
      <c r="AG66" s="35"/>
      <c r="AH66" s="35"/>
      <c r="AI66" s="35"/>
      <c r="AJ66" s="37"/>
      <c r="AK66" s="35"/>
      <c r="AL66" s="35"/>
      <c r="AM66" s="35"/>
      <c r="AN66" s="35"/>
      <c r="AO66" s="35"/>
      <c r="AP66" s="37"/>
      <c r="AQ66" s="35"/>
      <c r="AR66" s="35"/>
      <c r="AS66" s="35"/>
      <c r="AT66" s="35"/>
      <c r="AU66" s="35"/>
      <c r="AV66" s="37"/>
      <c r="AW66" s="35"/>
      <c r="AX66" s="35"/>
      <c r="AY66" s="35"/>
      <c r="AZ66" s="35"/>
      <c r="BA66" s="35"/>
      <c r="BB66" s="37"/>
      <c r="BC66" s="38"/>
      <c r="BD66" s="38"/>
      <c r="BE66" s="38"/>
      <c r="BF66" s="60" t="s">
        <v>489</v>
      </c>
      <c r="BG66" s="38"/>
      <c r="BH66" s="38"/>
      <c r="BI66" s="38"/>
      <c r="BJ66" s="38"/>
      <c r="BK66" s="38"/>
    </row>
    <row r="67">
      <c r="A67" s="32">
        <v>66.0</v>
      </c>
      <c r="B67" s="43">
        <v>42.0</v>
      </c>
      <c r="C67" s="32"/>
      <c r="D67" s="43" t="s">
        <v>493</v>
      </c>
      <c r="E67" s="43" t="s">
        <v>437</v>
      </c>
      <c r="F67" s="43"/>
      <c r="G67" s="59"/>
      <c r="H67" s="35"/>
      <c r="I67" s="35"/>
      <c r="J67" s="35"/>
      <c r="K67" s="35"/>
      <c r="L67" s="37"/>
      <c r="M67" s="35"/>
      <c r="N67" s="35"/>
      <c r="O67" s="35"/>
      <c r="P67" s="35"/>
      <c r="Q67" s="35"/>
      <c r="R67" s="37"/>
      <c r="S67" s="35"/>
      <c r="T67" s="35"/>
      <c r="U67" s="35"/>
      <c r="V67" s="35"/>
      <c r="W67" s="35"/>
      <c r="X67" s="37"/>
      <c r="Y67" s="35"/>
      <c r="Z67" s="35"/>
      <c r="AA67" s="35"/>
      <c r="AB67" s="35"/>
      <c r="AC67" s="35"/>
      <c r="AD67" s="37"/>
      <c r="AE67" s="35"/>
      <c r="AF67" s="35"/>
      <c r="AG67" s="35"/>
      <c r="AH67" s="35"/>
      <c r="AI67" s="35"/>
      <c r="AJ67" s="37"/>
      <c r="AK67" s="35"/>
      <c r="AL67" s="35"/>
      <c r="AM67" s="35"/>
      <c r="AN67" s="35"/>
      <c r="AO67" s="35"/>
      <c r="AP67" s="37"/>
      <c r="AQ67" s="35"/>
      <c r="AR67" s="35"/>
      <c r="AS67" s="35"/>
      <c r="AT67" s="35"/>
      <c r="AU67" s="35"/>
      <c r="AV67" s="37"/>
      <c r="AW67" s="35"/>
      <c r="AX67" s="35"/>
      <c r="AY67" s="35"/>
      <c r="AZ67" s="35"/>
      <c r="BA67" s="35"/>
      <c r="BB67" s="37"/>
      <c r="BC67" s="38"/>
      <c r="BD67" s="38"/>
      <c r="BE67" s="38"/>
      <c r="BF67" s="60" t="s">
        <v>489</v>
      </c>
      <c r="BG67" s="38"/>
      <c r="BH67" s="38"/>
      <c r="BI67" s="38"/>
      <c r="BJ67" s="38"/>
      <c r="BK67" s="38"/>
    </row>
    <row r="68">
      <c r="A68" s="32">
        <v>67.0</v>
      </c>
      <c r="B68" s="43">
        <v>42.0</v>
      </c>
      <c r="C68" s="32"/>
      <c r="D68" s="43" t="s">
        <v>497</v>
      </c>
      <c r="E68" s="43" t="s">
        <v>437</v>
      </c>
      <c r="F68" s="43"/>
      <c r="G68" s="59"/>
      <c r="H68" s="35"/>
      <c r="I68" s="35"/>
      <c r="J68" s="35"/>
      <c r="K68" s="35"/>
      <c r="L68" s="37"/>
      <c r="M68" s="35"/>
      <c r="N68" s="35"/>
      <c r="O68" s="35"/>
      <c r="P68" s="35"/>
      <c r="Q68" s="35"/>
      <c r="R68" s="37"/>
      <c r="S68" s="35"/>
      <c r="T68" s="35"/>
      <c r="U68" s="35"/>
      <c r="V68" s="35"/>
      <c r="W68" s="35"/>
      <c r="X68" s="37"/>
      <c r="Y68" s="35"/>
      <c r="Z68" s="35"/>
      <c r="AA68" s="35"/>
      <c r="AB68" s="35"/>
      <c r="AC68" s="35"/>
      <c r="AD68" s="37"/>
      <c r="AE68" s="35"/>
      <c r="AF68" s="35"/>
      <c r="AG68" s="35"/>
      <c r="AH68" s="35"/>
      <c r="AI68" s="35"/>
      <c r="AJ68" s="37"/>
      <c r="AK68" s="35"/>
      <c r="AL68" s="35"/>
      <c r="AM68" s="35"/>
      <c r="AN68" s="35"/>
      <c r="AO68" s="35"/>
      <c r="AP68" s="37"/>
      <c r="AQ68" s="35"/>
      <c r="AR68" s="35"/>
      <c r="AS68" s="35"/>
      <c r="AT68" s="35"/>
      <c r="AU68" s="35"/>
      <c r="AV68" s="37"/>
      <c r="AW68" s="35"/>
      <c r="AX68" s="35"/>
      <c r="AY68" s="35"/>
      <c r="AZ68" s="35"/>
      <c r="BA68" s="35"/>
      <c r="BB68" s="37"/>
      <c r="BC68" s="38"/>
      <c r="BD68" s="38"/>
      <c r="BE68" s="38"/>
      <c r="BF68" s="60" t="s">
        <v>489</v>
      </c>
      <c r="BG68" s="38"/>
      <c r="BH68" s="38"/>
      <c r="BI68" s="38"/>
      <c r="BJ68" s="38"/>
      <c r="BK68" s="38"/>
    </row>
    <row r="69">
      <c r="A69" s="32">
        <v>68.0</v>
      </c>
      <c r="B69" s="43">
        <v>42.0</v>
      </c>
      <c r="C69" s="32"/>
      <c r="D69" s="43" t="s">
        <v>509</v>
      </c>
      <c r="E69" s="43" t="s">
        <v>437</v>
      </c>
      <c r="F69" s="43"/>
      <c r="G69" s="59"/>
      <c r="H69" s="35"/>
      <c r="I69" s="35"/>
      <c r="J69" s="35"/>
      <c r="K69" s="35"/>
      <c r="L69" s="37"/>
      <c r="M69" s="35"/>
      <c r="N69" s="35"/>
      <c r="O69" s="35"/>
      <c r="P69" s="35"/>
      <c r="Q69" s="35"/>
      <c r="R69" s="37"/>
      <c r="S69" s="35"/>
      <c r="T69" s="35"/>
      <c r="U69" s="35"/>
      <c r="V69" s="35"/>
      <c r="W69" s="35"/>
      <c r="X69" s="37"/>
      <c r="Y69" s="35"/>
      <c r="Z69" s="35"/>
      <c r="AA69" s="35"/>
      <c r="AB69" s="35"/>
      <c r="AC69" s="35"/>
      <c r="AD69" s="37"/>
      <c r="AE69" s="35"/>
      <c r="AF69" s="35"/>
      <c r="AG69" s="35"/>
      <c r="AH69" s="35"/>
      <c r="AI69" s="35"/>
      <c r="AJ69" s="37"/>
      <c r="AK69" s="35"/>
      <c r="AL69" s="35"/>
      <c r="AM69" s="35"/>
      <c r="AN69" s="35"/>
      <c r="AO69" s="35"/>
      <c r="AP69" s="37"/>
      <c r="AQ69" s="35"/>
      <c r="AR69" s="35"/>
      <c r="AS69" s="35"/>
      <c r="AT69" s="35"/>
      <c r="AU69" s="35"/>
      <c r="AV69" s="37"/>
      <c r="AW69" s="35"/>
      <c r="AX69" s="35"/>
      <c r="AY69" s="35"/>
      <c r="AZ69" s="35"/>
      <c r="BA69" s="35"/>
      <c r="BB69" s="37"/>
      <c r="BC69" s="38"/>
      <c r="BD69" s="38"/>
      <c r="BE69" s="38"/>
      <c r="BF69" s="60" t="s">
        <v>489</v>
      </c>
      <c r="BG69" s="38"/>
      <c r="BH69" s="38"/>
      <c r="BI69" s="38"/>
      <c r="BJ69" s="38"/>
      <c r="BK69" s="38"/>
    </row>
    <row r="70">
      <c r="A70" s="32">
        <v>69.0</v>
      </c>
      <c r="B70" s="43">
        <v>42.0</v>
      </c>
      <c r="C70" s="32"/>
      <c r="D70" s="43" t="s">
        <v>523</v>
      </c>
      <c r="E70" s="43" t="s">
        <v>437</v>
      </c>
      <c r="F70" s="43"/>
      <c r="G70" s="59"/>
      <c r="H70" s="35"/>
      <c r="I70" s="35"/>
      <c r="J70" s="35"/>
      <c r="K70" s="35"/>
      <c r="L70" s="37"/>
      <c r="M70" s="35"/>
      <c r="N70" s="35"/>
      <c r="O70" s="35"/>
      <c r="P70" s="35"/>
      <c r="Q70" s="35"/>
      <c r="R70" s="37"/>
      <c r="S70" s="35"/>
      <c r="T70" s="35"/>
      <c r="U70" s="35"/>
      <c r="V70" s="35"/>
      <c r="W70" s="35"/>
      <c r="X70" s="37"/>
      <c r="Y70" s="35"/>
      <c r="Z70" s="35"/>
      <c r="AA70" s="35"/>
      <c r="AB70" s="35"/>
      <c r="AC70" s="35"/>
      <c r="AD70" s="37"/>
      <c r="AE70" s="35"/>
      <c r="AF70" s="35"/>
      <c r="AG70" s="35"/>
      <c r="AH70" s="35"/>
      <c r="AI70" s="35"/>
      <c r="AJ70" s="37"/>
      <c r="AK70" s="35"/>
      <c r="AL70" s="35"/>
      <c r="AM70" s="35"/>
      <c r="AN70" s="35"/>
      <c r="AO70" s="35"/>
      <c r="AP70" s="37"/>
      <c r="AQ70" s="35"/>
      <c r="AR70" s="35"/>
      <c r="AS70" s="35"/>
      <c r="AT70" s="35"/>
      <c r="AU70" s="35"/>
      <c r="AV70" s="37"/>
      <c r="AW70" s="35"/>
      <c r="AX70" s="35"/>
      <c r="AY70" s="35"/>
      <c r="AZ70" s="35"/>
      <c r="BA70" s="35"/>
      <c r="BB70" s="37"/>
      <c r="BC70" s="38"/>
      <c r="BD70" s="38"/>
      <c r="BE70" s="38"/>
      <c r="BF70" s="60" t="s">
        <v>489</v>
      </c>
      <c r="BG70" s="38"/>
      <c r="BH70" s="38"/>
      <c r="BI70" s="38"/>
      <c r="BJ70" s="38"/>
      <c r="BK70" s="38"/>
    </row>
    <row r="71">
      <c r="A71" s="32">
        <v>70.0</v>
      </c>
      <c r="B71" s="43">
        <v>42.0</v>
      </c>
      <c r="C71" s="32"/>
      <c r="D71" s="43" t="s">
        <v>534</v>
      </c>
      <c r="E71" s="43" t="s">
        <v>437</v>
      </c>
      <c r="F71" s="43"/>
      <c r="G71" s="59"/>
      <c r="H71" s="35"/>
      <c r="I71" s="35"/>
      <c r="J71" s="35"/>
      <c r="K71" s="35"/>
      <c r="L71" s="37"/>
      <c r="M71" s="35"/>
      <c r="N71" s="35"/>
      <c r="O71" s="35"/>
      <c r="P71" s="35"/>
      <c r="Q71" s="35"/>
      <c r="R71" s="37"/>
      <c r="S71" s="35"/>
      <c r="T71" s="35"/>
      <c r="U71" s="35"/>
      <c r="V71" s="35"/>
      <c r="W71" s="35"/>
      <c r="X71" s="37"/>
      <c r="Y71" s="35"/>
      <c r="Z71" s="35"/>
      <c r="AA71" s="35"/>
      <c r="AB71" s="35"/>
      <c r="AC71" s="35"/>
      <c r="AD71" s="37"/>
      <c r="AE71" s="35"/>
      <c r="AF71" s="35"/>
      <c r="AG71" s="35"/>
      <c r="AH71" s="35"/>
      <c r="AI71" s="35"/>
      <c r="AJ71" s="37"/>
      <c r="AK71" s="35"/>
      <c r="AL71" s="35"/>
      <c r="AM71" s="35"/>
      <c r="AN71" s="35"/>
      <c r="AO71" s="35"/>
      <c r="AP71" s="37"/>
      <c r="AQ71" s="35"/>
      <c r="AR71" s="35"/>
      <c r="AS71" s="35"/>
      <c r="AT71" s="35"/>
      <c r="AU71" s="35"/>
      <c r="AV71" s="37"/>
      <c r="AW71" s="35"/>
      <c r="AX71" s="35"/>
      <c r="AY71" s="35"/>
      <c r="AZ71" s="35"/>
      <c r="BA71" s="35"/>
      <c r="BB71" s="37"/>
      <c r="BC71" s="38"/>
      <c r="BD71" s="38"/>
      <c r="BE71" s="38"/>
      <c r="BF71" s="60" t="s">
        <v>489</v>
      </c>
      <c r="BG71" s="38"/>
      <c r="BH71" s="38"/>
      <c r="BI71" s="38"/>
      <c r="BJ71" s="38"/>
      <c r="BK71" s="38"/>
    </row>
    <row r="72">
      <c r="A72" s="32">
        <v>71.0</v>
      </c>
      <c r="B72" s="43">
        <v>42.0</v>
      </c>
      <c r="C72" s="32"/>
      <c r="D72" s="43" t="s">
        <v>545</v>
      </c>
      <c r="E72" s="43" t="s">
        <v>437</v>
      </c>
      <c r="F72" s="43"/>
      <c r="G72" s="59"/>
      <c r="H72" s="35"/>
      <c r="I72" s="35"/>
      <c r="J72" s="35"/>
      <c r="K72" s="35"/>
      <c r="L72" s="37"/>
      <c r="M72" s="35"/>
      <c r="N72" s="35"/>
      <c r="O72" s="35"/>
      <c r="P72" s="35"/>
      <c r="Q72" s="35"/>
      <c r="R72" s="37"/>
      <c r="S72" s="35"/>
      <c r="T72" s="35"/>
      <c r="U72" s="35"/>
      <c r="V72" s="35"/>
      <c r="W72" s="35"/>
      <c r="X72" s="37"/>
      <c r="Y72" s="35"/>
      <c r="Z72" s="35"/>
      <c r="AA72" s="35"/>
      <c r="AB72" s="35"/>
      <c r="AC72" s="35"/>
      <c r="AD72" s="37"/>
      <c r="AE72" s="35"/>
      <c r="AF72" s="35"/>
      <c r="AG72" s="35"/>
      <c r="AH72" s="35"/>
      <c r="AI72" s="35"/>
      <c r="AJ72" s="37"/>
      <c r="AK72" s="35"/>
      <c r="AL72" s="35"/>
      <c r="AM72" s="35"/>
      <c r="AN72" s="35"/>
      <c r="AO72" s="35"/>
      <c r="AP72" s="37"/>
      <c r="AQ72" s="35"/>
      <c r="AR72" s="35"/>
      <c r="AS72" s="35"/>
      <c r="AT72" s="35"/>
      <c r="AU72" s="35"/>
      <c r="AV72" s="37"/>
      <c r="AW72" s="35"/>
      <c r="AX72" s="35"/>
      <c r="AY72" s="35"/>
      <c r="AZ72" s="35"/>
      <c r="BA72" s="35"/>
      <c r="BB72" s="37"/>
      <c r="BC72" s="38"/>
      <c r="BD72" s="38"/>
      <c r="BE72" s="38"/>
      <c r="BF72" s="60" t="s">
        <v>489</v>
      </c>
      <c r="BG72" s="38"/>
      <c r="BH72" s="38"/>
      <c r="BI72" s="38"/>
      <c r="BJ72" s="38"/>
      <c r="BK72" s="38"/>
    </row>
    <row r="73">
      <c r="A73" s="32">
        <v>72.0</v>
      </c>
      <c r="B73" s="43">
        <v>42.0</v>
      </c>
      <c r="C73" s="32"/>
      <c r="D73" s="43" t="s">
        <v>497</v>
      </c>
      <c r="E73" s="43" t="s">
        <v>437</v>
      </c>
      <c r="F73" s="43"/>
      <c r="G73" s="59"/>
      <c r="H73" s="35"/>
      <c r="I73" s="35"/>
      <c r="J73" s="35"/>
      <c r="K73" s="35"/>
      <c r="L73" s="37"/>
      <c r="M73" s="35"/>
      <c r="N73" s="35"/>
      <c r="O73" s="35"/>
      <c r="P73" s="35"/>
      <c r="Q73" s="35"/>
      <c r="R73" s="37"/>
      <c r="S73" s="35"/>
      <c r="T73" s="35"/>
      <c r="U73" s="35"/>
      <c r="V73" s="35"/>
      <c r="W73" s="35"/>
      <c r="X73" s="37"/>
      <c r="Y73" s="35"/>
      <c r="Z73" s="35"/>
      <c r="AA73" s="35"/>
      <c r="AB73" s="35"/>
      <c r="AC73" s="35"/>
      <c r="AD73" s="37"/>
      <c r="AE73" s="35"/>
      <c r="AF73" s="35"/>
      <c r="AG73" s="35"/>
      <c r="AH73" s="35"/>
      <c r="AI73" s="35"/>
      <c r="AJ73" s="37"/>
      <c r="AK73" s="35"/>
      <c r="AL73" s="35"/>
      <c r="AM73" s="35"/>
      <c r="AN73" s="35"/>
      <c r="AO73" s="35"/>
      <c r="AP73" s="37"/>
      <c r="AQ73" s="35"/>
      <c r="AR73" s="35"/>
      <c r="AS73" s="35"/>
      <c r="AT73" s="35"/>
      <c r="AU73" s="35"/>
      <c r="AV73" s="37"/>
      <c r="AW73" s="35"/>
      <c r="AX73" s="35"/>
      <c r="AY73" s="35"/>
      <c r="AZ73" s="35"/>
      <c r="BA73" s="35"/>
      <c r="BB73" s="37"/>
      <c r="BC73" s="38"/>
      <c r="BD73" s="38"/>
      <c r="BE73" s="38"/>
      <c r="BF73" s="60" t="s">
        <v>489</v>
      </c>
      <c r="BG73" s="38"/>
      <c r="BH73" s="38"/>
      <c r="BI73" s="38"/>
      <c r="BJ73" s="38"/>
      <c r="BK73" s="38"/>
    </row>
    <row r="74">
      <c r="A74" s="32">
        <v>73.0</v>
      </c>
      <c r="B74" s="43">
        <v>42.0</v>
      </c>
      <c r="C74" s="32"/>
      <c r="D74" s="43" t="s">
        <v>557</v>
      </c>
      <c r="E74" s="43" t="s">
        <v>437</v>
      </c>
      <c r="F74" s="43"/>
      <c r="G74" s="59"/>
      <c r="H74" s="35"/>
      <c r="I74" s="35"/>
      <c r="J74" s="35"/>
      <c r="K74" s="35"/>
      <c r="L74" s="37"/>
      <c r="M74" s="35"/>
      <c r="N74" s="35"/>
      <c r="O74" s="35"/>
      <c r="P74" s="35"/>
      <c r="Q74" s="35"/>
      <c r="R74" s="37"/>
      <c r="S74" s="35"/>
      <c r="T74" s="35"/>
      <c r="U74" s="35"/>
      <c r="V74" s="35"/>
      <c r="W74" s="35"/>
      <c r="X74" s="37"/>
      <c r="Y74" s="35"/>
      <c r="Z74" s="35"/>
      <c r="AA74" s="35"/>
      <c r="AB74" s="35"/>
      <c r="AC74" s="35"/>
      <c r="AD74" s="37"/>
      <c r="AE74" s="35"/>
      <c r="AF74" s="35"/>
      <c r="AG74" s="35"/>
      <c r="AH74" s="35"/>
      <c r="AI74" s="35"/>
      <c r="AJ74" s="37"/>
      <c r="AK74" s="35"/>
      <c r="AL74" s="35"/>
      <c r="AM74" s="35"/>
      <c r="AN74" s="35"/>
      <c r="AO74" s="35"/>
      <c r="AP74" s="37"/>
      <c r="AQ74" s="35"/>
      <c r="AR74" s="35"/>
      <c r="AS74" s="35"/>
      <c r="AT74" s="35"/>
      <c r="AU74" s="35"/>
      <c r="AV74" s="37"/>
      <c r="AW74" s="35"/>
      <c r="AX74" s="35"/>
      <c r="AY74" s="35"/>
      <c r="AZ74" s="35"/>
      <c r="BA74" s="35"/>
      <c r="BB74" s="37"/>
      <c r="BC74" s="38"/>
      <c r="BD74" s="38"/>
      <c r="BE74" s="38"/>
      <c r="BF74" s="60" t="s">
        <v>489</v>
      </c>
      <c r="BG74" s="38"/>
      <c r="BH74" s="38"/>
      <c r="BI74" s="38"/>
      <c r="BJ74" s="38"/>
      <c r="BK74" s="38"/>
    </row>
    <row r="75">
      <c r="A75" s="32">
        <v>74.0</v>
      </c>
      <c r="B75" s="43">
        <v>42.0</v>
      </c>
      <c r="C75" s="32"/>
      <c r="D75" s="43" t="s">
        <v>558</v>
      </c>
      <c r="E75" s="43" t="s">
        <v>437</v>
      </c>
      <c r="F75" s="43"/>
      <c r="G75" s="59"/>
      <c r="H75" s="35"/>
      <c r="I75" s="35"/>
      <c r="J75" s="35"/>
      <c r="K75" s="35"/>
      <c r="L75" s="37"/>
      <c r="M75" s="35"/>
      <c r="N75" s="35"/>
      <c r="O75" s="35"/>
      <c r="P75" s="35"/>
      <c r="Q75" s="35"/>
      <c r="R75" s="37"/>
      <c r="S75" s="35"/>
      <c r="T75" s="35"/>
      <c r="U75" s="35"/>
      <c r="V75" s="35"/>
      <c r="W75" s="35"/>
      <c r="X75" s="37"/>
      <c r="Y75" s="35"/>
      <c r="Z75" s="35"/>
      <c r="AA75" s="35"/>
      <c r="AB75" s="35"/>
      <c r="AC75" s="35"/>
      <c r="AD75" s="37"/>
      <c r="AE75" s="35"/>
      <c r="AF75" s="35"/>
      <c r="AG75" s="35"/>
      <c r="AH75" s="35"/>
      <c r="AI75" s="35"/>
      <c r="AJ75" s="37"/>
      <c r="AK75" s="35"/>
      <c r="AL75" s="35"/>
      <c r="AM75" s="35"/>
      <c r="AN75" s="35"/>
      <c r="AO75" s="35"/>
      <c r="AP75" s="37"/>
      <c r="AQ75" s="35"/>
      <c r="AR75" s="35"/>
      <c r="AS75" s="35"/>
      <c r="AT75" s="35"/>
      <c r="AU75" s="35"/>
      <c r="AV75" s="37"/>
      <c r="AW75" s="35"/>
      <c r="AX75" s="35"/>
      <c r="AY75" s="35"/>
      <c r="AZ75" s="35"/>
      <c r="BA75" s="35"/>
      <c r="BB75" s="37"/>
      <c r="BC75" s="38"/>
      <c r="BD75" s="38"/>
      <c r="BE75" s="38"/>
      <c r="BF75" s="60" t="s">
        <v>489</v>
      </c>
      <c r="BG75" s="38"/>
      <c r="BH75" s="38"/>
      <c r="BI75" s="38"/>
      <c r="BJ75" s="38"/>
      <c r="BK75" s="38"/>
    </row>
    <row r="76">
      <c r="A76" s="43">
        <v>75.0</v>
      </c>
      <c r="B76" s="43">
        <v>42.0</v>
      </c>
      <c r="C76" s="73"/>
      <c r="D76" s="74" t="s">
        <v>562</v>
      </c>
      <c r="E76" s="74"/>
      <c r="F76" s="74"/>
      <c r="G76" s="75"/>
      <c r="H76" s="35"/>
      <c r="I76" s="35"/>
      <c r="J76" s="35"/>
      <c r="K76" s="35"/>
      <c r="L76" s="37"/>
      <c r="M76" s="35"/>
      <c r="N76" s="35"/>
      <c r="O76" s="35"/>
      <c r="P76" s="35"/>
      <c r="Q76" s="35"/>
      <c r="R76" s="37"/>
      <c r="S76" s="35"/>
      <c r="T76" s="35"/>
      <c r="U76" s="35"/>
      <c r="V76" s="35"/>
      <c r="W76" s="35"/>
      <c r="X76" s="37"/>
      <c r="Y76" s="35"/>
      <c r="Z76" s="35"/>
      <c r="AA76" s="35"/>
      <c r="AB76" s="35"/>
      <c r="AC76" s="35"/>
      <c r="AD76" s="37"/>
      <c r="AE76" s="35"/>
      <c r="AF76" s="35"/>
      <c r="AG76" s="35"/>
      <c r="AH76" s="35"/>
      <c r="AI76" s="35"/>
      <c r="AJ76" s="37"/>
      <c r="AK76" s="35"/>
      <c r="AL76" s="35"/>
      <c r="AM76" s="35"/>
      <c r="AN76" s="35"/>
      <c r="AO76" s="35"/>
      <c r="AP76" s="37"/>
      <c r="AQ76" s="35"/>
      <c r="AR76" s="35"/>
      <c r="AS76" s="35"/>
      <c r="AT76" s="35"/>
      <c r="AU76" s="35"/>
      <c r="AV76" s="37"/>
      <c r="AW76" s="35"/>
      <c r="AX76" s="35"/>
      <c r="AY76" s="35"/>
      <c r="AZ76" s="35"/>
      <c r="BA76" s="35"/>
      <c r="BB76" s="37"/>
      <c r="BC76" s="38"/>
      <c r="BD76" s="38"/>
      <c r="BE76" s="38"/>
      <c r="BF76" s="60" t="s">
        <v>564</v>
      </c>
      <c r="BG76" s="38"/>
      <c r="BH76" s="38"/>
      <c r="BI76" s="38"/>
      <c r="BJ76" s="38"/>
      <c r="BK76" s="38"/>
    </row>
    <row r="77">
      <c r="L77" s="76"/>
      <c r="R77" s="76"/>
      <c r="X77" s="76"/>
      <c r="AD77" s="76"/>
      <c r="AJ77" s="76"/>
      <c r="AP77" s="76"/>
      <c r="AV77" s="76"/>
      <c r="BB77" s="76"/>
      <c r="BC77" s="38"/>
      <c r="BD77" s="38"/>
      <c r="BE77" s="38"/>
      <c r="BF77" s="38"/>
      <c r="BG77" s="38"/>
      <c r="BH77" s="38"/>
      <c r="BI77" s="38"/>
      <c r="BJ77" s="38"/>
      <c r="BK77" s="38"/>
    </row>
    <row r="78">
      <c r="L78" s="76"/>
      <c r="R78" s="76"/>
      <c r="X78" s="76"/>
      <c r="AD78" s="76"/>
      <c r="AJ78" s="76"/>
      <c r="AP78" s="76"/>
      <c r="AV78" s="76"/>
      <c r="BB78" s="76"/>
      <c r="BC78" s="38"/>
      <c r="BD78" s="38"/>
      <c r="BE78" s="38"/>
      <c r="BF78" s="38"/>
      <c r="BG78" s="38"/>
      <c r="BH78" s="38"/>
      <c r="BI78" s="38"/>
      <c r="BJ78" s="38"/>
      <c r="BK78" s="38"/>
    </row>
    <row r="79">
      <c r="L79" s="76"/>
      <c r="R79" s="76"/>
      <c r="X79" s="76"/>
      <c r="AD79" s="76"/>
      <c r="AJ79" s="76"/>
      <c r="AP79" s="76"/>
      <c r="AV79" s="76"/>
      <c r="BB79" s="76"/>
      <c r="BC79" s="38"/>
      <c r="BD79" s="38"/>
      <c r="BE79" s="38"/>
      <c r="BF79" s="38"/>
      <c r="BG79" s="38"/>
      <c r="BH79" s="38"/>
      <c r="BI79" s="38"/>
      <c r="BJ79" s="38"/>
      <c r="BK79" s="38"/>
    </row>
    <row r="80">
      <c r="L80" s="76"/>
      <c r="R80" s="76"/>
      <c r="X80" s="76"/>
      <c r="AD80" s="76"/>
      <c r="AJ80" s="76"/>
      <c r="AP80" s="76"/>
      <c r="AV80" s="76"/>
      <c r="BB80" s="76"/>
      <c r="BC80" s="38"/>
      <c r="BD80" s="38"/>
      <c r="BE80" s="38"/>
      <c r="BF80" s="38"/>
      <c r="BG80" s="38"/>
      <c r="BH80" s="38"/>
      <c r="BI80" s="38"/>
      <c r="BJ80" s="38"/>
      <c r="BK80" s="38"/>
    </row>
    <row r="81">
      <c r="L81" s="76"/>
      <c r="R81" s="76"/>
      <c r="X81" s="76"/>
      <c r="AD81" s="76"/>
      <c r="AJ81" s="76"/>
      <c r="AP81" s="76"/>
      <c r="AV81" s="76"/>
      <c r="BB81" s="76"/>
      <c r="BC81" s="38"/>
      <c r="BD81" s="38"/>
      <c r="BE81" s="38"/>
      <c r="BF81" s="38"/>
      <c r="BG81" s="38"/>
      <c r="BH81" s="38"/>
      <c r="BI81" s="38"/>
      <c r="BJ81" s="38"/>
      <c r="BK81" s="38"/>
    </row>
    <row r="82">
      <c r="L82" s="76"/>
      <c r="R82" s="76"/>
      <c r="X82" s="76"/>
      <c r="AD82" s="76"/>
      <c r="AJ82" s="76"/>
      <c r="AP82" s="76"/>
      <c r="AV82" s="76"/>
      <c r="BB82" s="76"/>
      <c r="BC82" s="38"/>
      <c r="BD82" s="38"/>
      <c r="BE82" s="38"/>
      <c r="BF82" s="38"/>
      <c r="BG82" s="38"/>
      <c r="BH82" s="38"/>
      <c r="BI82" s="38"/>
      <c r="BJ82" s="38"/>
      <c r="BK82" s="38"/>
    </row>
    <row r="83">
      <c r="L83" s="76"/>
      <c r="R83" s="76"/>
      <c r="X83" s="76"/>
      <c r="AD83" s="76"/>
      <c r="AJ83" s="76"/>
      <c r="AP83" s="76"/>
      <c r="AV83" s="76"/>
      <c r="BB83" s="76"/>
      <c r="BC83" s="38"/>
      <c r="BD83" s="38"/>
      <c r="BE83" s="38"/>
      <c r="BF83" s="38"/>
      <c r="BG83" s="38"/>
      <c r="BH83" s="38"/>
      <c r="BI83" s="38"/>
      <c r="BJ83" s="38"/>
      <c r="BK83" s="38"/>
    </row>
    <row r="84">
      <c r="L84" s="76"/>
      <c r="R84" s="76"/>
      <c r="X84" s="76"/>
      <c r="AD84" s="76"/>
      <c r="AJ84" s="76"/>
      <c r="AP84" s="76"/>
      <c r="AV84" s="76"/>
      <c r="BB84" s="76"/>
      <c r="BC84" s="38"/>
      <c r="BD84" s="38"/>
      <c r="BE84" s="38"/>
      <c r="BF84" s="38"/>
      <c r="BG84" s="38"/>
      <c r="BH84" s="38"/>
      <c r="BI84" s="38"/>
      <c r="BJ84" s="38"/>
      <c r="BK84" s="38"/>
    </row>
    <row r="85">
      <c r="L85" s="76"/>
      <c r="R85" s="76"/>
      <c r="X85" s="76"/>
      <c r="AD85" s="76"/>
      <c r="AJ85" s="76"/>
      <c r="AP85" s="76"/>
      <c r="AV85" s="76"/>
      <c r="BB85" s="76"/>
      <c r="BC85" s="38"/>
      <c r="BD85" s="38"/>
      <c r="BE85" s="38"/>
      <c r="BF85" s="38"/>
      <c r="BG85" s="38"/>
      <c r="BH85" s="38"/>
      <c r="BI85" s="38"/>
      <c r="BJ85" s="38"/>
      <c r="BK85" s="38"/>
    </row>
    <row r="86">
      <c r="L86" s="76"/>
      <c r="R86" s="76"/>
      <c r="X86" s="76"/>
      <c r="AD86" s="76"/>
      <c r="AJ86" s="76"/>
      <c r="AP86" s="76"/>
      <c r="AV86" s="76"/>
      <c r="BB86" s="76"/>
      <c r="BC86" s="38"/>
      <c r="BD86" s="38"/>
      <c r="BE86" s="38"/>
      <c r="BF86" s="38"/>
      <c r="BG86" s="38"/>
      <c r="BH86" s="38"/>
      <c r="BI86" s="38"/>
      <c r="BJ86" s="38"/>
      <c r="BK86" s="38"/>
    </row>
    <row r="87">
      <c r="L87" s="76"/>
      <c r="R87" s="76"/>
      <c r="X87" s="76"/>
      <c r="AD87" s="76"/>
      <c r="AJ87" s="76"/>
      <c r="AP87" s="76"/>
      <c r="AV87" s="76"/>
      <c r="BB87" s="76"/>
      <c r="BC87" s="38"/>
      <c r="BD87" s="38"/>
      <c r="BE87" s="38"/>
      <c r="BF87" s="38"/>
      <c r="BG87" s="38"/>
      <c r="BH87" s="38"/>
      <c r="BI87" s="38"/>
      <c r="BJ87" s="38"/>
      <c r="BK87" s="38"/>
    </row>
    <row r="88">
      <c r="L88" s="76"/>
      <c r="R88" s="76"/>
      <c r="X88" s="76"/>
      <c r="AD88" s="76"/>
      <c r="AJ88" s="76"/>
      <c r="AP88" s="76"/>
      <c r="AV88" s="76"/>
      <c r="BB88" s="76"/>
      <c r="BC88" s="38"/>
      <c r="BD88" s="38"/>
      <c r="BE88" s="38"/>
      <c r="BF88" s="38"/>
      <c r="BG88" s="38"/>
      <c r="BH88" s="38"/>
      <c r="BI88" s="38"/>
      <c r="BJ88" s="38"/>
      <c r="BK88" s="38"/>
    </row>
    <row r="89">
      <c r="L89" s="76"/>
      <c r="R89" s="76"/>
      <c r="X89" s="76"/>
      <c r="AD89" s="76"/>
      <c r="AJ89" s="76"/>
      <c r="AP89" s="76"/>
      <c r="AV89" s="76"/>
      <c r="BB89" s="76"/>
      <c r="BC89" s="38"/>
      <c r="BD89" s="38"/>
      <c r="BE89" s="38"/>
      <c r="BF89" s="38"/>
      <c r="BG89" s="38"/>
      <c r="BH89" s="38"/>
      <c r="BI89" s="38"/>
      <c r="BJ89" s="38"/>
      <c r="BK89" s="38"/>
    </row>
    <row r="90">
      <c r="L90" s="76"/>
      <c r="R90" s="76"/>
      <c r="X90" s="76"/>
      <c r="AD90" s="76"/>
      <c r="AJ90" s="76"/>
      <c r="AP90" s="76"/>
      <c r="AV90" s="76"/>
      <c r="BB90" s="76"/>
      <c r="BC90" s="38"/>
      <c r="BD90" s="38"/>
      <c r="BE90" s="38"/>
      <c r="BF90" s="38"/>
      <c r="BG90" s="38"/>
      <c r="BH90" s="38"/>
      <c r="BI90" s="38"/>
      <c r="BJ90" s="38"/>
      <c r="BK90" s="38"/>
    </row>
    <row r="91">
      <c r="L91" s="76"/>
      <c r="R91" s="76"/>
      <c r="X91" s="76"/>
      <c r="AD91" s="76"/>
      <c r="AJ91" s="76"/>
      <c r="AP91" s="76"/>
      <c r="AV91" s="76"/>
      <c r="BB91" s="76"/>
      <c r="BC91" s="38"/>
      <c r="BD91" s="38"/>
      <c r="BE91" s="38"/>
      <c r="BF91" s="38"/>
      <c r="BG91" s="38"/>
      <c r="BH91" s="38"/>
      <c r="BI91" s="38"/>
      <c r="BJ91" s="38"/>
      <c r="BK91" s="38"/>
    </row>
    <row r="92">
      <c r="L92" s="76"/>
      <c r="R92" s="76"/>
      <c r="X92" s="76"/>
      <c r="AD92" s="76"/>
      <c r="AJ92" s="76"/>
      <c r="AP92" s="76"/>
      <c r="AV92" s="76"/>
      <c r="BB92" s="76"/>
      <c r="BC92" s="38"/>
      <c r="BD92" s="38"/>
      <c r="BE92" s="38"/>
      <c r="BF92" s="38"/>
      <c r="BG92" s="38"/>
      <c r="BH92" s="38"/>
      <c r="BI92" s="38"/>
      <c r="BJ92" s="38"/>
      <c r="BK92" s="38"/>
    </row>
    <row r="93">
      <c r="L93" s="76"/>
      <c r="R93" s="76"/>
      <c r="X93" s="76"/>
      <c r="AD93" s="76"/>
      <c r="AJ93" s="76"/>
      <c r="AP93" s="76"/>
      <c r="AV93" s="76"/>
      <c r="BB93" s="76"/>
      <c r="BC93" s="38"/>
      <c r="BD93" s="38"/>
      <c r="BE93" s="38"/>
      <c r="BF93" s="38"/>
      <c r="BG93" s="38"/>
      <c r="BH93" s="38"/>
      <c r="BI93" s="38"/>
      <c r="BJ93" s="38"/>
      <c r="BK93" s="38"/>
    </row>
    <row r="94">
      <c r="L94" s="76"/>
      <c r="R94" s="76"/>
      <c r="X94" s="76"/>
      <c r="AD94" s="76"/>
      <c r="AJ94" s="76"/>
      <c r="AP94" s="76"/>
      <c r="AV94" s="76"/>
      <c r="BB94" s="76"/>
      <c r="BC94" s="38"/>
      <c r="BD94" s="38"/>
      <c r="BE94" s="38"/>
      <c r="BF94" s="38"/>
      <c r="BG94" s="38"/>
      <c r="BH94" s="38"/>
      <c r="BI94" s="38"/>
      <c r="BJ94" s="38"/>
      <c r="BK94" s="38"/>
    </row>
    <row r="95">
      <c r="L95" s="76"/>
      <c r="R95" s="76"/>
      <c r="X95" s="76"/>
      <c r="AD95" s="76"/>
      <c r="AJ95" s="76"/>
      <c r="AP95" s="76"/>
      <c r="AV95" s="76"/>
      <c r="BB95" s="76"/>
      <c r="BC95" s="38"/>
      <c r="BD95" s="38"/>
      <c r="BE95" s="38"/>
      <c r="BF95" s="38"/>
      <c r="BG95" s="38"/>
      <c r="BH95" s="38"/>
      <c r="BI95" s="38"/>
      <c r="BJ95" s="38"/>
      <c r="BK95" s="38"/>
    </row>
    <row r="96">
      <c r="L96" s="76"/>
      <c r="R96" s="76"/>
      <c r="X96" s="76"/>
      <c r="AD96" s="76"/>
      <c r="AJ96" s="76"/>
      <c r="AP96" s="76"/>
      <c r="AV96" s="76"/>
      <c r="BB96" s="76"/>
      <c r="BC96" s="38"/>
      <c r="BD96" s="38"/>
      <c r="BE96" s="38"/>
      <c r="BF96" s="38"/>
      <c r="BG96" s="38"/>
      <c r="BH96" s="38"/>
      <c r="BI96" s="38"/>
      <c r="BJ96" s="38"/>
      <c r="BK96" s="38"/>
    </row>
    <row r="97">
      <c r="L97" s="76"/>
      <c r="R97" s="76"/>
      <c r="X97" s="76"/>
      <c r="AD97" s="76"/>
      <c r="AJ97" s="76"/>
      <c r="AP97" s="76"/>
      <c r="AV97" s="76"/>
      <c r="BB97" s="76"/>
      <c r="BC97" s="38"/>
      <c r="BD97" s="38"/>
      <c r="BE97" s="38"/>
      <c r="BF97" s="38"/>
      <c r="BG97" s="38"/>
      <c r="BH97" s="38"/>
      <c r="BI97" s="38"/>
      <c r="BJ97" s="38"/>
      <c r="BK97" s="38"/>
    </row>
    <row r="98">
      <c r="L98" s="76"/>
      <c r="R98" s="76"/>
      <c r="X98" s="76"/>
      <c r="AD98" s="76"/>
      <c r="AJ98" s="76"/>
      <c r="AP98" s="76"/>
      <c r="AV98" s="76"/>
      <c r="BB98" s="76"/>
      <c r="BC98" s="38"/>
      <c r="BD98" s="38"/>
      <c r="BE98" s="38"/>
      <c r="BF98" s="38"/>
      <c r="BG98" s="38"/>
      <c r="BH98" s="38"/>
      <c r="BI98" s="38"/>
      <c r="BJ98" s="38"/>
      <c r="BK98" s="38"/>
    </row>
    <row r="99">
      <c r="L99" s="76"/>
      <c r="R99" s="76"/>
      <c r="X99" s="76"/>
      <c r="AD99" s="76"/>
      <c r="AJ99" s="76"/>
      <c r="AP99" s="76"/>
      <c r="AV99" s="76"/>
      <c r="BB99" s="76"/>
      <c r="BC99" s="38"/>
      <c r="BD99" s="38"/>
      <c r="BE99" s="38"/>
      <c r="BF99" s="38"/>
      <c r="BG99" s="38"/>
      <c r="BH99" s="38"/>
      <c r="BI99" s="38"/>
      <c r="BJ99" s="38"/>
      <c r="BK99" s="38"/>
    </row>
    <row r="100">
      <c r="L100" s="76"/>
      <c r="R100" s="76"/>
      <c r="X100" s="76"/>
      <c r="AD100" s="76"/>
      <c r="AJ100" s="76"/>
      <c r="AP100" s="76"/>
      <c r="AV100" s="76"/>
      <c r="BB100" s="76"/>
      <c r="BC100" s="38"/>
      <c r="BD100" s="38"/>
      <c r="BE100" s="38"/>
      <c r="BF100" s="38"/>
      <c r="BG100" s="38"/>
      <c r="BH100" s="38"/>
      <c r="BI100" s="38"/>
      <c r="BJ100" s="38"/>
      <c r="BK100" s="38"/>
    </row>
    <row r="101">
      <c r="L101" s="76"/>
      <c r="R101" s="76"/>
      <c r="X101" s="76"/>
      <c r="AD101" s="76"/>
      <c r="AJ101" s="76"/>
      <c r="AP101" s="76"/>
      <c r="AV101" s="76"/>
      <c r="BB101" s="76"/>
      <c r="BC101" s="38"/>
      <c r="BD101" s="38"/>
      <c r="BE101" s="38"/>
      <c r="BF101" s="38"/>
      <c r="BG101" s="38"/>
      <c r="BH101" s="38"/>
      <c r="BI101" s="38"/>
      <c r="BJ101" s="38"/>
      <c r="BK101" s="38"/>
    </row>
    <row r="102">
      <c r="L102" s="76"/>
      <c r="R102" s="76"/>
      <c r="X102" s="76"/>
      <c r="AD102" s="76"/>
      <c r="AJ102" s="76"/>
      <c r="AP102" s="76"/>
      <c r="AV102" s="76"/>
      <c r="BB102" s="76"/>
      <c r="BC102" s="38"/>
      <c r="BD102" s="38"/>
      <c r="BE102" s="38"/>
      <c r="BF102" s="38"/>
      <c r="BG102" s="38"/>
      <c r="BH102" s="38"/>
      <c r="BI102" s="38"/>
      <c r="BJ102" s="38"/>
      <c r="BK102" s="38"/>
    </row>
    <row r="103">
      <c r="L103" s="76"/>
      <c r="R103" s="76"/>
      <c r="X103" s="76"/>
      <c r="AD103" s="76"/>
      <c r="AJ103" s="76"/>
      <c r="AP103" s="76"/>
      <c r="AV103" s="76"/>
      <c r="BB103" s="76"/>
      <c r="BC103" s="38"/>
      <c r="BD103" s="38"/>
      <c r="BE103" s="38"/>
      <c r="BF103" s="38"/>
      <c r="BG103" s="38"/>
      <c r="BH103" s="38"/>
      <c r="BI103" s="38"/>
      <c r="BJ103" s="38"/>
      <c r="BK103" s="38"/>
    </row>
    <row r="104">
      <c r="L104" s="76"/>
      <c r="R104" s="76"/>
      <c r="X104" s="76"/>
      <c r="AD104" s="76"/>
      <c r="AJ104" s="76"/>
      <c r="AP104" s="76"/>
      <c r="AV104" s="76"/>
      <c r="BB104" s="76"/>
      <c r="BC104" s="38"/>
      <c r="BD104" s="38"/>
      <c r="BE104" s="38"/>
      <c r="BF104" s="38"/>
      <c r="BG104" s="38"/>
      <c r="BH104" s="38"/>
      <c r="BI104" s="38"/>
      <c r="BJ104" s="38"/>
      <c r="BK104" s="38"/>
    </row>
    <row r="105">
      <c r="L105" s="76"/>
      <c r="R105" s="76"/>
      <c r="X105" s="76"/>
      <c r="AD105" s="76"/>
      <c r="AJ105" s="76"/>
      <c r="AP105" s="76"/>
      <c r="AV105" s="76"/>
      <c r="BB105" s="76"/>
      <c r="BC105" s="38"/>
      <c r="BD105" s="38"/>
      <c r="BE105" s="38"/>
      <c r="BF105" s="38"/>
      <c r="BG105" s="38"/>
      <c r="BH105" s="38"/>
      <c r="BI105" s="38"/>
      <c r="BJ105" s="38"/>
      <c r="BK105" s="38"/>
    </row>
    <row r="106">
      <c r="L106" s="76"/>
      <c r="R106" s="76"/>
      <c r="X106" s="76"/>
      <c r="AD106" s="76"/>
      <c r="AJ106" s="76"/>
      <c r="AP106" s="76"/>
      <c r="AV106" s="76"/>
      <c r="BB106" s="76"/>
      <c r="BC106" s="38"/>
      <c r="BD106" s="38"/>
      <c r="BE106" s="38"/>
      <c r="BF106" s="38"/>
      <c r="BG106" s="38"/>
      <c r="BH106" s="38"/>
      <c r="BI106" s="38"/>
      <c r="BJ106" s="38"/>
      <c r="BK106" s="38"/>
    </row>
    <row r="107">
      <c r="L107" s="76"/>
      <c r="R107" s="76"/>
      <c r="X107" s="76"/>
      <c r="AD107" s="76"/>
      <c r="AJ107" s="76"/>
      <c r="AP107" s="76"/>
      <c r="AV107" s="76"/>
      <c r="BB107" s="76"/>
      <c r="BC107" s="38"/>
      <c r="BD107" s="38"/>
      <c r="BE107" s="38"/>
      <c r="BF107" s="38"/>
      <c r="BG107" s="38"/>
      <c r="BH107" s="38"/>
      <c r="BI107" s="38"/>
      <c r="BJ107" s="38"/>
      <c r="BK107" s="38"/>
    </row>
    <row r="108">
      <c r="L108" s="76"/>
      <c r="R108" s="76"/>
      <c r="X108" s="76"/>
      <c r="AD108" s="76"/>
      <c r="AJ108" s="76"/>
      <c r="AP108" s="76"/>
      <c r="AV108" s="76"/>
      <c r="BB108" s="76"/>
      <c r="BC108" s="38"/>
      <c r="BD108" s="38"/>
      <c r="BE108" s="38"/>
      <c r="BF108" s="38"/>
      <c r="BG108" s="38"/>
      <c r="BH108" s="38"/>
      <c r="BI108" s="38"/>
      <c r="BJ108" s="38"/>
      <c r="BK108" s="38"/>
    </row>
    <row r="109">
      <c r="L109" s="76"/>
      <c r="R109" s="76"/>
      <c r="X109" s="76"/>
      <c r="AD109" s="76"/>
      <c r="AJ109" s="76"/>
      <c r="AP109" s="76"/>
      <c r="AV109" s="76"/>
      <c r="BB109" s="76"/>
      <c r="BC109" s="38"/>
      <c r="BD109" s="38"/>
      <c r="BE109" s="38"/>
      <c r="BF109" s="38"/>
      <c r="BG109" s="38"/>
      <c r="BH109" s="38"/>
      <c r="BI109" s="38"/>
      <c r="BJ109" s="38"/>
      <c r="BK109" s="38"/>
    </row>
    <row r="110">
      <c r="L110" s="76"/>
      <c r="R110" s="76"/>
      <c r="X110" s="76"/>
      <c r="AD110" s="76"/>
      <c r="AJ110" s="76"/>
      <c r="AP110" s="76"/>
      <c r="AV110" s="76"/>
      <c r="BB110" s="76"/>
      <c r="BC110" s="38"/>
      <c r="BD110" s="38"/>
      <c r="BE110" s="38"/>
      <c r="BF110" s="38"/>
      <c r="BG110" s="38"/>
      <c r="BH110" s="38"/>
      <c r="BI110" s="38"/>
      <c r="BJ110" s="38"/>
      <c r="BK110" s="38"/>
    </row>
    <row r="111">
      <c r="L111" s="76"/>
      <c r="R111" s="76"/>
      <c r="X111" s="76"/>
      <c r="AD111" s="76"/>
      <c r="AJ111" s="76"/>
      <c r="AP111" s="76"/>
      <c r="AV111" s="76"/>
      <c r="BB111" s="76"/>
      <c r="BC111" s="38"/>
      <c r="BD111" s="38"/>
      <c r="BE111" s="38"/>
      <c r="BF111" s="38"/>
      <c r="BG111" s="38"/>
      <c r="BH111" s="38"/>
      <c r="BI111" s="38"/>
      <c r="BJ111" s="38"/>
      <c r="BK111" s="38"/>
    </row>
    <row r="112">
      <c r="L112" s="76"/>
      <c r="R112" s="76"/>
      <c r="X112" s="76"/>
      <c r="AD112" s="76"/>
      <c r="AJ112" s="76"/>
      <c r="AP112" s="76"/>
      <c r="AV112" s="76"/>
      <c r="BB112" s="76"/>
      <c r="BC112" s="38"/>
      <c r="BD112" s="38"/>
      <c r="BE112" s="38"/>
      <c r="BF112" s="38"/>
      <c r="BG112" s="38"/>
      <c r="BH112" s="38"/>
      <c r="BI112" s="38"/>
      <c r="BJ112" s="38"/>
      <c r="BK112" s="38"/>
    </row>
    <row r="113">
      <c r="L113" s="76"/>
      <c r="R113" s="76"/>
      <c r="X113" s="76"/>
      <c r="AD113" s="76"/>
      <c r="AJ113" s="76"/>
      <c r="AP113" s="76"/>
      <c r="AV113" s="76"/>
      <c r="BB113" s="76"/>
      <c r="BC113" s="38"/>
      <c r="BD113" s="38"/>
      <c r="BE113" s="38"/>
      <c r="BF113" s="38"/>
      <c r="BG113" s="38"/>
      <c r="BH113" s="38"/>
      <c r="BI113" s="38"/>
      <c r="BJ113" s="38"/>
      <c r="BK113" s="38"/>
    </row>
    <row r="114">
      <c r="L114" s="76"/>
      <c r="R114" s="76"/>
      <c r="X114" s="76"/>
      <c r="AD114" s="76"/>
      <c r="AJ114" s="76"/>
      <c r="AP114" s="76"/>
      <c r="AV114" s="76"/>
      <c r="BB114" s="76"/>
      <c r="BC114" s="38"/>
      <c r="BD114" s="38"/>
      <c r="BE114" s="38"/>
      <c r="BF114" s="38"/>
      <c r="BG114" s="38"/>
      <c r="BH114" s="38"/>
      <c r="BI114" s="38"/>
      <c r="BJ114" s="38"/>
      <c r="BK114" s="38"/>
    </row>
    <row r="115">
      <c r="L115" s="76"/>
      <c r="R115" s="76"/>
      <c r="X115" s="76"/>
      <c r="AD115" s="76"/>
      <c r="AJ115" s="76"/>
      <c r="AP115" s="76"/>
      <c r="AV115" s="76"/>
      <c r="BB115" s="76"/>
      <c r="BC115" s="38"/>
      <c r="BD115" s="38"/>
      <c r="BE115" s="38"/>
      <c r="BF115" s="38"/>
      <c r="BG115" s="38"/>
      <c r="BH115" s="38"/>
      <c r="BI115" s="38"/>
      <c r="BJ115" s="38"/>
      <c r="BK115" s="38"/>
    </row>
    <row r="116">
      <c r="L116" s="76"/>
      <c r="R116" s="76"/>
      <c r="X116" s="76"/>
      <c r="AD116" s="76"/>
      <c r="AJ116" s="76"/>
      <c r="AP116" s="76"/>
      <c r="AV116" s="76"/>
      <c r="BB116" s="76"/>
      <c r="BC116" s="38"/>
      <c r="BD116" s="38"/>
      <c r="BE116" s="38"/>
      <c r="BF116" s="38"/>
      <c r="BG116" s="38"/>
      <c r="BH116" s="38"/>
      <c r="BI116" s="38"/>
      <c r="BJ116" s="38"/>
      <c r="BK116" s="38"/>
    </row>
    <row r="117">
      <c r="L117" s="76"/>
      <c r="R117" s="76"/>
      <c r="X117" s="76"/>
      <c r="AD117" s="76"/>
      <c r="AJ117" s="76"/>
      <c r="AP117" s="76"/>
      <c r="AV117" s="76"/>
      <c r="BB117" s="76"/>
      <c r="BC117" s="38"/>
      <c r="BD117" s="38"/>
      <c r="BE117" s="38"/>
      <c r="BF117" s="38"/>
      <c r="BG117" s="38"/>
      <c r="BH117" s="38"/>
      <c r="BI117" s="38"/>
      <c r="BJ117" s="38"/>
      <c r="BK117" s="38"/>
    </row>
    <row r="118">
      <c r="L118" s="76"/>
      <c r="R118" s="76"/>
      <c r="X118" s="76"/>
      <c r="AD118" s="76"/>
      <c r="AJ118" s="76"/>
      <c r="AP118" s="76"/>
      <c r="AV118" s="76"/>
      <c r="BB118" s="76"/>
      <c r="BC118" s="38"/>
      <c r="BD118" s="38"/>
      <c r="BE118" s="38"/>
      <c r="BF118" s="38"/>
      <c r="BG118" s="38"/>
      <c r="BH118" s="38"/>
      <c r="BI118" s="38"/>
      <c r="BJ118" s="38"/>
      <c r="BK118" s="38"/>
    </row>
    <row r="119">
      <c r="L119" s="76"/>
      <c r="R119" s="76"/>
      <c r="X119" s="76"/>
      <c r="AD119" s="76"/>
      <c r="AJ119" s="76"/>
      <c r="AP119" s="76"/>
      <c r="AV119" s="76"/>
      <c r="BB119" s="76"/>
      <c r="BC119" s="38"/>
      <c r="BD119" s="38"/>
      <c r="BE119" s="38"/>
      <c r="BF119" s="38"/>
      <c r="BG119" s="38"/>
      <c r="BH119" s="38"/>
      <c r="BI119" s="38"/>
      <c r="BJ119" s="38"/>
      <c r="BK119" s="38"/>
    </row>
    <row r="120">
      <c r="L120" s="76"/>
      <c r="R120" s="76"/>
      <c r="X120" s="76"/>
      <c r="AD120" s="76"/>
      <c r="AJ120" s="76"/>
      <c r="AP120" s="76"/>
      <c r="AV120" s="76"/>
      <c r="BB120" s="76"/>
      <c r="BC120" s="38"/>
      <c r="BD120" s="38"/>
      <c r="BE120" s="38"/>
      <c r="BF120" s="38"/>
      <c r="BG120" s="38"/>
      <c r="BH120" s="38"/>
      <c r="BI120" s="38"/>
      <c r="BJ120" s="38"/>
      <c r="BK120" s="38"/>
    </row>
    <row r="121">
      <c r="L121" s="76"/>
      <c r="R121" s="76"/>
      <c r="X121" s="76"/>
      <c r="AD121" s="76"/>
      <c r="AJ121" s="76"/>
      <c r="AP121" s="76"/>
      <c r="AV121" s="76"/>
      <c r="BB121" s="76"/>
      <c r="BC121" s="38"/>
      <c r="BD121" s="38"/>
      <c r="BE121" s="38"/>
      <c r="BF121" s="38"/>
      <c r="BG121" s="38"/>
      <c r="BH121" s="38"/>
      <c r="BI121" s="38"/>
      <c r="BJ121" s="38"/>
      <c r="BK121" s="38"/>
    </row>
    <row r="122">
      <c r="L122" s="76"/>
      <c r="R122" s="76"/>
      <c r="X122" s="76"/>
      <c r="AD122" s="76"/>
      <c r="AJ122" s="76"/>
      <c r="AP122" s="76"/>
      <c r="AV122" s="76"/>
      <c r="BB122" s="76"/>
      <c r="BC122" s="38"/>
      <c r="BD122" s="38"/>
      <c r="BE122" s="38"/>
      <c r="BF122" s="38"/>
      <c r="BG122" s="38"/>
      <c r="BH122" s="38"/>
      <c r="BI122" s="38"/>
      <c r="BJ122" s="38"/>
      <c r="BK122" s="38"/>
    </row>
    <row r="123">
      <c r="L123" s="76"/>
      <c r="R123" s="76"/>
      <c r="X123" s="76"/>
      <c r="AD123" s="76"/>
      <c r="AJ123" s="76"/>
      <c r="AP123" s="76"/>
      <c r="AV123" s="76"/>
      <c r="BB123" s="76"/>
      <c r="BC123" s="38"/>
      <c r="BD123" s="38"/>
      <c r="BE123" s="38"/>
      <c r="BF123" s="38"/>
      <c r="BG123" s="38"/>
      <c r="BH123" s="38"/>
      <c r="BI123" s="38"/>
      <c r="BJ123" s="38"/>
      <c r="BK123" s="38"/>
    </row>
    <row r="124">
      <c r="L124" s="76"/>
      <c r="R124" s="76"/>
      <c r="X124" s="76"/>
      <c r="AD124" s="76"/>
      <c r="AJ124" s="76"/>
      <c r="AP124" s="76"/>
      <c r="AV124" s="76"/>
      <c r="BB124" s="76"/>
      <c r="BC124" s="38"/>
      <c r="BD124" s="38"/>
      <c r="BE124" s="38"/>
      <c r="BF124" s="38"/>
      <c r="BG124" s="38"/>
      <c r="BH124" s="38"/>
      <c r="BI124" s="38"/>
      <c r="BJ124" s="38"/>
      <c r="BK124" s="38"/>
    </row>
    <row r="125">
      <c r="L125" s="76"/>
      <c r="R125" s="76"/>
      <c r="X125" s="76"/>
      <c r="AD125" s="76"/>
      <c r="AJ125" s="76"/>
      <c r="AP125" s="76"/>
      <c r="AV125" s="76"/>
      <c r="BB125" s="76"/>
      <c r="BC125" s="38"/>
      <c r="BD125" s="38"/>
      <c r="BE125" s="38"/>
      <c r="BF125" s="38"/>
      <c r="BG125" s="38"/>
      <c r="BH125" s="38"/>
      <c r="BI125" s="38"/>
      <c r="BJ125" s="38"/>
      <c r="BK125" s="38"/>
    </row>
    <row r="126">
      <c r="L126" s="76"/>
      <c r="R126" s="76"/>
      <c r="X126" s="76"/>
      <c r="AD126" s="76"/>
      <c r="AJ126" s="76"/>
      <c r="AP126" s="76"/>
      <c r="AV126" s="76"/>
      <c r="BB126" s="76"/>
      <c r="BC126" s="38"/>
      <c r="BD126" s="38"/>
      <c r="BE126" s="38"/>
      <c r="BF126" s="38"/>
      <c r="BG126" s="38"/>
      <c r="BH126" s="38"/>
      <c r="BI126" s="38"/>
      <c r="BJ126" s="38"/>
      <c r="BK126" s="38"/>
    </row>
    <row r="127">
      <c r="L127" s="76"/>
      <c r="R127" s="76"/>
      <c r="X127" s="76"/>
      <c r="AD127" s="76"/>
      <c r="AJ127" s="76"/>
      <c r="AP127" s="76"/>
      <c r="AV127" s="76"/>
      <c r="BB127" s="76"/>
      <c r="BC127" s="38"/>
      <c r="BD127" s="38"/>
      <c r="BE127" s="38"/>
      <c r="BF127" s="38"/>
      <c r="BG127" s="38"/>
      <c r="BH127" s="38"/>
      <c r="BI127" s="38"/>
      <c r="BJ127" s="38"/>
      <c r="BK127" s="38"/>
    </row>
    <row r="128">
      <c r="L128" s="76"/>
      <c r="R128" s="76"/>
      <c r="X128" s="76"/>
      <c r="AD128" s="76"/>
      <c r="AJ128" s="76"/>
      <c r="AP128" s="76"/>
      <c r="AV128" s="76"/>
      <c r="BB128" s="76"/>
      <c r="BC128" s="38"/>
      <c r="BD128" s="38"/>
      <c r="BE128" s="38"/>
      <c r="BF128" s="38"/>
      <c r="BG128" s="38"/>
      <c r="BH128" s="38"/>
      <c r="BI128" s="38"/>
      <c r="BJ128" s="38"/>
      <c r="BK128" s="38"/>
    </row>
    <row r="129">
      <c r="L129" s="76"/>
      <c r="R129" s="76"/>
      <c r="X129" s="76"/>
      <c r="AD129" s="76"/>
      <c r="AJ129" s="76"/>
      <c r="AP129" s="76"/>
      <c r="AV129" s="76"/>
      <c r="BB129" s="76"/>
      <c r="BC129" s="38"/>
      <c r="BD129" s="38"/>
      <c r="BE129" s="38"/>
      <c r="BF129" s="38"/>
      <c r="BG129" s="38"/>
      <c r="BH129" s="38"/>
      <c r="BI129" s="38"/>
      <c r="BJ129" s="38"/>
      <c r="BK129" s="38"/>
    </row>
    <row r="130">
      <c r="L130" s="76"/>
      <c r="R130" s="76"/>
      <c r="X130" s="76"/>
      <c r="AD130" s="76"/>
      <c r="AJ130" s="76"/>
      <c r="AP130" s="76"/>
      <c r="AV130" s="76"/>
      <c r="BB130" s="76"/>
      <c r="BC130" s="38"/>
      <c r="BD130" s="38"/>
      <c r="BE130" s="38"/>
      <c r="BF130" s="38"/>
      <c r="BG130" s="38"/>
      <c r="BH130" s="38"/>
      <c r="BI130" s="38"/>
      <c r="BJ130" s="38"/>
      <c r="BK130" s="38"/>
    </row>
    <row r="131">
      <c r="L131" s="76"/>
      <c r="R131" s="76"/>
      <c r="X131" s="76"/>
      <c r="AD131" s="76"/>
      <c r="AJ131" s="76"/>
      <c r="AP131" s="76"/>
      <c r="AV131" s="76"/>
      <c r="BB131" s="76"/>
      <c r="BC131" s="38"/>
      <c r="BD131" s="38"/>
      <c r="BE131" s="38"/>
      <c r="BF131" s="38"/>
      <c r="BG131" s="38"/>
      <c r="BH131" s="38"/>
      <c r="BI131" s="38"/>
      <c r="BJ131" s="38"/>
      <c r="BK131" s="38"/>
    </row>
    <row r="132">
      <c r="L132" s="76"/>
      <c r="R132" s="76"/>
      <c r="X132" s="76"/>
      <c r="AD132" s="76"/>
      <c r="AJ132" s="76"/>
      <c r="AP132" s="76"/>
      <c r="AV132" s="76"/>
      <c r="BB132" s="76"/>
      <c r="BC132" s="38"/>
      <c r="BD132" s="38"/>
      <c r="BE132" s="38"/>
      <c r="BF132" s="38"/>
      <c r="BG132" s="38"/>
      <c r="BH132" s="38"/>
      <c r="BI132" s="38"/>
      <c r="BJ132" s="38"/>
      <c r="BK132" s="38"/>
    </row>
    <row r="133">
      <c r="L133" s="76"/>
      <c r="R133" s="76"/>
      <c r="X133" s="76"/>
      <c r="AD133" s="76"/>
      <c r="AJ133" s="76"/>
      <c r="AP133" s="76"/>
      <c r="AV133" s="76"/>
      <c r="BB133" s="76"/>
      <c r="BC133" s="38"/>
      <c r="BD133" s="38"/>
      <c r="BE133" s="38"/>
      <c r="BF133" s="38"/>
      <c r="BG133" s="38"/>
      <c r="BH133" s="38"/>
      <c r="BI133" s="38"/>
      <c r="BJ133" s="38"/>
      <c r="BK133" s="38"/>
    </row>
    <row r="134">
      <c r="L134" s="76"/>
      <c r="R134" s="76"/>
      <c r="X134" s="76"/>
      <c r="AD134" s="76"/>
      <c r="AJ134" s="76"/>
      <c r="AP134" s="76"/>
      <c r="AV134" s="76"/>
      <c r="BB134" s="76"/>
      <c r="BC134" s="38"/>
      <c r="BD134" s="38"/>
      <c r="BE134" s="38"/>
      <c r="BF134" s="38"/>
      <c r="BG134" s="38"/>
      <c r="BH134" s="38"/>
      <c r="BI134" s="38"/>
      <c r="BJ134" s="38"/>
      <c r="BK134" s="38"/>
    </row>
    <row r="135">
      <c r="L135" s="76"/>
      <c r="R135" s="76"/>
      <c r="X135" s="76"/>
      <c r="AD135" s="76"/>
      <c r="AJ135" s="76"/>
      <c r="AP135" s="76"/>
      <c r="AV135" s="76"/>
      <c r="BB135" s="76"/>
      <c r="BC135" s="38"/>
      <c r="BD135" s="38"/>
      <c r="BE135" s="38"/>
      <c r="BF135" s="38"/>
      <c r="BG135" s="38"/>
      <c r="BH135" s="38"/>
      <c r="BI135" s="38"/>
      <c r="BJ135" s="38"/>
      <c r="BK135" s="38"/>
    </row>
    <row r="136">
      <c r="L136" s="76"/>
      <c r="R136" s="76"/>
      <c r="X136" s="76"/>
      <c r="AD136" s="76"/>
      <c r="AJ136" s="76"/>
      <c r="AP136" s="76"/>
      <c r="AV136" s="76"/>
      <c r="BB136" s="76"/>
      <c r="BC136" s="38"/>
      <c r="BD136" s="38"/>
      <c r="BE136" s="38"/>
      <c r="BF136" s="38"/>
      <c r="BG136" s="38"/>
      <c r="BH136" s="38"/>
      <c r="BI136" s="38"/>
      <c r="BJ136" s="38"/>
      <c r="BK136" s="38"/>
    </row>
    <row r="137">
      <c r="L137" s="76"/>
      <c r="R137" s="76"/>
      <c r="X137" s="76"/>
      <c r="AD137" s="76"/>
      <c r="AJ137" s="76"/>
      <c r="AP137" s="76"/>
      <c r="AV137" s="76"/>
      <c r="BB137" s="76"/>
      <c r="BC137" s="38"/>
      <c r="BD137" s="38"/>
      <c r="BE137" s="38"/>
      <c r="BF137" s="38"/>
      <c r="BG137" s="38"/>
      <c r="BH137" s="38"/>
      <c r="BI137" s="38"/>
      <c r="BJ137" s="38"/>
      <c r="BK137" s="38"/>
    </row>
    <row r="138">
      <c r="L138" s="76"/>
      <c r="R138" s="76"/>
      <c r="X138" s="76"/>
      <c r="AD138" s="76"/>
      <c r="AJ138" s="76"/>
      <c r="AP138" s="76"/>
      <c r="AV138" s="76"/>
      <c r="BB138" s="76"/>
      <c r="BC138" s="38"/>
      <c r="BD138" s="38"/>
      <c r="BE138" s="38"/>
      <c r="BF138" s="38"/>
      <c r="BG138" s="38"/>
      <c r="BH138" s="38"/>
      <c r="BI138" s="38"/>
      <c r="BJ138" s="38"/>
      <c r="BK138" s="38"/>
    </row>
    <row r="139">
      <c r="L139" s="76"/>
      <c r="R139" s="76"/>
      <c r="X139" s="76"/>
      <c r="AD139" s="76"/>
      <c r="AJ139" s="76"/>
      <c r="AP139" s="76"/>
      <c r="AV139" s="76"/>
      <c r="BB139" s="76"/>
      <c r="BC139" s="38"/>
      <c r="BD139" s="38"/>
      <c r="BE139" s="38"/>
      <c r="BF139" s="38"/>
      <c r="BG139" s="38"/>
      <c r="BH139" s="38"/>
      <c r="BI139" s="38"/>
      <c r="BJ139" s="38"/>
      <c r="BK139" s="38"/>
    </row>
    <row r="140">
      <c r="L140" s="76"/>
      <c r="R140" s="76"/>
      <c r="X140" s="76"/>
      <c r="AD140" s="76"/>
      <c r="AJ140" s="76"/>
      <c r="AP140" s="76"/>
      <c r="AV140" s="76"/>
      <c r="BB140" s="76"/>
      <c r="BC140" s="38"/>
      <c r="BD140" s="38"/>
      <c r="BE140" s="38"/>
      <c r="BF140" s="38"/>
      <c r="BG140" s="38"/>
      <c r="BH140" s="38"/>
      <c r="BI140" s="38"/>
      <c r="BJ140" s="38"/>
      <c r="BK140" s="38"/>
    </row>
    <row r="141">
      <c r="L141" s="76"/>
      <c r="R141" s="76"/>
      <c r="X141" s="76"/>
      <c r="AD141" s="76"/>
      <c r="AJ141" s="76"/>
      <c r="AP141" s="76"/>
      <c r="AV141" s="76"/>
      <c r="BB141" s="76"/>
      <c r="BC141" s="38"/>
      <c r="BD141" s="38"/>
      <c r="BE141" s="38"/>
      <c r="BF141" s="38"/>
      <c r="BG141" s="38"/>
      <c r="BH141" s="38"/>
      <c r="BI141" s="38"/>
      <c r="BJ141" s="38"/>
      <c r="BK141" s="38"/>
    </row>
    <row r="142">
      <c r="L142" s="76"/>
      <c r="R142" s="76"/>
      <c r="X142" s="76"/>
      <c r="AD142" s="76"/>
      <c r="AJ142" s="76"/>
      <c r="AP142" s="76"/>
      <c r="AV142" s="76"/>
      <c r="BB142" s="76"/>
      <c r="BC142" s="38"/>
      <c r="BD142" s="38"/>
      <c r="BE142" s="38"/>
      <c r="BF142" s="38"/>
      <c r="BG142" s="38"/>
      <c r="BH142" s="38"/>
      <c r="BI142" s="38"/>
      <c r="BJ142" s="38"/>
      <c r="BK142" s="38"/>
    </row>
    <row r="143">
      <c r="L143" s="76"/>
      <c r="R143" s="76"/>
      <c r="X143" s="76"/>
      <c r="AD143" s="76"/>
      <c r="AJ143" s="76"/>
      <c r="AP143" s="76"/>
      <c r="AV143" s="76"/>
      <c r="BB143" s="76"/>
      <c r="BC143" s="38"/>
      <c r="BD143" s="38"/>
      <c r="BE143" s="38"/>
      <c r="BF143" s="38"/>
      <c r="BG143" s="38"/>
      <c r="BH143" s="38"/>
      <c r="BI143" s="38"/>
      <c r="BJ143" s="38"/>
      <c r="BK143" s="38"/>
    </row>
    <row r="144">
      <c r="L144" s="76"/>
      <c r="R144" s="76"/>
      <c r="X144" s="76"/>
      <c r="AD144" s="76"/>
      <c r="AJ144" s="76"/>
      <c r="AP144" s="76"/>
      <c r="AV144" s="76"/>
      <c r="BB144" s="76"/>
      <c r="BC144" s="38"/>
      <c r="BD144" s="38"/>
      <c r="BE144" s="38"/>
      <c r="BF144" s="38"/>
      <c r="BG144" s="38"/>
      <c r="BH144" s="38"/>
      <c r="BI144" s="38"/>
      <c r="BJ144" s="38"/>
      <c r="BK144" s="38"/>
    </row>
    <row r="145">
      <c r="L145" s="76"/>
      <c r="R145" s="76"/>
      <c r="X145" s="76"/>
      <c r="AD145" s="76"/>
      <c r="AJ145" s="76"/>
      <c r="AP145" s="76"/>
      <c r="AV145" s="76"/>
      <c r="BB145" s="76"/>
      <c r="BC145" s="38"/>
      <c r="BD145" s="38"/>
      <c r="BE145" s="38"/>
      <c r="BF145" s="38"/>
      <c r="BG145" s="38"/>
      <c r="BH145" s="38"/>
      <c r="BI145" s="38"/>
      <c r="BJ145" s="38"/>
      <c r="BK145" s="38"/>
    </row>
    <row r="146">
      <c r="L146" s="76"/>
      <c r="R146" s="76"/>
      <c r="X146" s="76"/>
      <c r="AD146" s="76"/>
      <c r="AJ146" s="76"/>
      <c r="AP146" s="76"/>
      <c r="AV146" s="76"/>
      <c r="BB146" s="76"/>
      <c r="BC146" s="38"/>
      <c r="BD146" s="38"/>
      <c r="BE146" s="38"/>
      <c r="BF146" s="38"/>
      <c r="BG146" s="38"/>
      <c r="BH146" s="38"/>
      <c r="BI146" s="38"/>
      <c r="BJ146" s="38"/>
      <c r="BK146" s="38"/>
    </row>
    <row r="147">
      <c r="L147" s="76"/>
      <c r="R147" s="76"/>
      <c r="X147" s="76"/>
      <c r="AD147" s="76"/>
      <c r="AJ147" s="76"/>
      <c r="AP147" s="76"/>
      <c r="AV147" s="76"/>
      <c r="BB147" s="76"/>
      <c r="BC147" s="38"/>
      <c r="BD147" s="38"/>
      <c r="BE147" s="38"/>
      <c r="BF147" s="38"/>
      <c r="BG147" s="38"/>
      <c r="BH147" s="38"/>
      <c r="BI147" s="38"/>
      <c r="BJ147" s="38"/>
      <c r="BK147" s="38"/>
    </row>
    <row r="148">
      <c r="L148" s="76"/>
      <c r="R148" s="76"/>
      <c r="X148" s="76"/>
      <c r="AD148" s="76"/>
      <c r="AJ148" s="76"/>
      <c r="AP148" s="76"/>
      <c r="AV148" s="76"/>
      <c r="BB148" s="76"/>
      <c r="BC148" s="38"/>
      <c r="BD148" s="38"/>
      <c r="BE148" s="38"/>
      <c r="BF148" s="38"/>
      <c r="BG148" s="38"/>
      <c r="BH148" s="38"/>
      <c r="BI148" s="38"/>
      <c r="BJ148" s="38"/>
      <c r="BK148" s="38"/>
    </row>
    <row r="149">
      <c r="L149" s="76"/>
      <c r="R149" s="76"/>
      <c r="X149" s="76"/>
      <c r="AD149" s="76"/>
      <c r="AJ149" s="76"/>
      <c r="AP149" s="76"/>
      <c r="AV149" s="76"/>
      <c r="BB149" s="76"/>
      <c r="BC149" s="38"/>
      <c r="BD149" s="38"/>
      <c r="BE149" s="38"/>
      <c r="BF149" s="38"/>
      <c r="BG149" s="38"/>
      <c r="BH149" s="38"/>
      <c r="BI149" s="38"/>
      <c r="BJ149" s="38"/>
      <c r="BK149" s="38"/>
    </row>
    <row r="150">
      <c r="L150" s="76"/>
      <c r="R150" s="76"/>
      <c r="X150" s="76"/>
      <c r="AD150" s="76"/>
      <c r="AJ150" s="76"/>
      <c r="AP150" s="76"/>
      <c r="AV150" s="76"/>
      <c r="BB150" s="76"/>
      <c r="BC150" s="38"/>
      <c r="BD150" s="38"/>
      <c r="BE150" s="38"/>
      <c r="BF150" s="38"/>
      <c r="BG150" s="38"/>
      <c r="BH150" s="38"/>
      <c r="BI150" s="38"/>
      <c r="BJ150" s="38"/>
      <c r="BK150" s="38"/>
    </row>
    <row r="151">
      <c r="L151" s="76"/>
      <c r="R151" s="76"/>
      <c r="X151" s="76"/>
      <c r="AD151" s="76"/>
      <c r="AJ151" s="76"/>
      <c r="AP151" s="76"/>
      <c r="AV151" s="76"/>
      <c r="BB151" s="76"/>
      <c r="BC151" s="38"/>
      <c r="BD151" s="38"/>
      <c r="BE151" s="38"/>
      <c r="BF151" s="38"/>
      <c r="BG151" s="38"/>
      <c r="BH151" s="38"/>
      <c r="BI151" s="38"/>
      <c r="BJ151" s="38"/>
      <c r="BK151" s="38"/>
    </row>
    <row r="152">
      <c r="L152" s="76"/>
      <c r="R152" s="76"/>
      <c r="X152" s="76"/>
      <c r="AD152" s="76"/>
      <c r="AJ152" s="76"/>
      <c r="AP152" s="76"/>
      <c r="AV152" s="76"/>
      <c r="BB152" s="76"/>
      <c r="BC152" s="38"/>
      <c r="BD152" s="38"/>
      <c r="BE152" s="38"/>
      <c r="BF152" s="38"/>
      <c r="BG152" s="38"/>
      <c r="BH152" s="38"/>
      <c r="BI152" s="38"/>
      <c r="BJ152" s="38"/>
      <c r="BK152" s="38"/>
    </row>
    <row r="153">
      <c r="L153" s="76"/>
      <c r="R153" s="76"/>
      <c r="X153" s="76"/>
      <c r="AD153" s="76"/>
      <c r="AJ153" s="76"/>
      <c r="AP153" s="76"/>
      <c r="AV153" s="76"/>
      <c r="BB153" s="76"/>
      <c r="BC153" s="38"/>
      <c r="BD153" s="38"/>
      <c r="BE153" s="38"/>
      <c r="BF153" s="38"/>
      <c r="BG153" s="38"/>
      <c r="BH153" s="38"/>
      <c r="BI153" s="38"/>
      <c r="BJ153" s="38"/>
      <c r="BK153" s="38"/>
    </row>
    <row r="154">
      <c r="L154" s="76"/>
      <c r="R154" s="76"/>
      <c r="X154" s="76"/>
      <c r="AD154" s="76"/>
      <c r="AJ154" s="76"/>
      <c r="AP154" s="76"/>
      <c r="AV154" s="76"/>
      <c r="BB154" s="76"/>
      <c r="BC154" s="38"/>
      <c r="BD154" s="38"/>
      <c r="BE154" s="38"/>
      <c r="BF154" s="38"/>
      <c r="BG154" s="38"/>
      <c r="BH154" s="38"/>
      <c r="BI154" s="38"/>
      <c r="BJ154" s="38"/>
      <c r="BK154" s="38"/>
    </row>
    <row r="155">
      <c r="L155" s="76"/>
      <c r="R155" s="76"/>
      <c r="X155" s="76"/>
      <c r="AD155" s="76"/>
      <c r="AJ155" s="76"/>
      <c r="AP155" s="76"/>
      <c r="AV155" s="76"/>
      <c r="BB155" s="76"/>
      <c r="BC155" s="38"/>
      <c r="BD155" s="38"/>
      <c r="BE155" s="38"/>
      <c r="BF155" s="38"/>
      <c r="BG155" s="38"/>
      <c r="BH155" s="38"/>
      <c r="BI155" s="38"/>
      <c r="BJ155" s="38"/>
      <c r="BK155" s="38"/>
    </row>
    <row r="156">
      <c r="L156" s="76"/>
      <c r="R156" s="76"/>
      <c r="X156" s="76"/>
      <c r="AD156" s="76"/>
      <c r="AJ156" s="76"/>
      <c r="AP156" s="76"/>
      <c r="AV156" s="76"/>
      <c r="BB156" s="76"/>
      <c r="BC156" s="38"/>
      <c r="BD156" s="38"/>
      <c r="BE156" s="38"/>
      <c r="BF156" s="38"/>
      <c r="BG156" s="38"/>
      <c r="BH156" s="38"/>
      <c r="BI156" s="38"/>
      <c r="BJ156" s="38"/>
      <c r="BK156" s="38"/>
    </row>
    <row r="157">
      <c r="L157" s="76"/>
      <c r="R157" s="76"/>
      <c r="X157" s="76"/>
      <c r="AD157" s="76"/>
      <c r="AJ157" s="76"/>
      <c r="AP157" s="76"/>
      <c r="AV157" s="76"/>
      <c r="BB157" s="76"/>
      <c r="BC157" s="38"/>
      <c r="BD157" s="38"/>
      <c r="BE157" s="38"/>
      <c r="BF157" s="38"/>
      <c r="BG157" s="38"/>
      <c r="BH157" s="38"/>
      <c r="BI157" s="38"/>
      <c r="BJ157" s="38"/>
      <c r="BK157" s="38"/>
    </row>
    <row r="158">
      <c r="L158" s="76"/>
      <c r="R158" s="76"/>
      <c r="X158" s="76"/>
      <c r="AD158" s="76"/>
      <c r="AJ158" s="76"/>
      <c r="AP158" s="76"/>
      <c r="AV158" s="76"/>
      <c r="BB158" s="76"/>
      <c r="BC158" s="38"/>
      <c r="BD158" s="38"/>
      <c r="BE158" s="38"/>
      <c r="BF158" s="38"/>
      <c r="BG158" s="38"/>
      <c r="BH158" s="38"/>
      <c r="BI158" s="38"/>
      <c r="BJ158" s="38"/>
      <c r="BK158" s="38"/>
    </row>
    <row r="159">
      <c r="L159" s="76"/>
      <c r="R159" s="76"/>
      <c r="X159" s="76"/>
      <c r="AD159" s="76"/>
      <c r="AJ159" s="76"/>
      <c r="AP159" s="76"/>
      <c r="AV159" s="76"/>
      <c r="BB159" s="76"/>
      <c r="BC159" s="38"/>
      <c r="BD159" s="38"/>
      <c r="BE159" s="38"/>
      <c r="BF159" s="38"/>
      <c r="BG159" s="38"/>
      <c r="BH159" s="38"/>
      <c r="BI159" s="38"/>
      <c r="BJ159" s="38"/>
      <c r="BK159" s="38"/>
    </row>
    <row r="160">
      <c r="L160" s="76"/>
      <c r="R160" s="76"/>
      <c r="X160" s="76"/>
      <c r="AD160" s="76"/>
      <c r="AJ160" s="76"/>
      <c r="AP160" s="76"/>
      <c r="AV160" s="76"/>
      <c r="BB160" s="76"/>
      <c r="BC160" s="38"/>
      <c r="BD160" s="38"/>
      <c r="BE160" s="38"/>
      <c r="BF160" s="38"/>
      <c r="BG160" s="38"/>
      <c r="BH160" s="38"/>
      <c r="BI160" s="38"/>
      <c r="BJ160" s="38"/>
      <c r="BK160" s="38"/>
    </row>
    <row r="161">
      <c r="L161" s="76"/>
      <c r="R161" s="76"/>
      <c r="X161" s="76"/>
      <c r="AD161" s="76"/>
      <c r="AJ161" s="76"/>
      <c r="AP161" s="76"/>
      <c r="AV161" s="76"/>
      <c r="BB161" s="76"/>
      <c r="BC161" s="38"/>
      <c r="BD161" s="38"/>
      <c r="BE161" s="38"/>
      <c r="BF161" s="38"/>
      <c r="BG161" s="38"/>
      <c r="BH161" s="38"/>
      <c r="BI161" s="38"/>
      <c r="BJ161" s="38"/>
      <c r="BK161" s="38"/>
    </row>
    <row r="162">
      <c r="L162" s="76"/>
      <c r="R162" s="76"/>
      <c r="X162" s="76"/>
      <c r="AD162" s="76"/>
      <c r="AJ162" s="76"/>
      <c r="AP162" s="76"/>
      <c r="AV162" s="76"/>
      <c r="BB162" s="76"/>
      <c r="BC162" s="38"/>
      <c r="BD162" s="38"/>
      <c r="BE162" s="38"/>
      <c r="BF162" s="38"/>
      <c r="BG162" s="38"/>
      <c r="BH162" s="38"/>
      <c r="BI162" s="38"/>
      <c r="BJ162" s="38"/>
      <c r="BK162" s="38"/>
    </row>
    <row r="163">
      <c r="L163" s="76"/>
      <c r="R163" s="76"/>
      <c r="X163" s="76"/>
      <c r="AD163" s="76"/>
      <c r="AJ163" s="76"/>
      <c r="AP163" s="76"/>
      <c r="AV163" s="76"/>
      <c r="BB163" s="76"/>
      <c r="BC163" s="38"/>
      <c r="BD163" s="38"/>
      <c r="BE163" s="38"/>
      <c r="BF163" s="38"/>
      <c r="BG163" s="38"/>
      <c r="BH163" s="38"/>
      <c r="BI163" s="38"/>
      <c r="BJ163" s="38"/>
      <c r="BK163" s="38"/>
    </row>
    <row r="164">
      <c r="L164" s="76"/>
      <c r="R164" s="76"/>
      <c r="X164" s="76"/>
      <c r="AD164" s="76"/>
      <c r="AJ164" s="76"/>
      <c r="AP164" s="76"/>
      <c r="AV164" s="76"/>
      <c r="BB164" s="76"/>
      <c r="BC164" s="38"/>
      <c r="BD164" s="38"/>
      <c r="BE164" s="38"/>
      <c r="BF164" s="38"/>
      <c r="BG164" s="38"/>
      <c r="BH164" s="38"/>
      <c r="BI164" s="38"/>
      <c r="BJ164" s="38"/>
      <c r="BK164" s="38"/>
    </row>
    <row r="165">
      <c r="L165" s="76"/>
      <c r="R165" s="76"/>
      <c r="X165" s="76"/>
      <c r="AD165" s="76"/>
      <c r="AJ165" s="76"/>
      <c r="AP165" s="76"/>
      <c r="AV165" s="76"/>
      <c r="BB165" s="76"/>
      <c r="BC165" s="38"/>
      <c r="BD165" s="38"/>
      <c r="BE165" s="38"/>
      <c r="BF165" s="38"/>
      <c r="BG165" s="38"/>
      <c r="BH165" s="38"/>
      <c r="BI165" s="38"/>
      <c r="BJ165" s="38"/>
      <c r="BK165" s="38"/>
    </row>
    <row r="166">
      <c r="L166" s="76"/>
      <c r="R166" s="76"/>
      <c r="X166" s="76"/>
      <c r="AD166" s="76"/>
      <c r="AJ166" s="76"/>
      <c r="AP166" s="76"/>
      <c r="AV166" s="76"/>
      <c r="BB166" s="76"/>
      <c r="BC166" s="38"/>
      <c r="BD166" s="38"/>
      <c r="BE166" s="38"/>
      <c r="BF166" s="38"/>
      <c r="BG166" s="38"/>
      <c r="BH166" s="38"/>
      <c r="BI166" s="38"/>
      <c r="BJ166" s="38"/>
      <c r="BK166" s="38"/>
    </row>
    <row r="167">
      <c r="L167" s="76"/>
      <c r="R167" s="76"/>
      <c r="X167" s="76"/>
      <c r="AD167" s="76"/>
      <c r="AJ167" s="76"/>
      <c r="AP167" s="76"/>
      <c r="AV167" s="76"/>
      <c r="BB167" s="76"/>
      <c r="BC167" s="38"/>
      <c r="BD167" s="38"/>
      <c r="BE167" s="38"/>
      <c r="BF167" s="38"/>
      <c r="BG167" s="38"/>
      <c r="BH167" s="38"/>
      <c r="BI167" s="38"/>
      <c r="BJ167" s="38"/>
      <c r="BK167" s="38"/>
    </row>
    <row r="168">
      <c r="L168" s="76"/>
      <c r="R168" s="76"/>
      <c r="X168" s="76"/>
      <c r="AD168" s="76"/>
      <c r="AJ168" s="76"/>
      <c r="AP168" s="76"/>
      <c r="AV168" s="76"/>
      <c r="BB168" s="76"/>
      <c r="BC168" s="38"/>
      <c r="BD168" s="38"/>
      <c r="BE168" s="38"/>
      <c r="BF168" s="38"/>
      <c r="BG168" s="38"/>
      <c r="BH168" s="38"/>
      <c r="BI168" s="38"/>
      <c r="BJ168" s="38"/>
      <c r="BK168" s="38"/>
    </row>
    <row r="169">
      <c r="L169" s="76"/>
      <c r="R169" s="76"/>
      <c r="X169" s="76"/>
      <c r="AD169" s="76"/>
      <c r="AJ169" s="76"/>
      <c r="AP169" s="76"/>
      <c r="AV169" s="76"/>
      <c r="BB169" s="76"/>
      <c r="BC169" s="38"/>
      <c r="BD169" s="38"/>
      <c r="BE169" s="38"/>
      <c r="BF169" s="38"/>
      <c r="BG169" s="38"/>
      <c r="BH169" s="38"/>
      <c r="BI169" s="38"/>
      <c r="BJ169" s="38"/>
      <c r="BK169" s="38"/>
    </row>
    <row r="170">
      <c r="L170" s="76"/>
      <c r="R170" s="76"/>
      <c r="X170" s="76"/>
      <c r="AD170" s="76"/>
      <c r="AJ170" s="76"/>
      <c r="AP170" s="76"/>
      <c r="AV170" s="76"/>
      <c r="BB170" s="76"/>
      <c r="BC170" s="38"/>
      <c r="BD170" s="38"/>
      <c r="BE170" s="38"/>
      <c r="BF170" s="38"/>
      <c r="BG170" s="38"/>
      <c r="BH170" s="38"/>
      <c r="BI170" s="38"/>
      <c r="BJ170" s="38"/>
      <c r="BK170" s="38"/>
    </row>
    <row r="171">
      <c r="L171" s="76"/>
      <c r="R171" s="76"/>
      <c r="X171" s="76"/>
      <c r="AD171" s="76"/>
      <c r="AJ171" s="76"/>
      <c r="AP171" s="76"/>
      <c r="AV171" s="76"/>
      <c r="BB171" s="76"/>
      <c r="BC171" s="38"/>
      <c r="BD171" s="38"/>
      <c r="BE171" s="38"/>
      <c r="BF171" s="38"/>
      <c r="BG171" s="38"/>
      <c r="BH171" s="38"/>
      <c r="BI171" s="38"/>
      <c r="BJ171" s="38"/>
      <c r="BK171" s="38"/>
    </row>
    <row r="172">
      <c r="L172" s="76"/>
      <c r="R172" s="76"/>
      <c r="X172" s="76"/>
      <c r="AD172" s="76"/>
      <c r="AJ172" s="76"/>
      <c r="AP172" s="76"/>
      <c r="AV172" s="76"/>
      <c r="BB172" s="76"/>
      <c r="BC172" s="38"/>
      <c r="BD172" s="38"/>
      <c r="BE172" s="38"/>
      <c r="BF172" s="38"/>
      <c r="BG172" s="38"/>
      <c r="BH172" s="38"/>
      <c r="BI172" s="38"/>
      <c r="BJ172" s="38"/>
      <c r="BK172" s="38"/>
    </row>
    <row r="173">
      <c r="L173" s="76"/>
      <c r="R173" s="76"/>
      <c r="X173" s="76"/>
      <c r="AD173" s="76"/>
      <c r="AJ173" s="76"/>
      <c r="AP173" s="76"/>
      <c r="AV173" s="76"/>
      <c r="BB173" s="76"/>
      <c r="BC173" s="38"/>
      <c r="BD173" s="38"/>
      <c r="BE173" s="38"/>
      <c r="BF173" s="38"/>
      <c r="BG173" s="38"/>
      <c r="BH173" s="38"/>
      <c r="BI173" s="38"/>
      <c r="BJ173" s="38"/>
      <c r="BK173" s="38"/>
    </row>
    <row r="174">
      <c r="L174" s="76"/>
      <c r="R174" s="76"/>
      <c r="X174" s="76"/>
      <c r="AD174" s="76"/>
      <c r="AJ174" s="76"/>
      <c r="AP174" s="76"/>
      <c r="AV174" s="76"/>
      <c r="BB174" s="76"/>
      <c r="BC174" s="38"/>
      <c r="BD174" s="38"/>
      <c r="BE174" s="38"/>
      <c r="BF174" s="38"/>
      <c r="BG174" s="38"/>
      <c r="BH174" s="38"/>
      <c r="BI174" s="38"/>
      <c r="BJ174" s="38"/>
      <c r="BK174" s="38"/>
    </row>
    <row r="175">
      <c r="L175" s="76"/>
      <c r="R175" s="76"/>
      <c r="X175" s="76"/>
      <c r="AD175" s="76"/>
      <c r="AJ175" s="76"/>
      <c r="AP175" s="76"/>
      <c r="AV175" s="76"/>
      <c r="BB175" s="76"/>
      <c r="BC175" s="38"/>
      <c r="BD175" s="38"/>
      <c r="BE175" s="38"/>
      <c r="BF175" s="38"/>
      <c r="BG175" s="38"/>
      <c r="BH175" s="38"/>
      <c r="BI175" s="38"/>
      <c r="BJ175" s="38"/>
      <c r="BK175" s="38"/>
    </row>
    <row r="176">
      <c r="L176" s="76"/>
      <c r="R176" s="76"/>
      <c r="X176" s="76"/>
      <c r="AD176" s="76"/>
      <c r="AJ176" s="76"/>
      <c r="AP176" s="76"/>
      <c r="AV176" s="76"/>
      <c r="BB176" s="76"/>
      <c r="BC176" s="38"/>
      <c r="BD176" s="38"/>
      <c r="BE176" s="38"/>
      <c r="BF176" s="38"/>
      <c r="BG176" s="38"/>
      <c r="BH176" s="38"/>
      <c r="BI176" s="38"/>
      <c r="BJ176" s="38"/>
      <c r="BK176" s="38"/>
    </row>
    <row r="177">
      <c r="L177" s="76"/>
      <c r="R177" s="76"/>
      <c r="X177" s="76"/>
      <c r="AD177" s="76"/>
      <c r="AJ177" s="76"/>
      <c r="AP177" s="76"/>
      <c r="AV177" s="76"/>
      <c r="BB177" s="76"/>
      <c r="BC177" s="38"/>
      <c r="BD177" s="38"/>
      <c r="BE177" s="38"/>
      <c r="BF177" s="38"/>
      <c r="BG177" s="38"/>
      <c r="BH177" s="38"/>
      <c r="BI177" s="38"/>
      <c r="BJ177" s="38"/>
      <c r="BK177" s="38"/>
    </row>
    <row r="178">
      <c r="L178" s="76"/>
      <c r="R178" s="76"/>
      <c r="X178" s="76"/>
      <c r="AD178" s="76"/>
      <c r="AJ178" s="76"/>
      <c r="AP178" s="76"/>
      <c r="AV178" s="76"/>
      <c r="BB178" s="76"/>
      <c r="BC178" s="38"/>
      <c r="BD178" s="38"/>
      <c r="BE178" s="38"/>
      <c r="BF178" s="38"/>
      <c r="BG178" s="38"/>
      <c r="BH178" s="38"/>
      <c r="BI178" s="38"/>
      <c r="BJ178" s="38"/>
      <c r="BK178" s="38"/>
    </row>
    <row r="179">
      <c r="L179" s="76"/>
      <c r="R179" s="76"/>
      <c r="X179" s="76"/>
      <c r="AD179" s="76"/>
      <c r="AJ179" s="76"/>
      <c r="AP179" s="76"/>
      <c r="AV179" s="76"/>
      <c r="BB179" s="76"/>
      <c r="BC179" s="38"/>
      <c r="BD179" s="38"/>
      <c r="BE179" s="38"/>
      <c r="BF179" s="38"/>
      <c r="BG179" s="38"/>
      <c r="BH179" s="38"/>
      <c r="BI179" s="38"/>
      <c r="BJ179" s="38"/>
      <c r="BK179" s="38"/>
    </row>
    <row r="180">
      <c r="L180" s="76"/>
      <c r="R180" s="76"/>
      <c r="X180" s="76"/>
      <c r="AD180" s="76"/>
      <c r="AJ180" s="76"/>
      <c r="AP180" s="76"/>
      <c r="AV180" s="76"/>
      <c r="BB180" s="76"/>
      <c r="BC180" s="38"/>
      <c r="BD180" s="38"/>
      <c r="BE180" s="38"/>
      <c r="BF180" s="38"/>
      <c r="BG180" s="38"/>
      <c r="BH180" s="38"/>
      <c r="BI180" s="38"/>
      <c r="BJ180" s="38"/>
      <c r="BK180" s="38"/>
    </row>
    <row r="181">
      <c r="L181" s="76"/>
      <c r="R181" s="76"/>
      <c r="X181" s="76"/>
      <c r="AD181" s="76"/>
      <c r="AJ181" s="76"/>
      <c r="AP181" s="76"/>
      <c r="AV181" s="76"/>
      <c r="BB181" s="76"/>
      <c r="BC181" s="38"/>
      <c r="BD181" s="38"/>
      <c r="BE181" s="38"/>
      <c r="BF181" s="38"/>
      <c r="BG181" s="38"/>
      <c r="BH181" s="38"/>
      <c r="BI181" s="38"/>
      <c r="BJ181" s="38"/>
      <c r="BK181" s="38"/>
    </row>
    <row r="182">
      <c r="L182" s="76"/>
      <c r="R182" s="76"/>
      <c r="X182" s="76"/>
      <c r="AD182" s="76"/>
      <c r="AJ182" s="76"/>
      <c r="AP182" s="76"/>
      <c r="AV182" s="76"/>
      <c r="BB182" s="76"/>
      <c r="BC182" s="38"/>
      <c r="BD182" s="38"/>
      <c r="BE182" s="38"/>
      <c r="BF182" s="38"/>
      <c r="BG182" s="38"/>
      <c r="BH182" s="38"/>
      <c r="BI182" s="38"/>
      <c r="BJ182" s="38"/>
      <c r="BK182" s="38"/>
    </row>
    <row r="183">
      <c r="L183" s="76"/>
      <c r="R183" s="76"/>
      <c r="X183" s="76"/>
      <c r="AD183" s="76"/>
      <c r="AJ183" s="76"/>
      <c r="AP183" s="76"/>
      <c r="AV183" s="76"/>
      <c r="BB183" s="76"/>
      <c r="BC183" s="38"/>
      <c r="BD183" s="38"/>
      <c r="BE183" s="38"/>
      <c r="BF183" s="38"/>
      <c r="BG183" s="38"/>
      <c r="BH183" s="38"/>
      <c r="BI183" s="38"/>
      <c r="BJ183" s="38"/>
      <c r="BK183" s="38"/>
    </row>
    <row r="184">
      <c r="L184" s="76"/>
      <c r="R184" s="76"/>
      <c r="X184" s="76"/>
      <c r="AD184" s="76"/>
      <c r="AJ184" s="76"/>
      <c r="AP184" s="76"/>
      <c r="AV184" s="76"/>
      <c r="BB184" s="76"/>
      <c r="BC184" s="38"/>
      <c r="BD184" s="38"/>
      <c r="BE184" s="38"/>
      <c r="BF184" s="38"/>
      <c r="BG184" s="38"/>
      <c r="BH184" s="38"/>
      <c r="BI184" s="38"/>
      <c r="BJ184" s="38"/>
      <c r="BK184" s="38"/>
    </row>
    <row r="185">
      <c r="L185" s="76"/>
      <c r="R185" s="76"/>
      <c r="X185" s="76"/>
      <c r="AD185" s="76"/>
      <c r="AJ185" s="76"/>
      <c r="AP185" s="76"/>
      <c r="AV185" s="76"/>
      <c r="BB185" s="76"/>
      <c r="BC185" s="38"/>
      <c r="BD185" s="38"/>
      <c r="BE185" s="38"/>
      <c r="BF185" s="38"/>
      <c r="BG185" s="38"/>
      <c r="BH185" s="38"/>
      <c r="BI185" s="38"/>
      <c r="BJ185" s="38"/>
      <c r="BK185" s="38"/>
    </row>
    <row r="186">
      <c r="L186" s="76"/>
      <c r="R186" s="76"/>
      <c r="X186" s="76"/>
      <c r="AD186" s="76"/>
      <c r="AJ186" s="76"/>
      <c r="AP186" s="76"/>
      <c r="AV186" s="76"/>
      <c r="BB186" s="76"/>
      <c r="BC186" s="38"/>
      <c r="BD186" s="38"/>
      <c r="BE186" s="38"/>
      <c r="BF186" s="38"/>
      <c r="BG186" s="38"/>
      <c r="BH186" s="38"/>
      <c r="BI186" s="38"/>
      <c r="BJ186" s="38"/>
      <c r="BK186" s="38"/>
    </row>
    <row r="187">
      <c r="L187" s="76"/>
      <c r="R187" s="76"/>
      <c r="X187" s="76"/>
      <c r="AD187" s="76"/>
      <c r="AJ187" s="76"/>
      <c r="AP187" s="76"/>
      <c r="AV187" s="76"/>
      <c r="BB187" s="76"/>
      <c r="BC187" s="38"/>
      <c r="BD187" s="38"/>
      <c r="BE187" s="38"/>
      <c r="BF187" s="38"/>
      <c r="BG187" s="38"/>
      <c r="BH187" s="38"/>
      <c r="BI187" s="38"/>
      <c r="BJ187" s="38"/>
      <c r="BK187" s="38"/>
    </row>
    <row r="188">
      <c r="L188" s="76"/>
      <c r="R188" s="76"/>
      <c r="X188" s="76"/>
      <c r="AD188" s="76"/>
      <c r="AJ188" s="76"/>
      <c r="AP188" s="76"/>
      <c r="AV188" s="76"/>
      <c r="BB188" s="76"/>
      <c r="BC188" s="38"/>
      <c r="BD188" s="38"/>
      <c r="BE188" s="38"/>
      <c r="BF188" s="38"/>
      <c r="BG188" s="38"/>
      <c r="BH188" s="38"/>
      <c r="BI188" s="38"/>
      <c r="BJ188" s="38"/>
      <c r="BK188" s="38"/>
    </row>
    <row r="189">
      <c r="L189" s="76"/>
      <c r="R189" s="76"/>
      <c r="X189" s="76"/>
      <c r="AD189" s="76"/>
      <c r="AJ189" s="76"/>
      <c r="AP189" s="76"/>
      <c r="AV189" s="76"/>
      <c r="BB189" s="76"/>
      <c r="BC189" s="38"/>
      <c r="BD189" s="38"/>
      <c r="BE189" s="38"/>
      <c r="BF189" s="38"/>
      <c r="BG189" s="38"/>
      <c r="BH189" s="38"/>
      <c r="BI189" s="38"/>
      <c r="BJ189" s="38"/>
      <c r="BK189" s="38"/>
    </row>
    <row r="190">
      <c r="L190" s="76"/>
      <c r="R190" s="76"/>
      <c r="X190" s="76"/>
      <c r="AD190" s="76"/>
      <c r="AJ190" s="76"/>
      <c r="AP190" s="76"/>
      <c r="AV190" s="76"/>
      <c r="BB190" s="76"/>
      <c r="BC190" s="38"/>
      <c r="BD190" s="38"/>
      <c r="BE190" s="38"/>
      <c r="BF190" s="38"/>
      <c r="BG190" s="38"/>
      <c r="BH190" s="38"/>
      <c r="BI190" s="38"/>
      <c r="BJ190" s="38"/>
      <c r="BK190" s="38"/>
    </row>
    <row r="191">
      <c r="L191" s="76"/>
      <c r="R191" s="76"/>
      <c r="X191" s="76"/>
      <c r="AD191" s="76"/>
      <c r="AJ191" s="76"/>
      <c r="AP191" s="76"/>
      <c r="AV191" s="76"/>
      <c r="BB191" s="76"/>
      <c r="BC191" s="38"/>
      <c r="BD191" s="38"/>
      <c r="BE191" s="38"/>
      <c r="BF191" s="38"/>
      <c r="BG191" s="38"/>
      <c r="BH191" s="38"/>
      <c r="BI191" s="38"/>
      <c r="BJ191" s="38"/>
      <c r="BK191" s="38"/>
    </row>
    <row r="192">
      <c r="L192" s="76"/>
      <c r="R192" s="76"/>
      <c r="X192" s="76"/>
      <c r="AD192" s="76"/>
      <c r="AJ192" s="76"/>
      <c r="AP192" s="76"/>
      <c r="AV192" s="76"/>
      <c r="BB192" s="76"/>
      <c r="BC192" s="38"/>
      <c r="BD192" s="38"/>
      <c r="BE192" s="38"/>
      <c r="BF192" s="38"/>
      <c r="BG192" s="38"/>
      <c r="BH192" s="38"/>
      <c r="BI192" s="38"/>
      <c r="BJ192" s="38"/>
      <c r="BK192" s="38"/>
    </row>
    <row r="193">
      <c r="L193" s="76"/>
      <c r="R193" s="76"/>
      <c r="X193" s="76"/>
      <c r="AD193" s="76"/>
      <c r="AJ193" s="76"/>
      <c r="AP193" s="76"/>
      <c r="AV193" s="76"/>
      <c r="BB193" s="76"/>
      <c r="BC193" s="38"/>
      <c r="BD193" s="38"/>
      <c r="BE193" s="38"/>
      <c r="BF193" s="38"/>
      <c r="BG193" s="38"/>
      <c r="BH193" s="38"/>
      <c r="BI193" s="38"/>
      <c r="BJ193" s="38"/>
      <c r="BK193" s="38"/>
    </row>
    <row r="194">
      <c r="L194" s="76"/>
      <c r="R194" s="76"/>
      <c r="X194" s="76"/>
      <c r="AD194" s="76"/>
      <c r="AJ194" s="76"/>
      <c r="AP194" s="76"/>
      <c r="AV194" s="76"/>
      <c r="BB194" s="76"/>
      <c r="BC194" s="38"/>
      <c r="BD194" s="38"/>
      <c r="BE194" s="38"/>
      <c r="BF194" s="38"/>
      <c r="BG194" s="38"/>
      <c r="BH194" s="38"/>
      <c r="BI194" s="38"/>
      <c r="BJ194" s="38"/>
      <c r="BK194" s="38"/>
    </row>
    <row r="195">
      <c r="L195" s="76"/>
      <c r="R195" s="76"/>
      <c r="X195" s="76"/>
      <c r="AD195" s="76"/>
      <c r="AJ195" s="76"/>
      <c r="AP195" s="76"/>
      <c r="AV195" s="76"/>
      <c r="BB195" s="76"/>
      <c r="BC195" s="38"/>
      <c r="BD195" s="38"/>
      <c r="BE195" s="38"/>
      <c r="BF195" s="38"/>
      <c r="BG195" s="38"/>
      <c r="BH195" s="38"/>
      <c r="BI195" s="38"/>
      <c r="BJ195" s="38"/>
      <c r="BK195" s="38"/>
    </row>
    <row r="196">
      <c r="L196" s="76"/>
      <c r="R196" s="76"/>
      <c r="X196" s="76"/>
      <c r="AD196" s="76"/>
      <c r="AJ196" s="76"/>
      <c r="AP196" s="76"/>
      <c r="AV196" s="76"/>
      <c r="BB196" s="76"/>
      <c r="BC196" s="38"/>
      <c r="BD196" s="38"/>
      <c r="BE196" s="38"/>
      <c r="BF196" s="38"/>
      <c r="BG196" s="38"/>
      <c r="BH196" s="38"/>
      <c r="BI196" s="38"/>
      <c r="BJ196" s="38"/>
      <c r="BK196" s="38"/>
    </row>
    <row r="197">
      <c r="L197" s="76"/>
      <c r="R197" s="76"/>
      <c r="X197" s="76"/>
      <c r="AD197" s="76"/>
      <c r="AJ197" s="76"/>
      <c r="AP197" s="76"/>
      <c r="AV197" s="76"/>
      <c r="BB197" s="76"/>
      <c r="BC197" s="38"/>
      <c r="BD197" s="38"/>
      <c r="BE197" s="38"/>
      <c r="BF197" s="38"/>
      <c r="BG197" s="38"/>
      <c r="BH197" s="38"/>
      <c r="BI197" s="38"/>
      <c r="BJ197" s="38"/>
      <c r="BK197" s="38"/>
    </row>
    <row r="198">
      <c r="L198" s="76"/>
      <c r="R198" s="76"/>
      <c r="X198" s="76"/>
      <c r="AD198" s="76"/>
      <c r="AJ198" s="76"/>
      <c r="AP198" s="76"/>
      <c r="AV198" s="76"/>
      <c r="BB198" s="76"/>
      <c r="BC198" s="38"/>
      <c r="BD198" s="38"/>
      <c r="BE198" s="38"/>
      <c r="BF198" s="38"/>
      <c r="BG198" s="38"/>
      <c r="BH198" s="38"/>
      <c r="BI198" s="38"/>
      <c r="BJ198" s="38"/>
      <c r="BK198" s="38"/>
    </row>
    <row r="199">
      <c r="L199" s="76"/>
      <c r="R199" s="76"/>
      <c r="X199" s="76"/>
      <c r="AD199" s="76"/>
      <c r="AJ199" s="76"/>
      <c r="AP199" s="76"/>
      <c r="AV199" s="76"/>
      <c r="BB199" s="76"/>
      <c r="BC199" s="38"/>
      <c r="BD199" s="38"/>
      <c r="BE199" s="38"/>
      <c r="BF199" s="38"/>
      <c r="BG199" s="38"/>
      <c r="BH199" s="38"/>
      <c r="BI199" s="38"/>
      <c r="BJ199" s="38"/>
      <c r="BK199" s="38"/>
    </row>
    <row r="200">
      <c r="L200" s="76"/>
      <c r="R200" s="76"/>
      <c r="X200" s="76"/>
      <c r="AD200" s="76"/>
      <c r="AJ200" s="76"/>
      <c r="AP200" s="76"/>
      <c r="AV200" s="76"/>
      <c r="BB200" s="76"/>
      <c r="BC200" s="38"/>
      <c r="BD200" s="38"/>
      <c r="BE200" s="38"/>
      <c r="BF200" s="38"/>
      <c r="BG200" s="38"/>
      <c r="BH200" s="38"/>
      <c r="BI200" s="38"/>
      <c r="BJ200" s="38"/>
      <c r="BK200" s="38"/>
    </row>
    <row r="201">
      <c r="L201" s="76"/>
      <c r="R201" s="76"/>
      <c r="X201" s="76"/>
      <c r="AD201" s="76"/>
      <c r="AJ201" s="76"/>
      <c r="AP201" s="76"/>
      <c r="AV201" s="76"/>
      <c r="BB201" s="76"/>
      <c r="BC201" s="38"/>
      <c r="BD201" s="38"/>
      <c r="BE201" s="38"/>
      <c r="BF201" s="38"/>
      <c r="BG201" s="38"/>
      <c r="BH201" s="38"/>
      <c r="BI201" s="38"/>
      <c r="BJ201" s="38"/>
      <c r="BK201" s="38"/>
    </row>
    <row r="202">
      <c r="L202" s="76"/>
      <c r="R202" s="76"/>
      <c r="X202" s="76"/>
      <c r="AD202" s="76"/>
      <c r="AJ202" s="76"/>
      <c r="AP202" s="76"/>
      <c r="AV202" s="76"/>
      <c r="BB202" s="76"/>
      <c r="BC202" s="38"/>
      <c r="BD202" s="38"/>
      <c r="BE202" s="38"/>
      <c r="BF202" s="38"/>
      <c r="BG202" s="38"/>
      <c r="BH202" s="38"/>
      <c r="BI202" s="38"/>
      <c r="BJ202" s="38"/>
      <c r="BK202" s="38"/>
    </row>
    <row r="203">
      <c r="L203" s="76"/>
      <c r="R203" s="76"/>
      <c r="X203" s="76"/>
      <c r="AD203" s="76"/>
      <c r="AJ203" s="76"/>
      <c r="AP203" s="76"/>
      <c r="AV203" s="76"/>
      <c r="BB203" s="76"/>
      <c r="BC203" s="38"/>
      <c r="BD203" s="38"/>
      <c r="BE203" s="38"/>
      <c r="BF203" s="38"/>
      <c r="BG203" s="38"/>
      <c r="BH203" s="38"/>
      <c r="BI203" s="38"/>
      <c r="BJ203" s="38"/>
      <c r="BK203" s="38"/>
    </row>
    <row r="204">
      <c r="L204" s="76"/>
      <c r="R204" s="76"/>
      <c r="X204" s="76"/>
      <c r="AD204" s="76"/>
      <c r="AJ204" s="76"/>
      <c r="AP204" s="76"/>
      <c r="AV204" s="76"/>
      <c r="BB204" s="76"/>
      <c r="BC204" s="38"/>
      <c r="BD204" s="38"/>
      <c r="BE204" s="38"/>
      <c r="BF204" s="38"/>
      <c r="BG204" s="38"/>
      <c r="BH204" s="38"/>
      <c r="BI204" s="38"/>
      <c r="BJ204" s="38"/>
      <c r="BK204" s="38"/>
    </row>
    <row r="205">
      <c r="L205" s="76"/>
      <c r="R205" s="76"/>
      <c r="X205" s="76"/>
      <c r="AD205" s="76"/>
      <c r="AJ205" s="76"/>
      <c r="AP205" s="76"/>
      <c r="AV205" s="76"/>
      <c r="BB205" s="76"/>
      <c r="BC205" s="38"/>
      <c r="BD205" s="38"/>
      <c r="BE205" s="38"/>
      <c r="BF205" s="38"/>
      <c r="BG205" s="38"/>
      <c r="BH205" s="38"/>
      <c r="BI205" s="38"/>
      <c r="BJ205" s="38"/>
      <c r="BK205" s="38"/>
    </row>
    <row r="206">
      <c r="L206" s="76"/>
      <c r="R206" s="76"/>
      <c r="X206" s="76"/>
      <c r="AD206" s="76"/>
      <c r="AJ206" s="76"/>
      <c r="AP206" s="76"/>
      <c r="AV206" s="76"/>
      <c r="BB206" s="76"/>
      <c r="BC206" s="38"/>
      <c r="BD206" s="38"/>
      <c r="BE206" s="38"/>
      <c r="BF206" s="38"/>
      <c r="BG206" s="38"/>
      <c r="BH206" s="38"/>
      <c r="BI206" s="38"/>
      <c r="BJ206" s="38"/>
      <c r="BK206" s="38"/>
    </row>
    <row r="207">
      <c r="L207" s="76"/>
      <c r="R207" s="76"/>
      <c r="X207" s="76"/>
      <c r="AD207" s="76"/>
      <c r="AJ207" s="76"/>
      <c r="AP207" s="76"/>
      <c r="AV207" s="76"/>
      <c r="BB207" s="76"/>
      <c r="BC207" s="38"/>
      <c r="BD207" s="38"/>
      <c r="BE207" s="38"/>
      <c r="BF207" s="38"/>
      <c r="BG207" s="38"/>
      <c r="BH207" s="38"/>
      <c r="BI207" s="38"/>
      <c r="BJ207" s="38"/>
      <c r="BK207" s="38"/>
    </row>
    <row r="208">
      <c r="L208" s="76"/>
      <c r="R208" s="76"/>
      <c r="X208" s="76"/>
      <c r="AD208" s="76"/>
      <c r="AJ208" s="76"/>
      <c r="AP208" s="76"/>
      <c r="AV208" s="76"/>
      <c r="BB208" s="76"/>
      <c r="BC208" s="38"/>
      <c r="BD208" s="38"/>
      <c r="BE208" s="38"/>
      <c r="BF208" s="38"/>
      <c r="BG208" s="38"/>
      <c r="BH208" s="38"/>
      <c r="BI208" s="38"/>
      <c r="BJ208" s="38"/>
      <c r="BK208" s="38"/>
    </row>
    <row r="209">
      <c r="L209" s="76"/>
      <c r="R209" s="76"/>
      <c r="X209" s="76"/>
      <c r="AD209" s="76"/>
      <c r="AJ209" s="76"/>
      <c r="AP209" s="76"/>
      <c r="AV209" s="76"/>
      <c r="BB209" s="76"/>
      <c r="BC209" s="38"/>
      <c r="BD209" s="38"/>
      <c r="BE209" s="38"/>
      <c r="BF209" s="38"/>
      <c r="BG209" s="38"/>
      <c r="BH209" s="38"/>
      <c r="BI209" s="38"/>
      <c r="BJ209" s="38"/>
      <c r="BK209" s="38"/>
    </row>
    <row r="210">
      <c r="L210" s="76"/>
      <c r="R210" s="76"/>
      <c r="X210" s="76"/>
      <c r="AD210" s="76"/>
      <c r="AJ210" s="76"/>
      <c r="AP210" s="76"/>
      <c r="AV210" s="76"/>
      <c r="BB210" s="76"/>
      <c r="BC210" s="38"/>
      <c r="BD210" s="38"/>
      <c r="BE210" s="38"/>
      <c r="BF210" s="38"/>
      <c r="BG210" s="38"/>
      <c r="BH210" s="38"/>
      <c r="BI210" s="38"/>
      <c r="BJ210" s="38"/>
      <c r="BK210" s="38"/>
    </row>
    <row r="211">
      <c r="L211" s="76"/>
      <c r="R211" s="76"/>
      <c r="X211" s="76"/>
      <c r="AD211" s="76"/>
      <c r="AJ211" s="76"/>
      <c r="AP211" s="76"/>
      <c r="AV211" s="76"/>
      <c r="BB211" s="76"/>
      <c r="BC211" s="38"/>
      <c r="BD211" s="38"/>
      <c r="BE211" s="38"/>
      <c r="BF211" s="38"/>
      <c r="BG211" s="38"/>
      <c r="BH211" s="38"/>
      <c r="BI211" s="38"/>
      <c r="BJ211" s="38"/>
      <c r="BK211" s="38"/>
    </row>
    <row r="212">
      <c r="L212" s="76"/>
      <c r="R212" s="76"/>
      <c r="X212" s="76"/>
      <c r="AD212" s="76"/>
      <c r="AJ212" s="76"/>
      <c r="AP212" s="76"/>
      <c r="AV212" s="76"/>
      <c r="BB212" s="76"/>
      <c r="BC212" s="38"/>
      <c r="BD212" s="38"/>
      <c r="BE212" s="38"/>
      <c r="BF212" s="38"/>
      <c r="BG212" s="38"/>
      <c r="BH212" s="38"/>
      <c r="BI212" s="38"/>
      <c r="BJ212" s="38"/>
      <c r="BK212" s="38"/>
    </row>
    <row r="213">
      <c r="L213" s="76"/>
      <c r="R213" s="76"/>
      <c r="X213" s="76"/>
      <c r="AD213" s="76"/>
      <c r="AJ213" s="76"/>
      <c r="AP213" s="76"/>
      <c r="AV213" s="76"/>
      <c r="BB213" s="76"/>
      <c r="BC213" s="38"/>
      <c r="BD213" s="38"/>
      <c r="BE213" s="38"/>
      <c r="BF213" s="38"/>
      <c r="BG213" s="38"/>
      <c r="BH213" s="38"/>
      <c r="BI213" s="38"/>
      <c r="BJ213" s="38"/>
      <c r="BK213" s="38"/>
    </row>
    <row r="214">
      <c r="L214" s="76"/>
      <c r="R214" s="76"/>
      <c r="X214" s="76"/>
      <c r="AD214" s="76"/>
      <c r="AJ214" s="76"/>
      <c r="AP214" s="76"/>
      <c r="AV214" s="76"/>
      <c r="BB214" s="76"/>
      <c r="BC214" s="38"/>
      <c r="BD214" s="38"/>
      <c r="BE214" s="38"/>
      <c r="BF214" s="38"/>
      <c r="BG214" s="38"/>
      <c r="BH214" s="38"/>
      <c r="BI214" s="38"/>
      <c r="BJ214" s="38"/>
      <c r="BK214" s="38"/>
    </row>
    <row r="215">
      <c r="L215" s="76"/>
      <c r="R215" s="76"/>
      <c r="X215" s="76"/>
      <c r="AD215" s="76"/>
      <c r="AJ215" s="76"/>
      <c r="AP215" s="76"/>
      <c r="AV215" s="76"/>
      <c r="BB215" s="76"/>
      <c r="BC215" s="38"/>
      <c r="BD215" s="38"/>
      <c r="BE215" s="38"/>
      <c r="BF215" s="38"/>
      <c r="BG215" s="38"/>
      <c r="BH215" s="38"/>
      <c r="BI215" s="38"/>
      <c r="BJ215" s="38"/>
      <c r="BK215" s="38"/>
    </row>
    <row r="216">
      <c r="L216" s="76"/>
      <c r="R216" s="76"/>
      <c r="X216" s="76"/>
      <c r="AD216" s="76"/>
      <c r="AJ216" s="76"/>
      <c r="AP216" s="76"/>
      <c r="AV216" s="76"/>
      <c r="BB216" s="76"/>
      <c r="BC216" s="38"/>
      <c r="BD216" s="38"/>
      <c r="BE216" s="38"/>
      <c r="BF216" s="38"/>
      <c r="BG216" s="38"/>
      <c r="BH216" s="38"/>
      <c r="BI216" s="38"/>
      <c r="BJ216" s="38"/>
      <c r="BK216" s="38"/>
    </row>
    <row r="217">
      <c r="L217" s="76"/>
      <c r="R217" s="76"/>
      <c r="X217" s="76"/>
      <c r="AD217" s="76"/>
      <c r="AJ217" s="76"/>
      <c r="AP217" s="76"/>
      <c r="AV217" s="76"/>
      <c r="BB217" s="76"/>
      <c r="BC217" s="38"/>
      <c r="BD217" s="38"/>
      <c r="BE217" s="38"/>
      <c r="BF217" s="38"/>
      <c r="BG217" s="38"/>
      <c r="BH217" s="38"/>
      <c r="BI217" s="38"/>
      <c r="BJ217" s="38"/>
      <c r="BK217" s="38"/>
    </row>
    <row r="218">
      <c r="L218" s="76"/>
      <c r="R218" s="76"/>
      <c r="X218" s="76"/>
      <c r="AD218" s="76"/>
      <c r="AJ218" s="76"/>
      <c r="AP218" s="76"/>
      <c r="AV218" s="76"/>
      <c r="BB218" s="76"/>
      <c r="BC218" s="38"/>
      <c r="BD218" s="38"/>
      <c r="BE218" s="38"/>
      <c r="BF218" s="38"/>
      <c r="BG218" s="38"/>
      <c r="BH218" s="38"/>
      <c r="BI218" s="38"/>
      <c r="BJ218" s="38"/>
      <c r="BK218" s="38"/>
    </row>
    <row r="219">
      <c r="L219" s="76"/>
      <c r="R219" s="76"/>
      <c r="X219" s="76"/>
      <c r="AD219" s="76"/>
      <c r="AJ219" s="76"/>
      <c r="AP219" s="76"/>
      <c r="AV219" s="76"/>
      <c r="BB219" s="76"/>
      <c r="BC219" s="38"/>
      <c r="BD219" s="38"/>
      <c r="BE219" s="38"/>
      <c r="BF219" s="38"/>
      <c r="BG219" s="38"/>
      <c r="BH219" s="38"/>
      <c r="BI219" s="38"/>
      <c r="BJ219" s="38"/>
      <c r="BK219" s="38"/>
    </row>
    <row r="220">
      <c r="L220" s="76"/>
      <c r="R220" s="76"/>
      <c r="X220" s="76"/>
      <c r="AD220" s="76"/>
      <c r="AJ220" s="76"/>
      <c r="AP220" s="76"/>
      <c r="AV220" s="76"/>
      <c r="BB220" s="76"/>
      <c r="BC220" s="38"/>
      <c r="BD220" s="38"/>
      <c r="BE220" s="38"/>
      <c r="BF220" s="38"/>
      <c r="BG220" s="38"/>
      <c r="BH220" s="38"/>
      <c r="BI220" s="38"/>
      <c r="BJ220" s="38"/>
      <c r="BK220" s="38"/>
    </row>
    <row r="221">
      <c r="L221" s="76"/>
      <c r="R221" s="76"/>
      <c r="X221" s="76"/>
      <c r="AD221" s="76"/>
      <c r="AJ221" s="76"/>
      <c r="AP221" s="76"/>
      <c r="AV221" s="76"/>
      <c r="BB221" s="76"/>
      <c r="BC221" s="38"/>
      <c r="BD221" s="38"/>
      <c r="BE221" s="38"/>
      <c r="BF221" s="38"/>
      <c r="BG221" s="38"/>
      <c r="BH221" s="38"/>
      <c r="BI221" s="38"/>
      <c r="BJ221" s="38"/>
      <c r="BK221" s="38"/>
    </row>
    <row r="222">
      <c r="L222" s="76"/>
      <c r="R222" s="76"/>
      <c r="X222" s="76"/>
      <c r="AD222" s="76"/>
      <c r="AJ222" s="76"/>
      <c r="AP222" s="76"/>
      <c r="AV222" s="76"/>
      <c r="BB222" s="76"/>
      <c r="BC222" s="38"/>
      <c r="BD222" s="38"/>
      <c r="BE222" s="38"/>
      <c r="BF222" s="38"/>
      <c r="BG222" s="38"/>
      <c r="BH222" s="38"/>
      <c r="BI222" s="38"/>
      <c r="BJ222" s="38"/>
      <c r="BK222" s="38"/>
    </row>
    <row r="223">
      <c r="L223" s="76"/>
      <c r="R223" s="76"/>
      <c r="X223" s="76"/>
      <c r="AD223" s="76"/>
      <c r="AJ223" s="76"/>
      <c r="AP223" s="76"/>
      <c r="AV223" s="76"/>
      <c r="BB223" s="76"/>
      <c r="BC223" s="38"/>
      <c r="BD223" s="38"/>
      <c r="BE223" s="38"/>
      <c r="BF223" s="38"/>
      <c r="BG223" s="38"/>
      <c r="BH223" s="38"/>
      <c r="BI223" s="38"/>
      <c r="BJ223" s="38"/>
      <c r="BK223" s="38"/>
    </row>
    <row r="224">
      <c r="L224" s="76"/>
      <c r="R224" s="76"/>
      <c r="X224" s="76"/>
      <c r="AD224" s="76"/>
      <c r="AJ224" s="76"/>
      <c r="AP224" s="76"/>
      <c r="AV224" s="76"/>
      <c r="BB224" s="76"/>
      <c r="BC224" s="38"/>
      <c r="BD224" s="38"/>
      <c r="BE224" s="38"/>
      <c r="BF224" s="38"/>
      <c r="BG224" s="38"/>
      <c r="BH224" s="38"/>
      <c r="BI224" s="38"/>
      <c r="BJ224" s="38"/>
      <c r="BK224" s="38"/>
    </row>
    <row r="225">
      <c r="L225" s="76"/>
      <c r="R225" s="76"/>
      <c r="X225" s="76"/>
      <c r="AD225" s="76"/>
      <c r="AJ225" s="76"/>
      <c r="AP225" s="76"/>
      <c r="AV225" s="76"/>
      <c r="BB225" s="76"/>
      <c r="BC225" s="38"/>
      <c r="BD225" s="38"/>
      <c r="BE225" s="38"/>
      <c r="BF225" s="38"/>
      <c r="BG225" s="38"/>
      <c r="BH225" s="38"/>
      <c r="BI225" s="38"/>
      <c r="BJ225" s="38"/>
      <c r="BK225" s="38"/>
    </row>
    <row r="226">
      <c r="L226" s="76"/>
      <c r="R226" s="76"/>
      <c r="X226" s="76"/>
      <c r="AD226" s="76"/>
      <c r="AJ226" s="76"/>
      <c r="AP226" s="76"/>
      <c r="AV226" s="76"/>
      <c r="BB226" s="76"/>
      <c r="BC226" s="38"/>
      <c r="BD226" s="38"/>
      <c r="BE226" s="38"/>
      <c r="BF226" s="38"/>
      <c r="BG226" s="38"/>
      <c r="BH226" s="38"/>
      <c r="BI226" s="38"/>
      <c r="BJ226" s="38"/>
      <c r="BK226" s="38"/>
    </row>
    <row r="227">
      <c r="L227" s="76"/>
      <c r="R227" s="76"/>
      <c r="X227" s="76"/>
      <c r="AD227" s="76"/>
      <c r="AJ227" s="76"/>
      <c r="AP227" s="76"/>
      <c r="AV227" s="76"/>
      <c r="BB227" s="76"/>
      <c r="BC227" s="38"/>
      <c r="BD227" s="38"/>
      <c r="BE227" s="38"/>
      <c r="BF227" s="38"/>
      <c r="BG227" s="38"/>
      <c r="BH227" s="38"/>
      <c r="BI227" s="38"/>
      <c r="BJ227" s="38"/>
      <c r="BK227" s="38"/>
    </row>
    <row r="228">
      <c r="L228" s="76"/>
      <c r="R228" s="76"/>
      <c r="X228" s="76"/>
      <c r="AD228" s="76"/>
      <c r="AJ228" s="76"/>
      <c r="AP228" s="76"/>
      <c r="AV228" s="76"/>
      <c r="BB228" s="76"/>
      <c r="BC228" s="38"/>
      <c r="BD228" s="38"/>
      <c r="BE228" s="38"/>
      <c r="BF228" s="38"/>
      <c r="BG228" s="38"/>
      <c r="BH228" s="38"/>
      <c r="BI228" s="38"/>
      <c r="BJ228" s="38"/>
      <c r="BK228" s="38"/>
    </row>
    <row r="229">
      <c r="L229" s="76"/>
      <c r="R229" s="76"/>
      <c r="X229" s="76"/>
      <c r="AD229" s="76"/>
      <c r="AJ229" s="76"/>
      <c r="AP229" s="76"/>
      <c r="AV229" s="76"/>
      <c r="BB229" s="76"/>
      <c r="BC229" s="38"/>
      <c r="BD229" s="38"/>
      <c r="BE229" s="38"/>
      <c r="BF229" s="38"/>
      <c r="BG229" s="38"/>
      <c r="BH229" s="38"/>
      <c r="BI229" s="38"/>
      <c r="BJ229" s="38"/>
      <c r="BK229" s="38"/>
    </row>
    <row r="230">
      <c r="L230" s="76"/>
      <c r="R230" s="76"/>
      <c r="X230" s="76"/>
      <c r="AD230" s="76"/>
      <c r="AJ230" s="76"/>
      <c r="AP230" s="76"/>
      <c r="AV230" s="76"/>
      <c r="BB230" s="76"/>
      <c r="BC230" s="38"/>
      <c r="BD230" s="38"/>
      <c r="BE230" s="38"/>
      <c r="BF230" s="38"/>
      <c r="BG230" s="38"/>
      <c r="BH230" s="38"/>
      <c r="BI230" s="38"/>
      <c r="BJ230" s="38"/>
      <c r="BK230" s="38"/>
    </row>
    <row r="231">
      <c r="L231" s="76"/>
      <c r="R231" s="76"/>
      <c r="X231" s="76"/>
      <c r="AD231" s="76"/>
      <c r="AJ231" s="76"/>
      <c r="AP231" s="76"/>
      <c r="AV231" s="76"/>
      <c r="BB231" s="76"/>
      <c r="BC231" s="38"/>
      <c r="BD231" s="38"/>
      <c r="BE231" s="38"/>
      <c r="BF231" s="38"/>
      <c r="BG231" s="38"/>
      <c r="BH231" s="38"/>
      <c r="BI231" s="38"/>
      <c r="BJ231" s="38"/>
      <c r="BK231" s="38"/>
    </row>
    <row r="232">
      <c r="L232" s="76"/>
      <c r="R232" s="76"/>
      <c r="X232" s="76"/>
      <c r="AD232" s="76"/>
      <c r="AJ232" s="76"/>
      <c r="AP232" s="76"/>
      <c r="AV232" s="76"/>
      <c r="BB232" s="76"/>
      <c r="BC232" s="38"/>
      <c r="BD232" s="38"/>
      <c r="BE232" s="38"/>
      <c r="BF232" s="38"/>
      <c r="BG232" s="38"/>
      <c r="BH232" s="38"/>
      <c r="BI232" s="38"/>
      <c r="BJ232" s="38"/>
      <c r="BK232" s="38"/>
    </row>
    <row r="233">
      <c r="L233" s="76"/>
      <c r="R233" s="76"/>
      <c r="X233" s="76"/>
      <c r="AD233" s="76"/>
      <c r="AJ233" s="76"/>
      <c r="AP233" s="76"/>
      <c r="AV233" s="76"/>
      <c r="BB233" s="76"/>
      <c r="BC233" s="38"/>
      <c r="BD233" s="38"/>
      <c r="BE233" s="38"/>
      <c r="BF233" s="38"/>
      <c r="BG233" s="38"/>
      <c r="BH233" s="38"/>
      <c r="BI233" s="38"/>
      <c r="BJ233" s="38"/>
      <c r="BK233" s="38"/>
    </row>
    <row r="234">
      <c r="L234" s="76"/>
      <c r="R234" s="76"/>
      <c r="X234" s="76"/>
      <c r="AD234" s="76"/>
      <c r="AJ234" s="76"/>
      <c r="AP234" s="76"/>
      <c r="AV234" s="76"/>
      <c r="BB234" s="76"/>
      <c r="BC234" s="38"/>
      <c r="BD234" s="38"/>
      <c r="BE234" s="38"/>
      <c r="BF234" s="38"/>
      <c r="BG234" s="38"/>
      <c r="BH234" s="38"/>
      <c r="BI234" s="38"/>
      <c r="BJ234" s="38"/>
      <c r="BK234" s="38"/>
    </row>
    <row r="235">
      <c r="L235" s="76"/>
      <c r="R235" s="76"/>
      <c r="X235" s="76"/>
      <c r="AD235" s="76"/>
      <c r="AJ235" s="76"/>
      <c r="AP235" s="76"/>
      <c r="AV235" s="76"/>
      <c r="BB235" s="76"/>
      <c r="BC235" s="38"/>
      <c r="BD235" s="38"/>
      <c r="BE235" s="38"/>
      <c r="BF235" s="38"/>
      <c r="BG235" s="38"/>
      <c r="BH235" s="38"/>
      <c r="BI235" s="38"/>
      <c r="BJ235" s="38"/>
      <c r="BK235" s="38"/>
    </row>
    <row r="236">
      <c r="L236" s="76"/>
      <c r="R236" s="76"/>
      <c r="X236" s="76"/>
      <c r="AD236" s="76"/>
      <c r="AJ236" s="76"/>
      <c r="AP236" s="76"/>
      <c r="AV236" s="76"/>
      <c r="BB236" s="76"/>
      <c r="BC236" s="38"/>
      <c r="BD236" s="38"/>
      <c r="BE236" s="38"/>
      <c r="BF236" s="38"/>
      <c r="BG236" s="38"/>
      <c r="BH236" s="38"/>
      <c r="BI236" s="38"/>
      <c r="BJ236" s="38"/>
      <c r="BK236" s="38"/>
    </row>
    <row r="237">
      <c r="L237" s="76"/>
      <c r="R237" s="76"/>
      <c r="X237" s="76"/>
      <c r="AD237" s="76"/>
      <c r="AJ237" s="76"/>
      <c r="AP237" s="76"/>
      <c r="AV237" s="76"/>
      <c r="BB237" s="76"/>
      <c r="BC237" s="38"/>
      <c r="BD237" s="38"/>
      <c r="BE237" s="38"/>
      <c r="BF237" s="38"/>
      <c r="BG237" s="38"/>
      <c r="BH237" s="38"/>
      <c r="BI237" s="38"/>
      <c r="BJ237" s="38"/>
      <c r="BK237" s="38"/>
    </row>
    <row r="238">
      <c r="L238" s="76"/>
      <c r="R238" s="76"/>
      <c r="X238" s="76"/>
      <c r="AD238" s="76"/>
      <c r="AJ238" s="76"/>
      <c r="AP238" s="76"/>
      <c r="AV238" s="76"/>
      <c r="BB238" s="76"/>
      <c r="BC238" s="38"/>
      <c r="BD238" s="38"/>
      <c r="BE238" s="38"/>
      <c r="BF238" s="38"/>
      <c r="BG238" s="38"/>
      <c r="BH238" s="38"/>
      <c r="BI238" s="38"/>
      <c r="BJ238" s="38"/>
      <c r="BK238" s="38"/>
    </row>
    <row r="239">
      <c r="L239" s="76"/>
      <c r="R239" s="76"/>
      <c r="X239" s="76"/>
      <c r="AD239" s="76"/>
      <c r="AJ239" s="76"/>
      <c r="AP239" s="76"/>
      <c r="AV239" s="76"/>
      <c r="BB239" s="76"/>
      <c r="BC239" s="38"/>
      <c r="BD239" s="38"/>
      <c r="BE239" s="38"/>
      <c r="BF239" s="38"/>
      <c r="BG239" s="38"/>
      <c r="BH239" s="38"/>
      <c r="BI239" s="38"/>
      <c r="BJ239" s="38"/>
      <c r="BK239" s="38"/>
    </row>
    <row r="240">
      <c r="L240" s="76"/>
      <c r="R240" s="76"/>
      <c r="X240" s="76"/>
      <c r="AD240" s="76"/>
      <c r="AJ240" s="76"/>
      <c r="AP240" s="76"/>
      <c r="AV240" s="76"/>
      <c r="BB240" s="76"/>
      <c r="BC240" s="38"/>
      <c r="BD240" s="38"/>
      <c r="BE240" s="38"/>
      <c r="BF240" s="38"/>
      <c r="BG240" s="38"/>
      <c r="BH240" s="38"/>
      <c r="BI240" s="38"/>
      <c r="BJ240" s="38"/>
      <c r="BK240" s="38"/>
    </row>
    <row r="241">
      <c r="L241" s="76"/>
      <c r="R241" s="76"/>
      <c r="X241" s="76"/>
      <c r="AD241" s="76"/>
      <c r="AJ241" s="76"/>
      <c r="AP241" s="76"/>
      <c r="AV241" s="76"/>
      <c r="BB241" s="76"/>
      <c r="BC241" s="38"/>
      <c r="BD241" s="38"/>
      <c r="BE241" s="38"/>
      <c r="BF241" s="38"/>
      <c r="BG241" s="38"/>
      <c r="BH241" s="38"/>
      <c r="BI241" s="38"/>
      <c r="BJ241" s="38"/>
      <c r="BK241" s="38"/>
    </row>
    <row r="242">
      <c r="L242" s="76"/>
      <c r="R242" s="76"/>
      <c r="X242" s="76"/>
      <c r="AD242" s="76"/>
      <c r="AJ242" s="76"/>
      <c r="AP242" s="76"/>
      <c r="AV242" s="76"/>
      <c r="BB242" s="76"/>
      <c r="BC242" s="38"/>
      <c r="BD242" s="38"/>
      <c r="BE242" s="38"/>
      <c r="BF242" s="38"/>
      <c r="BG242" s="38"/>
      <c r="BH242" s="38"/>
      <c r="BI242" s="38"/>
      <c r="BJ242" s="38"/>
      <c r="BK242" s="38"/>
    </row>
    <row r="243">
      <c r="L243" s="76"/>
      <c r="R243" s="76"/>
      <c r="X243" s="76"/>
      <c r="AD243" s="76"/>
      <c r="AJ243" s="76"/>
      <c r="AP243" s="76"/>
      <c r="AV243" s="76"/>
      <c r="BB243" s="76"/>
      <c r="BC243" s="38"/>
      <c r="BD243" s="38"/>
      <c r="BE243" s="38"/>
      <c r="BF243" s="38"/>
      <c r="BG243" s="38"/>
      <c r="BH243" s="38"/>
      <c r="BI243" s="38"/>
      <c r="BJ243" s="38"/>
      <c r="BK243" s="38"/>
    </row>
    <row r="244">
      <c r="L244" s="76"/>
      <c r="R244" s="76"/>
      <c r="X244" s="76"/>
      <c r="AD244" s="76"/>
      <c r="AJ244" s="76"/>
      <c r="AP244" s="76"/>
      <c r="AV244" s="76"/>
      <c r="BB244" s="76"/>
      <c r="BC244" s="38"/>
      <c r="BD244" s="38"/>
      <c r="BE244" s="38"/>
      <c r="BF244" s="38"/>
      <c r="BG244" s="38"/>
      <c r="BH244" s="38"/>
      <c r="BI244" s="38"/>
      <c r="BJ244" s="38"/>
      <c r="BK244" s="38"/>
    </row>
    <row r="245">
      <c r="L245" s="76"/>
      <c r="R245" s="76"/>
      <c r="X245" s="76"/>
      <c r="AD245" s="76"/>
      <c r="AJ245" s="76"/>
      <c r="AP245" s="76"/>
      <c r="AV245" s="76"/>
      <c r="BB245" s="76"/>
      <c r="BC245" s="38"/>
      <c r="BD245" s="38"/>
      <c r="BE245" s="38"/>
      <c r="BF245" s="38"/>
      <c r="BG245" s="38"/>
      <c r="BH245" s="38"/>
      <c r="BI245" s="38"/>
      <c r="BJ245" s="38"/>
      <c r="BK245" s="38"/>
    </row>
    <row r="246">
      <c r="L246" s="76"/>
      <c r="R246" s="76"/>
      <c r="X246" s="76"/>
      <c r="AD246" s="76"/>
      <c r="AJ246" s="76"/>
      <c r="AP246" s="76"/>
      <c r="AV246" s="76"/>
      <c r="BB246" s="76"/>
      <c r="BC246" s="38"/>
      <c r="BD246" s="38"/>
      <c r="BE246" s="38"/>
      <c r="BF246" s="38"/>
      <c r="BG246" s="38"/>
      <c r="BH246" s="38"/>
      <c r="BI246" s="38"/>
      <c r="BJ246" s="38"/>
      <c r="BK246" s="38"/>
    </row>
    <row r="247">
      <c r="L247" s="76"/>
      <c r="R247" s="76"/>
      <c r="X247" s="76"/>
      <c r="AD247" s="76"/>
      <c r="AJ247" s="76"/>
      <c r="AP247" s="76"/>
      <c r="AV247" s="76"/>
      <c r="BB247" s="76"/>
      <c r="BC247" s="38"/>
      <c r="BD247" s="38"/>
      <c r="BE247" s="38"/>
      <c r="BF247" s="38"/>
      <c r="BG247" s="38"/>
      <c r="BH247" s="38"/>
      <c r="BI247" s="38"/>
      <c r="BJ247" s="38"/>
      <c r="BK247" s="38"/>
    </row>
    <row r="248">
      <c r="L248" s="76"/>
      <c r="R248" s="76"/>
      <c r="X248" s="76"/>
      <c r="AD248" s="76"/>
      <c r="AJ248" s="76"/>
      <c r="AP248" s="76"/>
      <c r="AV248" s="76"/>
      <c r="BB248" s="76"/>
      <c r="BC248" s="38"/>
      <c r="BD248" s="38"/>
      <c r="BE248" s="38"/>
      <c r="BF248" s="38"/>
      <c r="BG248" s="38"/>
      <c r="BH248" s="38"/>
      <c r="BI248" s="38"/>
      <c r="BJ248" s="38"/>
      <c r="BK248" s="38"/>
    </row>
    <row r="249">
      <c r="L249" s="76"/>
      <c r="R249" s="76"/>
      <c r="X249" s="76"/>
      <c r="AD249" s="76"/>
      <c r="AJ249" s="76"/>
      <c r="AP249" s="76"/>
      <c r="AV249" s="76"/>
      <c r="BB249" s="76"/>
      <c r="BC249" s="38"/>
      <c r="BD249" s="38"/>
      <c r="BE249" s="38"/>
      <c r="BF249" s="38"/>
      <c r="BG249" s="38"/>
      <c r="BH249" s="38"/>
      <c r="BI249" s="38"/>
      <c r="BJ249" s="38"/>
      <c r="BK249" s="38"/>
    </row>
    <row r="250">
      <c r="L250" s="76"/>
      <c r="R250" s="76"/>
      <c r="X250" s="76"/>
      <c r="AD250" s="76"/>
      <c r="AJ250" s="76"/>
      <c r="AP250" s="76"/>
      <c r="AV250" s="76"/>
      <c r="BB250" s="76"/>
      <c r="BC250" s="38"/>
      <c r="BD250" s="38"/>
      <c r="BE250" s="38"/>
      <c r="BF250" s="38"/>
      <c r="BG250" s="38"/>
      <c r="BH250" s="38"/>
      <c r="BI250" s="38"/>
      <c r="BJ250" s="38"/>
      <c r="BK250" s="38"/>
    </row>
    <row r="251">
      <c r="L251" s="76"/>
      <c r="R251" s="76"/>
      <c r="X251" s="76"/>
      <c r="AD251" s="76"/>
      <c r="AJ251" s="76"/>
      <c r="AP251" s="76"/>
      <c r="AV251" s="76"/>
      <c r="BB251" s="76"/>
      <c r="BC251" s="38"/>
      <c r="BD251" s="38"/>
      <c r="BE251" s="38"/>
      <c r="BF251" s="38"/>
      <c r="BG251" s="38"/>
      <c r="BH251" s="38"/>
      <c r="BI251" s="38"/>
      <c r="BJ251" s="38"/>
      <c r="BK251" s="38"/>
    </row>
    <row r="252">
      <c r="L252" s="76"/>
      <c r="R252" s="76"/>
      <c r="X252" s="76"/>
      <c r="AD252" s="76"/>
      <c r="AJ252" s="76"/>
      <c r="AP252" s="76"/>
      <c r="AV252" s="76"/>
      <c r="BB252" s="76"/>
      <c r="BC252" s="38"/>
      <c r="BD252" s="38"/>
      <c r="BE252" s="38"/>
      <c r="BF252" s="38"/>
      <c r="BG252" s="38"/>
      <c r="BH252" s="38"/>
      <c r="BI252" s="38"/>
      <c r="BJ252" s="38"/>
      <c r="BK252" s="38"/>
    </row>
    <row r="253">
      <c r="L253" s="76"/>
      <c r="R253" s="76"/>
      <c r="X253" s="76"/>
      <c r="AD253" s="76"/>
      <c r="AJ253" s="76"/>
      <c r="AP253" s="76"/>
      <c r="AV253" s="76"/>
      <c r="BB253" s="76"/>
      <c r="BC253" s="38"/>
      <c r="BD253" s="38"/>
      <c r="BE253" s="38"/>
      <c r="BF253" s="38"/>
      <c r="BG253" s="38"/>
      <c r="BH253" s="38"/>
      <c r="BI253" s="38"/>
      <c r="BJ253" s="38"/>
      <c r="BK253" s="38"/>
    </row>
    <row r="254">
      <c r="L254" s="76"/>
      <c r="R254" s="76"/>
      <c r="X254" s="76"/>
      <c r="AD254" s="76"/>
      <c r="AJ254" s="76"/>
      <c r="AP254" s="76"/>
      <c r="AV254" s="76"/>
      <c r="BB254" s="76"/>
      <c r="BC254" s="38"/>
      <c r="BD254" s="38"/>
      <c r="BE254" s="38"/>
      <c r="BF254" s="38"/>
      <c r="BG254" s="38"/>
      <c r="BH254" s="38"/>
      <c r="BI254" s="38"/>
      <c r="BJ254" s="38"/>
      <c r="BK254" s="38"/>
    </row>
    <row r="255">
      <c r="L255" s="76"/>
      <c r="R255" s="76"/>
      <c r="X255" s="76"/>
      <c r="AD255" s="76"/>
      <c r="AJ255" s="76"/>
      <c r="AP255" s="76"/>
      <c r="AV255" s="76"/>
      <c r="BB255" s="76"/>
      <c r="BC255" s="38"/>
      <c r="BD255" s="38"/>
      <c r="BE255" s="38"/>
      <c r="BF255" s="38"/>
      <c r="BG255" s="38"/>
      <c r="BH255" s="38"/>
      <c r="BI255" s="38"/>
      <c r="BJ255" s="38"/>
      <c r="BK255" s="38"/>
    </row>
    <row r="256">
      <c r="L256" s="76"/>
      <c r="R256" s="76"/>
      <c r="X256" s="76"/>
      <c r="AD256" s="76"/>
      <c r="AJ256" s="76"/>
      <c r="AP256" s="76"/>
      <c r="AV256" s="76"/>
      <c r="BB256" s="76"/>
      <c r="BC256" s="38"/>
      <c r="BD256" s="38"/>
      <c r="BE256" s="38"/>
      <c r="BF256" s="38"/>
      <c r="BG256" s="38"/>
      <c r="BH256" s="38"/>
      <c r="BI256" s="38"/>
      <c r="BJ256" s="38"/>
      <c r="BK256" s="38"/>
    </row>
    <row r="257">
      <c r="L257" s="76"/>
      <c r="R257" s="76"/>
      <c r="X257" s="76"/>
      <c r="AD257" s="76"/>
      <c r="AJ257" s="76"/>
      <c r="AP257" s="76"/>
      <c r="AV257" s="76"/>
      <c r="BB257" s="76"/>
      <c r="BC257" s="38"/>
      <c r="BD257" s="38"/>
      <c r="BE257" s="38"/>
      <c r="BF257" s="38"/>
      <c r="BG257" s="38"/>
      <c r="BH257" s="38"/>
      <c r="BI257" s="38"/>
      <c r="BJ257" s="38"/>
      <c r="BK257" s="38"/>
    </row>
    <row r="258">
      <c r="L258" s="76"/>
      <c r="R258" s="76"/>
      <c r="X258" s="76"/>
      <c r="AD258" s="76"/>
      <c r="AJ258" s="76"/>
      <c r="AP258" s="76"/>
      <c r="AV258" s="76"/>
      <c r="BB258" s="76"/>
      <c r="BC258" s="38"/>
      <c r="BD258" s="38"/>
      <c r="BE258" s="38"/>
      <c r="BF258" s="38"/>
      <c r="BG258" s="38"/>
      <c r="BH258" s="38"/>
      <c r="BI258" s="38"/>
      <c r="BJ258" s="38"/>
      <c r="BK258" s="38"/>
    </row>
    <row r="259">
      <c r="L259" s="76"/>
      <c r="R259" s="76"/>
      <c r="X259" s="76"/>
      <c r="AD259" s="76"/>
      <c r="AJ259" s="76"/>
      <c r="AP259" s="76"/>
      <c r="AV259" s="76"/>
      <c r="BB259" s="76"/>
      <c r="BC259" s="38"/>
      <c r="BD259" s="38"/>
      <c r="BE259" s="38"/>
      <c r="BF259" s="38"/>
      <c r="BG259" s="38"/>
      <c r="BH259" s="38"/>
      <c r="BI259" s="38"/>
      <c r="BJ259" s="38"/>
      <c r="BK259" s="38"/>
    </row>
    <row r="260">
      <c r="L260" s="76"/>
      <c r="R260" s="76"/>
      <c r="X260" s="76"/>
      <c r="AD260" s="76"/>
      <c r="AJ260" s="76"/>
      <c r="AP260" s="76"/>
      <c r="AV260" s="76"/>
      <c r="BB260" s="76"/>
      <c r="BC260" s="38"/>
      <c r="BD260" s="38"/>
      <c r="BE260" s="38"/>
      <c r="BF260" s="38"/>
      <c r="BG260" s="38"/>
      <c r="BH260" s="38"/>
      <c r="BI260" s="38"/>
      <c r="BJ260" s="38"/>
      <c r="BK260" s="38"/>
    </row>
    <row r="261">
      <c r="L261" s="76"/>
      <c r="R261" s="76"/>
      <c r="X261" s="76"/>
      <c r="AD261" s="76"/>
      <c r="AJ261" s="76"/>
      <c r="AP261" s="76"/>
      <c r="AV261" s="76"/>
      <c r="BB261" s="76"/>
      <c r="BC261" s="38"/>
      <c r="BD261" s="38"/>
      <c r="BE261" s="38"/>
      <c r="BF261" s="38"/>
      <c r="BG261" s="38"/>
      <c r="BH261" s="38"/>
      <c r="BI261" s="38"/>
      <c r="BJ261" s="38"/>
      <c r="BK261" s="38"/>
    </row>
    <row r="262">
      <c r="L262" s="76"/>
      <c r="R262" s="76"/>
      <c r="X262" s="76"/>
      <c r="AD262" s="76"/>
      <c r="AJ262" s="76"/>
      <c r="AP262" s="76"/>
      <c r="AV262" s="76"/>
      <c r="BB262" s="76"/>
      <c r="BC262" s="38"/>
      <c r="BD262" s="38"/>
      <c r="BE262" s="38"/>
      <c r="BF262" s="38"/>
      <c r="BG262" s="38"/>
      <c r="BH262" s="38"/>
      <c r="BI262" s="38"/>
      <c r="BJ262" s="38"/>
      <c r="BK262" s="38"/>
    </row>
    <row r="263">
      <c r="L263" s="76"/>
      <c r="R263" s="76"/>
      <c r="X263" s="76"/>
      <c r="AD263" s="76"/>
      <c r="AJ263" s="76"/>
      <c r="AP263" s="76"/>
      <c r="AV263" s="76"/>
      <c r="BB263" s="76"/>
      <c r="BC263" s="38"/>
      <c r="BD263" s="38"/>
      <c r="BE263" s="38"/>
      <c r="BF263" s="38"/>
      <c r="BG263" s="38"/>
      <c r="BH263" s="38"/>
      <c r="BI263" s="38"/>
      <c r="BJ263" s="38"/>
      <c r="BK263" s="38"/>
    </row>
    <row r="264">
      <c r="L264" s="76"/>
      <c r="R264" s="76"/>
      <c r="X264" s="76"/>
      <c r="AD264" s="76"/>
      <c r="AJ264" s="76"/>
      <c r="AP264" s="76"/>
      <c r="AV264" s="76"/>
      <c r="BB264" s="76"/>
      <c r="BC264" s="38"/>
      <c r="BD264" s="38"/>
      <c r="BE264" s="38"/>
      <c r="BF264" s="38"/>
      <c r="BG264" s="38"/>
      <c r="BH264" s="38"/>
      <c r="BI264" s="38"/>
      <c r="BJ264" s="38"/>
      <c r="BK264" s="38"/>
    </row>
    <row r="265">
      <c r="L265" s="76"/>
      <c r="R265" s="76"/>
      <c r="X265" s="76"/>
      <c r="AD265" s="76"/>
      <c r="AJ265" s="76"/>
      <c r="AP265" s="76"/>
      <c r="AV265" s="76"/>
      <c r="BB265" s="76"/>
      <c r="BC265" s="38"/>
      <c r="BD265" s="38"/>
      <c r="BE265" s="38"/>
      <c r="BF265" s="38"/>
      <c r="BG265" s="38"/>
      <c r="BH265" s="38"/>
      <c r="BI265" s="38"/>
      <c r="BJ265" s="38"/>
      <c r="BK265" s="38"/>
    </row>
    <row r="266">
      <c r="L266" s="76"/>
      <c r="R266" s="76"/>
      <c r="X266" s="76"/>
      <c r="AD266" s="76"/>
      <c r="AJ266" s="76"/>
      <c r="AP266" s="76"/>
      <c r="AV266" s="76"/>
      <c r="BB266" s="76"/>
      <c r="BC266" s="38"/>
      <c r="BD266" s="38"/>
      <c r="BE266" s="38"/>
      <c r="BF266" s="38"/>
      <c r="BG266" s="38"/>
      <c r="BH266" s="38"/>
      <c r="BI266" s="38"/>
      <c r="BJ266" s="38"/>
      <c r="BK266" s="38"/>
    </row>
    <row r="267">
      <c r="L267" s="76"/>
      <c r="R267" s="76"/>
      <c r="X267" s="76"/>
      <c r="AD267" s="76"/>
      <c r="AJ267" s="76"/>
      <c r="AP267" s="76"/>
      <c r="AV267" s="76"/>
      <c r="BB267" s="76"/>
      <c r="BC267" s="38"/>
      <c r="BD267" s="38"/>
      <c r="BE267" s="38"/>
      <c r="BF267" s="38"/>
      <c r="BG267" s="38"/>
      <c r="BH267" s="38"/>
      <c r="BI267" s="38"/>
      <c r="BJ267" s="38"/>
      <c r="BK267" s="38"/>
    </row>
    <row r="268">
      <c r="L268" s="76"/>
      <c r="R268" s="76"/>
      <c r="X268" s="76"/>
      <c r="AD268" s="76"/>
      <c r="AJ268" s="76"/>
      <c r="AP268" s="76"/>
      <c r="AV268" s="76"/>
      <c r="BB268" s="76"/>
      <c r="BC268" s="38"/>
      <c r="BD268" s="38"/>
      <c r="BE268" s="38"/>
      <c r="BF268" s="38"/>
      <c r="BG268" s="38"/>
      <c r="BH268" s="38"/>
      <c r="BI268" s="38"/>
      <c r="BJ268" s="38"/>
      <c r="BK268" s="38"/>
    </row>
    <row r="269">
      <c r="L269" s="76"/>
      <c r="R269" s="76"/>
      <c r="X269" s="76"/>
      <c r="AD269" s="76"/>
      <c r="AJ269" s="76"/>
      <c r="AP269" s="76"/>
      <c r="AV269" s="76"/>
      <c r="BB269" s="76"/>
      <c r="BC269" s="38"/>
      <c r="BD269" s="38"/>
      <c r="BE269" s="38"/>
      <c r="BF269" s="38"/>
      <c r="BG269" s="38"/>
      <c r="BH269" s="38"/>
      <c r="BI269" s="38"/>
      <c r="BJ269" s="38"/>
      <c r="BK269" s="38"/>
    </row>
    <row r="270">
      <c r="L270" s="76"/>
      <c r="R270" s="76"/>
      <c r="X270" s="76"/>
      <c r="AD270" s="76"/>
      <c r="AJ270" s="76"/>
      <c r="AP270" s="76"/>
      <c r="AV270" s="76"/>
      <c r="BB270" s="76"/>
      <c r="BC270" s="38"/>
      <c r="BD270" s="38"/>
      <c r="BE270" s="38"/>
      <c r="BF270" s="38"/>
      <c r="BG270" s="38"/>
      <c r="BH270" s="38"/>
      <c r="BI270" s="38"/>
      <c r="BJ270" s="38"/>
      <c r="BK270" s="38"/>
    </row>
    <row r="271">
      <c r="L271" s="76"/>
      <c r="R271" s="76"/>
      <c r="X271" s="76"/>
      <c r="AD271" s="76"/>
      <c r="AJ271" s="76"/>
      <c r="AP271" s="76"/>
      <c r="AV271" s="76"/>
      <c r="BB271" s="76"/>
      <c r="BC271" s="38"/>
      <c r="BD271" s="38"/>
      <c r="BE271" s="38"/>
      <c r="BF271" s="38"/>
      <c r="BG271" s="38"/>
      <c r="BH271" s="38"/>
      <c r="BI271" s="38"/>
      <c r="BJ271" s="38"/>
      <c r="BK271" s="38"/>
    </row>
    <row r="272">
      <c r="L272" s="76"/>
      <c r="R272" s="76"/>
      <c r="X272" s="76"/>
      <c r="AD272" s="76"/>
      <c r="AJ272" s="76"/>
      <c r="AP272" s="76"/>
      <c r="AV272" s="76"/>
      <c r="BB272" s="76"/>
      <c r="BC272" s="38"/>
      <c r="BD272" s="38"/>
      <c r="BE272" s="38"/>
      <c r="BF272" s="38"/>
      <c r="BG272" s="38"/>
      <c r="BH272" s="38"/>
      <c r="BI272" s="38"/>
      <c r="BJ272" s="38"/>
      <c r="BK272" s="38"/>
    </row>
    <row r="273">
      <c r="L273" s="76"/>
      <c r="R273" s="76"/>
      <c r="X273" s="76"/>
      <c r="AD273" s="76"/>
      <c r="AJ273" s="76"/>
      <c r="AP273" s="76"/>
      <c r="AV273" s="76"/>
      <c r="BB273" s="76"/>
      <c r="BC273" s="38"/>
      <c r="BD273" s="38"/>
      <c r="BE273" s="38"/>
      <c r="BF273" s="38"/>
      <c r="BG273" s="38"/>
      <c r="BH273" s="38"/>
      <c r="BI273" s="38"/>
      <c r="BJ273" s="38"/>
      <c r="BK273" s="38"/>
    </row>
    <row r="274">
      <c r="L274" s="76"/>
      <c r="R274" s="76"/>
      <c r="X274" s="76"/>
      <c r="AD274" s="76"/>
      <c r="AJ274" s="76"/>
      <c r="AP274" s="76"/>
      <c r="AV274" s="76"/>
      <c r="BB274" s="76"/>
      <c r="BC274" s="38"/>
      <c r="BD274" s="38"/>
      <c r="BE274" s="38"/>
      <c r="BF274" s="38"/>
      <c r="BG274" s="38"/>
      <c r="BH274" s="38"/>
      <c r="BI274" s="38"/>
      <c r="BJ274" s="38"/>
      <c r="BK274" s="38"/>
    </row>
    <row r="275">
      <c r="L275" s="76"/>
      <c r="R275" s="76"/>
      <c r="X275" s="76"/>
      <c r="AD275" s="76"/>
      <c r="AJ275" s="76"/>
      <c r="AP275" s="76"/>
      <c r="AV275" s="76"/>
      <c r="BB275" s="76"/>
      <c r="BC275" s="38"/>
      <c r="BD275" s="38"/>
      <c r="BE275" s="38"/>
      <c r="BF275" s="38"/>
      <c r="BG275" s="38"/>
      <c r="BH275" s="38"/>
      <c r="BI275" s="38"/>
      <c r="BJ275" s="38"/>
      <c r="BK275" s="38"/>
    </row>
    <row r="276">
      <c r="L276" s="76"/>
      <c r="R276" s="76"/>
      <c r="X276" s="76"/>
      <c r="AD276" s="76"/>
      <c r="AJ276" s="76"/>
      <c r="AP276" s="76"/>
      <c r="AV276" s="76"/>
      <c r="BB276" s="76"/>
      <c r="BC276" s="38"/>
      <c r="BD276" s="38"/>
      <c r="BE276" s="38"/>
      <c r="BF276" s="38"/>
      <c r="BG276" s="38"/>
      <c r="BH276" s="38"/>
      <c r="BI276" s="38"/>
      <c r="BJ276" s="38"/>
      <c r="BK276" s="38"/>
    </row>
    <row r="277">
      <c r="L277" s="76"/>
      <c r="R277" s="76"/>
      <c r="X277" s="76"/>
      <c r="AD277" s="76"/>
      <c r="AJ277" s="76"/>
      <c r="AP277" s="76"/>
      <c r="AV277" s="76"/>
      <c r="BB277" s="76"/>
      <c r="BC277" s="38"/>
      <c r="BD277" s="38"/>
      <c r="BE277" s="38"/>
      <c r="BF277" s="38"/>
      <c r="BG277" s="38"/>
      <c r="BH277" s="38"/>
      <c r="BI277" s="38"/>
      <c r="BJ277" s="38"/>
      <c r="BK277" s="38"/>
    </row>
    <row r="278">
      <c r="L278" s="76"/>
      <c r="R278" s="76"/>
      <c r="X278" s="76"/>
      <c r="AD278" s="76"/>
      <c r="AJ278" s="76"/>
      <c r="AP278" s="76"/>
      <c r="AV278" s="76"/>
      <c r="BB278" s="76"/>
      <c r="BC278" s="38"/>
      <c r="BD278" s="38"/>
      <c r="BE278" s="38"/>
      <c r="BF278" s="38"/>
      <c r="BG278" s="38"/>
      <c r="BH278" s="38"/>
      <c r="BI278" s="38"/>
      <c r="BJ278" s="38"/>
      <c r="BK278" s="38"/>
    </row>
    <row r="279">
      <c r="L279" s="76"/>
      <c r="R279" s="76"/>
      <c r="X279" s="76"/>
      <c r="AD279" s="76"/>
      <c r="AJ279" s="76"/>
      <c r="AP279" s="76"/>
      <c r="AV279" s="76"/>
      <c r="BB279" s="76"/>
      <c r="BC279" s="38"/>
      <c r="BD279" s="38"/>
      <c r="BE279" s="38"/>
      <c r="BF279" s="38"/>
      <c r="BG279" s="38"/>
      <c r="BH279" s="38"/>
      <c r="BI279" s="38"/>
      <c r="BJ279" s="38"/>
      <c r="BK279" s="38"/>
    </row>
    <row r="280">
      <c r="L280" s="76"/>
      <c r="R280" s="76"/>
      <c r="X280" s="76"/>
      <c r="AD280" s="76"/>
      <c r="AJ280" s="76"/>
      <c r="AP280" s="76"/>
      <c r="AV280" s="76"/>
      <c r="BB280" s="76"/>
      <c r="BC280" s="38"/>
      <c r="BD280" s="38"/>
      <c r="BE280" s="38"/>
      <c r="BF280" s="38"/>
      <c r="BG280" s="38"/>
      <c r="BH280" s="38"/>
      <c r="BI280" s="38"/>
      <c r="BJ280" s="38"/>
      <c r="BK280" s="38"/>
    </row>
    <row r="281">
      <c r="L281" s="76"/>
      <c r="R281" s="76"/>
      <c r="X281" s="76"/>
      <c r="AD281" s="76"/>
      <c r="AJ281" s="76"/>
      <c r="AP281" s="76"/>
      <c r="AV281" s="76"/>
      <c r="BB281" s="76"/>
      <c r="BC281" s="38"/>
      <c r="BD281" s="38"/>
      <c r="BE281" s="38"/>
      <c r="BF281" s="38"/>
      <c r="BG281" s="38"/>
      <c r="BH281" s="38"/>
      <c r="BI281" s="38"/>
      <c r="BJ281" s="38"/>
      <c r="BK281" s="38"/>
    </row>
    <row r="282">
      <c r="L282" s="76"/>
      <c r="R282" s="76"/>
      <c r="X282" s="76"/>
      <c r="AD282" s="76"/>
      <c r="AJ282" s="76"/>
      <c r="AP282" s="76"/>
      <c r="AV282" s="76"/>
      <c r="BB282" s="76"/>
      <c r="BC282" s="38"/>
      <c r="BD282" s="38"/>
      <c r="BE282" s="38"/>
      <c r="BF282" s="38"/>
      <c r="BG282" s="38"/>
      <c r="BH282" s="38"/>
      <c r="BI282" s="38"/>
      <c r="BJ282" s="38"/>
      <c r="BK282" s="38"/>
    </row>
    <row r="283">
      <c r="L283" s="76"/>
      <c r="R283" s="76"/>
      <c r="X283" s="76"/>
      <c r="AD283" s="76"/>
      <c r="AJ283" s="76"/>
      <c r="AP283" s="76"/>
      <c r="AV283" s="76"/>
      <c r="BB283" s="76"/>
      <c r="BC283" s="38"/>
      <c r="BD283" s="38"/>
      <c r="BE283" s="38"/>
      <c r="BF283" s="38"/>
      <c r="BG283" s="38"/>
      <c r="BH283" s="38"/>
      <c r="BI283" s="38"/>
      <c r="BJ283" s="38"/>
      <c r="BK283" s="38"/>
    </row>
    <row r="284">
      <c r="L284" s="76"/>
      <c r="R284" s="76"/>
      <c r="X284" s="76"/>
      <c r="AD284" s="76"/>
      <c r="AJ284" s="76"/>
      <c r="AP284" s="76"/>
      <c r="AV284" s="76"/>
      <c r="BB284" s="76"/>
      <c r="BC284" s="38"/>
      <c r="BD284" s="38"/>
      <c r="BE284" s="38"/>
      <c r="BF284" s="38"/>
      <c r="BG284" s="38"/>
      <c r="BH284" s="38"/>
      <c r="BI284" s="38"/>
      <c r="BJ284" s="38"/>
      <c r="BK284" s="38"/>
    </row>
    <row r="285">
      <c r="L285" s="76"/>
      <c r="R285" s="76"/>
      <c r="X285" s="76"/>
      <c r="AD285" s="76"/>
      <c r="AJ285" s="76"/>
      <c r="AP285" s="76"/>
      <c r="AV285" s="76"/>
      <c r="BB285" s="76"/>
      <c r="BC285" s="38"/>
      <c r="BD285" s="38"/>
      <c r="BE285" s="38"/>
      <c r="BF285" s="38"/>
      <c r="BG285" s="38"/>
      <c r="BH285" s="38"/>
      <c r="BI285" s="38"/>
      <c r="BJ285" s="38"/>
      <c r="BK285" s="38"/>
    </row>
    <row r="286">
      <c r="L286" s="76"/>
      <c r="R286" s="76"/>
      <c r="X286" s="76"/>
      <c r="AD286" s="76"/>
      <c r="AJ286" s="76"/>
      <c r="AP286" s="76"/>
      <c r="AV286" s="76"/>
      <c r="BB286" s="76"/>
      <c r="BC286" s="38"/>
      <c r="BD286" s="38"/>
      <c r="BE286" s="38"/>
      <c r="BF286" s="38"/>
      <c r="BG286" s="38"/>
      <c r="BH286" s="38"/>
      <c r="BI286" s="38"/>
      <c r="BJ286" s="38"/>
      <c r="BK286" s="38"/>
    </row>
    <row r="287">
      <c r="L287" s="76"/>
      <c r="R287" s="76"/>
      <c r="X287" s="76"/>
      <c r="AD287" s="76"/>
      <c r="AJ287" s="76"/>
      <c r="AP287" s="76"/>
      <c r="AV287" s="76"/>
      <c r="BB287" s="76"/>
      <c r="BC287" s="38"/>
      <c r="BD287" s="38"/>
      <c r="BE287" s="38"/>
      <c r="BF287" s="38"/>
      <c r="BG287" s="38"/>
      <c r="BH287" s="38"/>
      <c r="BI287" s="38"/>
      <c r="BJ287" s="38"/>
      <c r="BK287" s="38"/>
    </row>
    <row r="288">
      <c r="L288" s="76"/>
      <c r="R288" s="76"/>
      <c r="X288" s="76"/>
      <c r="AD288" s="76"/>
      <c r="AJ288" s="76"/>
      <c r="AP288" s="76"/>
      <c r="AV288" s="76"/>
      <c r="BB288" s="76"/>
      <c r="BC288" s="38"/>
      <c r="BD288" s="38"/>
      <c r="BE288" s="38"/>
      <c r="BF288" s="38"/>
      <c r="BG288" s="38"/>
      <c r="BH288" s="38"/>
      <c r="BI288" s="38"/>
      <c r="BJ288" s="38"/>
      <c r="BK288" s="38"/>
    </row>
    <row r="289">
      <c r="L289" s="76"/>
      <c r="R289" s="76"/>
      <c r="X289" s="76"/>
      <c r="AD289" s="76"/>
      <c r="AJ289" s="76"/>
      <c r="AP289" s="76"/>
      <c r="AV289" s="76"/>
      <c r="BB289" s="76"/>
      <c r="BC289" s="38"/>
      <c r="BD289" s="38"/>
      <c r="BE289" s="38"/>
      <c r="BF289" s="38"/>
      <c r="BG289" s="38"/>
      <c r="BH289" s="38"/>
      <c r="BI289" s="38"/>
      <c r="BJ289" s="38"/>
      <c r="BK289" s="38"/>
    </row>
    <row r="290">
      <c r="L290" s="76"/>
      <c r="R290" s="76"/>
      <c r="X290" s="76"/>
      <c r="AD290" s="76"/>
      <c r="AJ290" s="76"/>
      <c r="AP290" s="76"/>
      <c r="AV290" s="76"/>
      <c r="BB290" s="76"/>
      <c r="BC290" s="38"/>
      <c r="BD290" s="38"/>
      <c r="BE290" s="38"/>
      <c r="BF290" s="38"/>
      <c r="BG290" s="38"/>
      <c r="BH290" s="38"/>
      <c r="BI290" s="38"/>
      <c r="BJ290" s="38"/>
      <c r="BK290" s="38"/>
    </row>
    <row r="291">
      <c r="L291" s="76"/>
      <c r="R291" s="76"/>
      <c r="X291" s="76"/>
      <c r="AD291" s="76"/>
      <c r="AJ291" s="76"/>
      <c r="AP291" s="76"/>
      <c r="AV291" s="76"/>
      <c r="BB291" s="76"/>
      <c r="BC291" s="38"/>
      <c r="BD291" s="38"/>
      <c r="BE291" s="38"/>
      <c r="BF291" s="38"/>
      <c r="BG291" s="38"/>
      <c r="BH291" s="38"/>
      <c r="BI291" s="38"/>
      <c r="BJ291" s="38"/>
      <c r="BK291" s="38"/>
    </row>
    <row r="292">
      <c r="L292" s="76"/>
      <c r="R292" s="76"/>
      <c r="X292" s="76"/>
      <c r="AD292" s="76"/>
      <c r="AJ292" s="76"/>
      <c r="AP292" s="76"/>
      <c r="AV292" s="76"/>
      <c r="BB292" s="76"/>
      <c r="BC292" s="38"/>
      <c r="BD292" s="38"/>
      <c r="BE292" s="38"/>
      <c r="BF292" s="38"/>
      <c r="BG292" s="38"/>
      <c r="BH292" s="38"/>
      <c r="BI292" s="38"/>
      <c r="BJ292" s="38"/>
      <c r="BK292" s="38"/>
    </row>
    <row r="293">
      <c r="L293" s="76"/>
      <c r="R293" s="76"/>
      <c r="X293" s="76"/>
      <c r="AD293" s="76"/>
      <c r="AJ293" s="76"/>
      <c r="AP293" s="76"/>
      <c r="AV293" s="76"/>
      <c r="BB293" s="76"/>
      <c r="BC293" s="38"/>
      <c r="BD293" s="38"/>
      <c r="BE293" s="38"/>
      <c r="BF293" s="38"/>
      <c r="BG293" s="38"/>
      <c r="BH293" s="38"/>
      <c r="BI293" s="38"/>
      <c r="BJ293" s="38"/>
      <c r="BK293" s="38"/>
    </row>
    <row r="294">
      <c r="L294" s="76"/>
      <c r="R294" s="76"/>
      <c r="X294" s="76"/>
      <c r="AD294" s="76"/>
      <c r="AJ294" s="76"/>
      <c r="AP294" s="76"/>
      <c r="AV294" s="76"/>
      <c r="BB294" s="76"/>
      <c r="BC294" s="38"/>
      <c r="BD294" s="38"/>
      <c r="BE294" s="38"/>
      <c r="BF294" s="38"/>
      <c r="BG294" s="38"/>
      <c r="BH294" s="38"/>
      <c r="BI294" s="38"/>
      <c r="BJ294" s="38"/>
      <c r="BK294" s="38"/>
    </row>
    <row r="295">
      <c r="L295" s="76"/>
      <c r="R295" s="76"/>
      <c r="X295" s="76"/>
      <c r="AD295" s="76"/>
      <c r="AJ295" s="76"/>
      <c r="AP295" s="76"/>
      <c r="AV295" s="76"/>
      <c r="BB295" s="76"/>
      <c r="BC295" s="38"/>
      <c r="BD295" s="38"/>
      <c r="BE295" s="38"/>
      <c r="BF295" s="38"/>
      <c r="BG295" s="38"/>
      <c r="BH295" s="38"/>
      <c r="BI295" s="38"/>
      <c r="BJ295" s="38"/>
      <c r="BK295" s="38"/>
    </row>
    <row r="296">
      <c r="L296" s="76"/>
      <c r="R296" s="76"/>
      <c r="X296" s="76"/>
      <c r="AD296" s="76"/>
      <c r="AJ296" s="76"/>
      <c r="AP296" s="76"/>
      <c r="AV296" s="76"/>
      <c r="BB296" s="76"/>
      <c r="BC296" s="38"/>
      <c r="BD296" s="38"/>
      <c r="BE296" s="38"/>
      <c r="BF296" s="38"/>
      <c r="BG296" s="38"/>
      <c r="BH296" s="38"/>
      <c r="BI296" s="38"/>
      <c r="BJ296" s="38"/>
      <c r="BK296" s="38"/>
    </row>
    <row r="297">
      <c r="L297" s="76"/>
      <c r="R297" s="76"/>
      <c r="X297" s="76"/>
      <c r="AD297" s="76"/>
      <c r="AJ297" s="76"/>
      <c r="AP297" s="76"/>
      <c r="AV297" s="76"/>
      <c r="BB297" s="76"/>
      <c r="BC297" s="38"/>
      <c r="BD297" s="38"/>
      <c r="BE297" s="38"/>
      <c r="BF297" s="38"/>
      <c r="BG297" s="38"/>
      <c r="BH297" s="38"/>
      <c r="BI297" s="38"/>
      <c r="BJ297" s="38"/>
      <c r="BK297" s="38"/>
    </row>
    <row r="298">
      <c r="L298" s="76"/>
      <c r="R298" s="76"/>
      <c r="X298" s="76"/>
      <c r="AD298" s="76"/>
      <c r="AJ298" s="76"/>
      <c r="AP298" s="76"/>
      <c r="AV298" s="76"/>
      <c r="BB298" s="76"/>
      <c r="BC298" s="38"/>
      <c r="BD298" s="38"/>
      <c r="BE298" s="38"/>
      <c r="BF298" s="38"/>
      <c r="BG298" s="38"/>
      <c r="BH298" s="38"/>
      <c r="BI298" s="38"/>
      <c r="BJ298" s="38"/>
      <c r="BK298" s="38"/>
    </row>
    <row r="299">
      <c r="L299" s="76"/>
      <c r="R299" s="76"/>
      <c r="X299" s="76"/>
      <c r="AD299" s="76"/>
      <c r="AJ299" s="76"/>
      <c r="AP299" s="76"/>
      <c r="AV299" s="76"/>
      <c r="BB299" s="76"/>
      <c r="BC299" s="38"/>
      <c r="BD299" s="38"/>
      <c r="BE299" s="38"/>
      <c r="BF299" s="38"/>
      <c r="BG299" s="38"/>
      <c r="BH299" s="38"/>
      <c r="BI299" s="38"/>
      <c r="BJ299" s="38"/>
      <c r="BK299" s="38"/>
    </row>
    <row r="300">
      <c r="L300" s="76"/>
      <c r="R300" s="76"/>
      <c r="X300" s="76"/>
      <c r="AD300" s="76"/>
      <c r="AJ300" s="76"/>
      <c r="AP300" s="76"/>
      <c r="AV300" s="76"/>
      <c r="BB300" s="76"/>
      <c r="BC300" s="38"/>
      <c r="BD300" s="38"/>
      <c r="BE300" s="38"/>
      <c r="BF300" s="38"/>
      <c r="BG300" s="38"/>
      <c r="BH300" s="38"/>
      <c r="BI300" s="38"/>
      <c r="BJ300" s="38"/>
      <c r="BK300" s="38"/>
    </row>
    <row r="301">
      <c r="L301" s="76"/>
      <c r="R301" s="76"/>
      <c r="X301" s="76"/>
      <c r="AD301" s="76"/>
      <c r="AJ301" s="76"/>
      <c r="AP301" s="76"/>
      <c r="AV301" s="76"/>
      <c r="BB301" s="76"/>
      <c r="BC301" s="38"/>
      <c r="BD301" s="38"/>
      <c r="BE301" s="38"/>
      <c r="BF301" s="38"/>
      <c r="BG301" s="38"/>
      <c r="BH301" s="38"/>
      <c r="BI301" s="38"/>
      <c r="BJ301" s="38"/>
      <c r="BK301" s="38"/>
    </row>
    <row r="302">
      <c r="L302" s="76"/>
      <c r="R302" s="76"/>
      <c r="X302" s="76"/>
      <c r="AD302" s="76"/>
      <c r="AJ302" s="76"/>
      <c r="AP302" s="76"/>
      <c r="AV302" s="76"/>
      <c r="BB302" s="76"/>
      <c r="BC302" s="38"/>
      <c r="BD302" s="38"/>
      <c r="BE302" s="38"/>
      <c r="BF302" s="38"/>
      <c r="BG302" s="38"/>
      <c r="BH302" s="38"/>
      <c r="BI302" s="38"/>
      <c r="BJ302" s="38"/>
      <c r="BK302" s="38"/>
    </row>
    <row r="303">
      <c r="L303" s="76"/>
      <c r="R303" s="76"/>
      <c r="X303" s="76"/>
      <c r="AD303" s="76"/>
      <c r="AJ303" s="76"/>
      <c r="AP303" s="76"/>
      <c r="AV303" s="76"/>
      <c r="BB303" s="76"/>
      <c r="BC303" s="38"/>
      <c r="BD303" s="38"/>
      <c r="BE303" s="38"/>
      <c r="BF303" s="38"/>
      <c r="BG303" s="38"/>
      <c r="BH303" s="38"/>
      <c r="BI303" s="38"/>
      <c r="BJ303" s="38"/>
      <c r="BK303" s="38"/>
    </row>
    <row r="304">
      <c r="L304" s="76"/>
      <c r="R304" s="76"/>
      <c r="X304" s="76"/>
      <c r="AD304" s="76"/>
      <c r="AJ304" s="76"/>
      <c r="AP304" s="76"/>
      <c r="AV304" s="76"/>
      <c r="BB304" s="76"/>
      <c r="BC304" s="38"/>
      <c r="BD304" s="38"/>
      <c r="BE304" s="38"/>
      <c r="BF304" s="38"/>
      <c r="BG304" s="38"/>
      <c r="BH304" s="38"/>
      <c r="BI304" s="38"/>
      <c r="BJ304" s="38"/>
      <c r="BK304" s="38"/>
    </row>
    <row r="305">
      <c r="L305" s="76"/>
      <c r="R305" s="76"/>
      <c r="X305" s="76"/>
      <c r="AD305" s="76"/>
      <c r="AJ305" s="76"/>
      <c r="AP305" s="76"/>
      <c r="AV305" s="76"/>
      <c r="BB305" s="76"/>
      <c r="BC305" s="38"/>
      <c r="BD305" s="38"/>
      <c r="BE305" s="38"/>
      <c r="BF305" s="38"/>
      <c r="BG305" s="38"/>
      <c r="BH305" s="38"/>
      <c r="BI305" s="38"/>
      <c r="BJ305" s="38"/>
      <c r="BK305" s="38"/>
    </row>
    <row r="306">
      <c r="L306" s="76"/>
      <c r="R306" s="76"/>
      <c r="X306" s="76"/>
      <c r="AD306" s="76"/>
      <c r="AJ306" s="76"/>
      <c r="AP306" s="76"/>
      <c r="AV306" s="76"/>
      <c r="BB306" s="76"/>
      <c r="BC306" s="38"/>
      <c r="BD306" s="38"/>
      <c r="BE306" s="38"/>
      <c r="BF306" s="38"/>
      <c r="BG306" s="38"/>
      <c r="BH306" s="38"/>
      <c r="BI306" s="38"/>
      <c r="BJ306" s="38"/>
      <c r="BK306" s="38"/>
    </row>
    <row r="307">
      <c r="L307" s="76"/>
      <c r="R307" s="76"/>
      <c r="X307" s="76"/>
      <c r="AD307" s="76"/>
      <c r="AJ307" s="76"/>
      <c r="AP307" s="76"/>
      <c r="AV307" s="76"/>
      <c r="BB307" s="76"/>
      <c r="BC307" s="38"/>
      <c r="BD307" s="38"/>
      <c r="BE307" s="38"/>
      <c r="BF307" s="38"/>
      <c r="BG307" s="38"/>
      <c r="BH307" s="38"/>
      <c r="BI307" s="38"/>
      <c r="BJ307" s="38"/>
      <c r="BK307" s="38"/>
    </row>
    <row r="308">
      <c r="L308" s="76"/>
      <c r="R308" s="76"/>
      <c r="X308" s="76"/>
      <c r="AD308" s="76"/>
      <c r="AJ308" s="76"/>
      <c r="AP308" s="76"/>
      <c r="AV308" s="76"/>
      <c r="BB308" s="76"/>
      <c r="BC308" s="38"/>
      <c r="BD308" s="38"/>
      <c r="BE308" s="38"/>
      <c r="BF308" s="38"/>
      <c r="BG308" s="38"/>
      <c r="BH308" s="38"/>
      <c r="BI308" s="38"/>
      <c r="BJ308" s="38"/>
      <c r="BK308" s="38"/>
    </row>
    <row r="309">
      <c r="L309" s="76"/>
      <c r="R309" s="76"/>
      <c r="X309" s="76"/>
      <c r="AD309" s="76"/>
      <c r="AJ309" s="76"/>
      <c r="AP309" s="76"/>
      <c r="AV309" s="76"/>
      <c r="BB309" s="76"/>
      <c r="BC309" s="38"/>
      <c r="BD309" s="38"/>
      <c r="BE309" s="38"/>
      <c r="BF309" s="38"/>
      <c r="BG309" s="38"/>
      <c r="BH309" s="38"/>
      <c r="BI309" s="38"/>
      <c r="BJ309" s="38"/>
      <c r="BK309" s="38"/>
    </row>
    <row r="310">
      <c r="L310" s="76"/>
      <c r="R310" s="76"/>
      <c r="X310" s="76"/>
      <c r="AD310" s="76"/>
      <c r="AJ310" s="76"/>
      <c r="AP310" s="76"/>
      <c r="AV310" s="76"/>
      <c r="BB310" s="76"/>
      <c r="BC310" s="38"/>
      <c r="BD310" s="38"/>
      <c r="BE310" s="38"/>
      <c r="BF310" s="38"/>
      <c r="BG310" s="38"/>
      <c r="BH310" s="38"/>
      <c r="BI310" s="38"/>
      <c r="BJ310" s="38"/>
      <c r="BK310" s="38"/>
    </row>
    <row r="311">
      <c r="L311" s="76"/>
      <c r="R311" s="76"/>
      <c r="X311" s="76"/>
      <c r="AD311" s="76"/>
      <c r="AJ311" s="76"/>
      <c r="AP311" s="76"/>
      <c r="AV311" s="76"/>
      <c r="BB311" s="76"/>
      <c r="BC311" s="38"/>
      <c r="BD311" s="38"/>
      <c r="BE311" s="38"/>
      <c r="BF311" s="38"/>
      <c r="BG311" s="38"/>
      <c r="BH311" s="38"/>
      <c r="BI311" s="38"/>
      <c r="BJ311" s="38"/>
      <c r="BK311" s="38"/>
    </row>
    <row r="312">
      <c r="L312" s="76"/>
      <c r="R312" s="76"/>
      <c r="X312" s="76"/>
      <c r="AD312" s="76"/>
      <c r="AJ312" s="76"/>
      <c r="AP312" s="76"/>
      <c r="AV312" s="76"/>
      <c r="BB312" s="76"/>
      <c r="BC312" s="38"/>
      <c r="BD312" s="38"/>
      <c r="BE312" s="38"/>
      <c r="BF312" s="38"/>
      <c r="BG312" s="38"/>
      <c r="BH312" s="38"/>
      <c r="BI312" s="38"/>
      <c r="BJ312" s="38"/>
      <c r="BK312" s="38"/>
    </row>
    <row r="313">
      <c r="L313" s="76"/>
      <c r="R313" s="76"/>
      <c r="X313" s="76"/>
      <c r="AD313" s="76"/>
      <c r="AJ313" s="76"/>
      <c r="AP313" s="76"/>
      <c r="AV313" s="76"/>
      <c r="BB313" s="76"/>
      <c r="BC313" s="38"/>
      <c r="BD313" s="38"/>
      <c r="BE313" s="38"/>
      <c r="BF313" s="38"/>
      <c r="BG313" s="38"/>
      <c r="BH313" s="38"/>
      <c r="BI313" s="38"/>
      <c r="BJ313" s="38"/>
      <c r="BK313" s="38"/>
    </row>
    <row r="314">
      <c r="L314" s="76"/>
      <c r="R314" s="76"/>
      <c r="X314" s="76"/>
      <c r="AD314" s="76"/>
      <c r="AJ314" s="76"/>
      <c r="AP314" s="76"/>
      <c r="AV314" s="76"/>
      <c r="BB314" s="76"/>
      <c r="BC314" s="38"/>
      <c r="BD314" s="38"/>
      <c r="BE314" s="38"/>
      <c r="BF314" s="38"/>
      <c r="BG314" s="38"/>
      <c r="BH314" s="38"/>
      <c r="BI314" s="38"/>
      <c r="BJ314" s="38"/>
      <c r="BK314" s="38"/>
    </row>
    <row r="315">
      <c r="L315" s="76"/>
      <c r="R315" s="76"/>
      <c r="X315" s="76"/>
      <c r="AD315" s="76"/>
      <c r="AJ315" s="76"/>
      <c r="AP315" s="76"/>
      <c r="AV315" s="76"/>
      <c r="BB315" s="76"/>
      <c r="BC315" s="38"/>
      <c r="BD315" s="38"/>
      <c r="BE315" s="38"/>
      <c r="BF315" s="38"/>
      <c r="BG315" s="38"/>
      <c r="BH315" s="38"/>
      <c r="BI315" s="38"/>
      <c r="BJ315" s="38"/>
      <c r="BK315" s="38"/>
    </row>
    <row r="316">
      <c r="L316" s="76"/>
      <c r="R316" s="76"/>
      <c r="X316" s="76"/>
      <c r="AD316" s="76"/>
      <c r="AJ316" s="76"/>
      <c r="AP316" s="76"/>
      <c r="AV316" s="76"/>
      <c r="BB316" s="76"/>
      <c r="BC316" s="38"/>
      <c r="BD316" s="38"/>
      <c r="BE316" s="38"/>
      <c r="BF316" s="38"/>
      <c r="BG316" s="38"/>
      <c r="BH316" s="38"/>
      <c r="BI316" s="38"/>
      <c r="BJ316" s="38"/>
      <c r="BK316" s="38"/>
    </row>
    <row r="317">
      <c r="L317" s="76"/>
      <c r="R317" s="76"/>
      <c r="X317" s="76"/>
      <c r="AD317" s="76"/>
      <c r="AJ317" s="76"/>
      <c r="AP317" s="76"/>
      <c r="AV317" s="76"/>
      <c r="BB317" s="76"/>
      <c r="BC317" s="38"/>
      <c r="BD317" s="38"/>
      <c r="BE317" s="38"/>
      <c r="BF317" s="38"/>
      <c r="BG317" s="38"/>
      <c r="BH317" s="38"/>
      <c r="BI317" s="38"/>
      <c r="BJ317" s="38"/>
      <c r="BK317" s="38"/>
    </row>
    <row r="318">
      <c r="L318" s="76"/>
      <c r="R318" s="76"/>
      <c r="X318" s="76"/>
      <c r="AD318" s="76"/>
      <c r="AJ318" s="76"/>
      <c r="AP318" s="76"/>
      <c r="AV318" s="76"/>
      <c r="BB318" s="76"/>
      <c r="BC318" s="38"/>
      <c r="BD318" s="38"/>
      <c r="BE318" s="38"/>
      <c r="BF318" s="38"/>
      <c r="BG318" s="38"/>
      <c r="BH318" s="38"/>
      <c r="BI318" s="38"/>
      <c r="BJ318" s="38"/>
      <c r="BK318" s="38"/>
    </row>
    <row r="319">
      <c r="L319" s="76"/>
      <c r="R319" s="76"/>
      <c r="X319" s="76"/>
      <c r="AD319" s="76"/>
      <c r="AJ319" s="76"/>
      <c r="AP319" s="76"/>
      <c r="AV319" s="76"/>
      <c r="BB319" s="76"/>
      <c r="BC319" s="38"/>
      <c r="BD319" s="38"/>
      <c r="BE319" s="38"/>
      <c r="BF319" s="38"/>
      <c r="BG319" s="38"/>
      <c r="BH319" s="38"/>
      <c r="BI319" s="38"/>
      <c r="BJ319" s="38"/>
      <c r="BK319" s="38"/>
    </row>
    <row r="320">
      <c r="L320" s="76"/>
      <c r="R320" s="76"/>
      <c r="X320" s="76"/>
      <c r="AD320" s="76"/>
      <c r="AJ320" s="76"/>
      <c r="AP320" s="76"/>
      <c r="AV320" s="76"/>
      <c r="BB320" s="76"/>
      <c r="BC320" s="38"/>
      <c r="BD320" s="38"/>
      <c r="BE320" s="38"/>
      <c r="BF320" s="38"/>
      <c r="BG320" s="38"/>
      <c r="BH320" s="38"/>
      <c r="BI320" s="38"/>
      <c r="BJ320" s="38"/>
      <c r="BK320" s="38"/>
    </row>
    <row r="321">
      <c r="L321" s="76"/>
      <c r="R321" s="76"/>
      <c r="X321" s="76"/>
      <c r="AD321" s="76"/>
      <c r="AJ321" s="76"/>
      <c r="AP321" s="76"/>
      <c r="AV321" s="76"/>
      <c r="BB321" s="76"/>
      <c r="BC321" s="38"/>
      <c r="BD321" s="38"/>
      <c r="BE321" s="38"/>
      <c r="BF321" s="38"/>
      <c r="BG321" s="38"/>
      <c r="BH321" s="38"/>
      <c r="BI321" s="38"/>
      <c r="BJ321" s="38"/>
      <c r="BK321" s="38"/>
    </row>
    <row r="322">
      <c r="L322" s="76"/>
      <c r="R322" s="76"/>
      <c r="X322" s="76"/>
      <c r="AD322" s="76"/>
      <c r="AJ322" s="76"/>
      <c r="AP322" s="76"/>
      <c r="AV322" s="76"/>
      <c r="BB322" s="76"/>
      <c r="BC322" s="38"/>
      <c r="BD322" s="38"/>
      <c r="BE322" s="38"/>
      <c r="BF322" s="38"/>
      <c r="BG322" s="38"/>
      <c r="BH322" s="38"/>
      <c r="BI322" s="38"/>
      <c r="BJ322" s="38"/>
      <c r="BK322" s="38"/>
    </row>
    <row r="323">
      <c r="L323" s="76"/>
      <c r="R323" s="76"/>
      <c r="X323" s="76"/>
      <c r="AD323" s="76"/>
      <c r="AJ323" s="76"/>
      <c r="AP323" s="76"/>
      <c r="AV323" s="76"/>
      <c r="BB323" s="76"/>
      <c r="BC323" s="38"/>
      <c r="BD323" s="38"/>
      <c r="BE323" s="38"/>
      <c r="BF323" s="38"/>
      <c r="BG323" s="38"/>
      <c r="BH323" s="38"/>
      <c r="BI323" s="38"/>
      <c r="BJ323" s="38"/>
      <c r="BK323" s="38"/>
    </row>
    <row r="324">
      <c r="L324" s="76"/>
      <c r="R324" s="76"/>
      <c r="X324" s="76"/>
      <c r="AD324" s="76"/>
      <c r="AJ324" s="76"/>
      <c r="AP324" s="76"/>
      <c r="AV324" s="76"/>
      <c r="BB324" s="76"/>
      <c r="BC324" s="38"/>
      <c r="BD324" s="38"/>
      <c r="BE324" s="38"/>
      <c r="BF324" s="38"/>
      <c r="BG324" s="38"/>
      <c r="BH324" s="38"/>
      <c r="BI324" s="38"/>
      <c r="BJ324" s="38"/>
      <c r="BK324" s="38"/>
    </row>
    <row r="325">
      <c r="L325" s="76"/>
      <c r="R325" s="76"/>
      <c r="X325" s="76"/>
      <c r="AD325" s="76"/>
      <c r="AJ325" s="76"/>
      <c r="AP325" s="76"/>
      <c r="AV325" s="76"/>
      <c r="BB325" s="76"/>
      <c r="BC325" s="38"/>
      <c r="BD325" s="38"/>
      <c r="BE325" s="38"/>
      <c r="BF325" s="38"/>
      <c r="BG325" s="38"/>
      <c r="BH325" s="38"/>
      <c r="BI325" s="38"/>
      <c r="BJ325" s="38"/>
      <c r="BK325" s="38"/>
    </row>
    <row r="326">
      <c r="L326" s="76"/>
      <c r="R326" s="76"/>
      <c r="X326" s="76"/>
      <c r="AD326" s="76"/>
      <c r="AJ326" s="76"/>
      <c r="AP326" s="76"/>
      <c r="AV326" s="76"/>
      <c r="BB326" s="76"/>
      <c r="BC326" s="38"/>
      <c r="BD326" s="38"/>
      <c r="BE326" s="38"/>
      <c r="BF326" s="38"/>
      <c r="BG326" s="38"/>
      <c r="BH326" s="38"/>
      <c r="BI326" s="38"/>
      <c r="BJ326" s="38"/>
      <c r="BK326" s="38"/>
    </row>
    <row r="327">
      <c r="L327" s="76"/>
      <c r="R327" s="76"/>
      <c r="X327" s="76"/>
      <c r="AD327" s="76"/>
      <c r="AJ327" s="76"/>
      <c r="AP327" s="76"/>
      <c r="AV327" s="76"/>
      <c r="BB327" s="76"/>
      <c r="BC327" s="38"/>
      <c r="BD327" s="38"/>
      <c r="BE327" s="38"/>
      <c r="BF327" s="38"/>
      <c r="BG327" s="38"/>
      <c r="BH327" s="38"/>
      <c r="BI327" s="38"/>
      <c r="BJ327" s="38"/>
      <c r="BK327" s="38"/>
    </row>
    <row r="328">
      <c r="L328" s="76"/>
      <c r="R328" s="76"/>
      <c r="X328" s="76"/>
      <c r="AD328" s="76"/>
      <c r="AJ328" s="76"/>
      <c r="AP328" s="76"/>
      <c r="AV328" s="76"/>
      <c r="BB328" s="76"/>
      <c r="BC328" s="38"/>
      <c r="BD328" s="38"/>
      <c r="BE328" s="38"/>
      <c r="BF328" s="38"/>
      <c r="BG328" s="38"/>
      <c r="BH328" s="38"/>
      <c r="BI328" s="38"/>
      <c r="BJ328" s="38"/>
      <c r="BK328" s="38"/>
    </row>
    <row r="329">
      <c r="L329" s="76"/>
      <c r="R329" s="76"/>
      <c r="X329" s="76"/>
      <c r="AD329" s="76"/>
      <c r="AJ329" s="76"/>
      <c r="AP329" s="76"/>
      <c r="AV329" s="76"/>
      <c r="BB329" s="76"/>
      <c r="BC329" s="38"/>
      <c r="BD329" s="38"/>
      <c r="BE329" s="38"/>
      <c r="BF329" s="38"/>
      <c r="BG329" s="38"/>
      <c r="BH329" s="38"/>
      <c r="BI329" s="38"/>
      <c r="BJ329" s="38"/>
      <c r="BK329" s="38"/>
    </row>
    <row r="330">
      <c r="L330" s="76"/>
      <c r="R330" s="76"/>
      <c r="X330" s="76"/>
      <c r="AD330" s="76"/>
      <c r="AJ330" s="76"/>
      <c r="AP330" s="76"/>
      <c r="AV330" s="76"/>
      <c r="BB330" s="76"/>
      <c r="BC330" s="38"/>
      <c r="BD330" s="38"/>
      <c r="BE330" s="38"/>
      <c r="BF330" s="38"/>
      <c r="BG330" s="38"/>
      <c r="BH330" s="38"/>
      <c r="BI330" s="38"/>
      <c r="BJ330" s="38"/>
      <c r="BK330" s="38"/>
    </row>
    <row r="331">
      <c r="L331" s="76"/>
      <c r="R331" s="76"/>
      <c r="X331" s="76"/>
      <c r="AD331" s="76"/>
      <c r="AJ331" s="76"/>
      <c r="AP331" s="76"/>
      <c r="AV331" s="76"/>
      <c r="BB331" s="76"/>
      <c r="BC331" s="38"/>
      <c r="BD331" s="38"/>
      <c r="BE331" s="38"/>
      <c r="BF331" s="38"/>
      <c r="BG331" s="38"/>
      <c r="BH331" s="38"/>
      <c r="BI331" s="38"/>
      <c r="BJ331" s="38"/>
      <c r="BK331" s="38"/>
    </row>
    <row r="332">
      <c r="L332" s="76"/>
      <c r="R332" s="76"/>
      <c r="X332" s="76"/>
      <c r="AD332" s="76"/>
      <c r="AJ332" s="76"/>
      <c r="AP332" s="76"/>
      <c r="AV332" s="76"/>
      <c r="BB332" s="76"/>
      <c r="BC332" s="38"/>
      <c r="BD332" s="38"/>
      <c r="BE332" s="38"/>
      <c r="BF332" s="38"/>
      <c r="BG332" s="38"/>
      <c r="BH332" s="38"/>
      <c r="BI332" s="38"/>
      <c r="BJ332" s="38"/>
      <c r="BK332" s="38"/>
    </row>
    <row r="333">
      <c r="L333" s="76"/>
      <c r="R333" s="76"/>
      <c r="X333" s="76"/>
      <c r="AD333" s="76"/>
      <c r="AJ333" s="76"/>
      <c r="AP333" s="76"/>
      <c r="AV333" s="76"/>
      <c r="BB333" s="76"/>
      <c r="BC333" s="38"/>
      <c r="BD333" s="38"/>
      <c r="BE333" s="38"/>
      <c r="BF333" s="38"/>
      <c r="BG333" s="38"/>
      <c r="BH333" s="38"/>
      <c r="BI333" s="38"/>
      <c r="BJ333" s="38"/>
      <c r="BK333" s="38"/>
    </row>
    <row r="334">
      <c r="L334" s="76"/>
      <c r="R334" s="76"/>
      <c r="X334" s="76"/>
      <c r="AD334" s="76"/>
      <c r="AJ334" s="76"/>
      <c r="AP334" s="76"/>
      <c r="AV334" s="76"/>
      <c r="BB334" s="76"/>
      <c r="BC334" s="38"/>
      <c r="BD334" s="38"/>
      <c r="BE334" s="38"/>
      <c r="BF334" s="38"/>
      <c r="BG334" s="38"/>
      <c r="BH334" s="38"/>
      <c r="BI334" s="38"/>
      <c r="BJ334" s="38"/>
      <c r="BK334" s="38"/>
    </row>
    <row r="335">
      <c r="L335" s="76"/>
      <c r="R335" s="76"/>
      <c r="X335" s="76"/>
      <c r="AD335" s="76"/>
      <c r="AJ335" s="76"/>
      <c r="AP335" s="76"/>
      <c r="AV335" s="76"/>
      <c r="BB335" s="76"/>
      <c r="BC335" s="38"/>
      <c r="BD335" s="38"/>
      <c r="BE335" s="38"/>
      <c r="BF335" s="38"/>
      <c r="BG335" s="38"/>
      <c r="BH335" s="38"/>
      <c r="BI335" s="38"/>
      <c r="BJ335" s="38"/>
      <c r="BK335" s="38"/>
    </row>
    <row r="336">
      <c r="L336" s="76"/>
      <c r="R336" s="76"/>
      <c r="X336" s="76"/>
      <c r="AD336" s="76"/>
      <c r="AJ336" s="76"/>
      <c r="AP336" s="76"/>
      <c r="AV336" s="76"/>
      <c r="BB336" s="76"/>
      <c r="BC336" s="38"/>
      <c r="BD336" s="38"/>
      <c r="BE336" s="38"/>
      <c r="BF336" s="38"/>
      <c r="BG336" s="38"/>
      <c r="BH336" s="38"/>
      <c r="BI336" s="38"/>
      <c r="BJ336" s="38"/>
      <c r="BK336" s="38"/>
    </row>
    <row r="337">
      <c r="L337" s="76"/>
      <c r="R337" s="76"/>
      <c r="X337" s="76"/>
      <c r="AD337" s="76"/>
      <c r="AJ337" s="76"/>
      <c r="AP337" s="76"/>
      <c r="AV337" s="76"/>
      <c r="BB337" s="76"/>
      <c r="BC337" s="38"/>
      <c r="BD337" s="38"/>
      <c r="BE337" s="38"/>
      <c r="BF337" s="38"/>
      <c r="BG337" s="38"/>
      <c r="BH337" s="38"/>
      <c r="BI337" s="38"/>
      <c r="BJ337" s="38"/>
      <c r="BK337" s="38"/>
    </row>
    <row r="338">
      <c r="L338" s="76"/>
      <c r="R338" s="76"/>
      <c r="X338" s="76"/>
      <c r="AD338" s="76"/>
      <c r="AJ338" s="76"/>
      <c r="AP338" s="76"/>
      <c r="AV338" s="76"/>
      <c r="BB338" s="76"/>
      <c r="BC338" s="38"/>
      <c r="BD338" s="38"/>
      <c r="BE338" s="38"/>
      <c r="BF338" s="38"/>
      <c r="BG338" s="38"/>
      <c r="BH338" s="38"/>
      <c r="BI338" s="38"/>
      <c r="BJ338" s="38"/>
      <c r="BK338" s="38"/>
    </row>
    <row r="339">
      <c r="L339" s="76"/>
      <c r="R339" s="76"/>
      <c r="X339" s="76"/>
      <c r="AD339" s="76"/>
      <c r="AJ339" s="76"/>
      <c r="AP339" s="76"/>
      <c r="AV339" s="76"/>
      <c r="BB339" s="76"/>
      <c r="BC339" s="38"/>
      <c r="BD339" s="38"/>
      <c r="BE339" s="38"/>
      <c r="BF339" s="38"/>
      <c r="BG339" s="38"/>
      <c r="BH339" s="38"/>
      <c r="BI339" s="38"/>
      <c r="BJ339" s="38"/>
      <c r="BK339" s="38"/>
    </row>
    <row r="340">
      <c r="L340" s="76"/>
      <c r="R340" s="76"/>
      <c r="X340" s="76"/>
      <c r="AD340" s="76"/>
      <c r="AJ340" s="76"/>
      <c r="AP340" s="76"/>
      <c r="AV340" s="76"/>
      <c r="BB340" s="76"/>
      <c r="BC340" s="38"/>
      <c r="BD340" s="38"/>
      <c r="BE340" s="38"/>
      <c r="BF340" s="38"/>
      <c r="BG340" s="38"/>
      <c r="BH340" s="38"/>
      <c r="BI340" s="38"/>
      <c r="BJ340" s="38"/>
      <c r="BK340" s="38"/>
    </row>
    <row r="341">
      <c r="L341" s="76"/>
      <c r="R341" s="76"/>
      <c r="X341" s="76"/>
      <c r="AD341" s="76"/>
      <c r="AJ341" s="76"/>
      <c r="AP341" s="76"/>
      <c r="AV341" s="76"/>
      <c r="BB341" s="76"/>
      <c r="BC341" s="38"/>
      <c r="BD341" s="38"/>
      <c r="BE341" s="38"/>
      <c r="BF341" s="38"/>
      <c r="BG341" s="38"/>
      <c r="BH341" s="38"/>
      <c r="BI341" s="38"/>
      <c r="BJ341" s="38"/>
      <c r="BK341" s="38"/>
    </row>
    <row r="342">
      <c r="L342" s="76"/>
      <c r="R342" s="76"/>
      <c r="X342" s="76"/>
      <c r="AD342" s="76"/>
      <c r="AJ342" s="76"/>
      <c r="AP342" s="76"/>
      <c r="AV342" s="76"/>
      <c r="BB342" s="76"/>
      <c r="BC342" s="38"/>
      <c r="BD342" s="38"/>
      <c r="BE342" s="38"/>
      <c r="BF342" s="38"/>
      <c r="BG342" s="38"/>
      <c r="BH342" s="38"/>
      <c r="BI342" s="38"/>
      <c r="BJ342" s="38"/>
      <c r="BK342" s="38"/>
    </row>
    <row r="343">
      <c r="L343" s="76"/>
      <c r="R343" s="76"/>
      <c r="X343" s="76"/>
      <c r="AD343" s="76"/>
      <c r="AJ343" s="76"/>
      <c r="AP343" s="76"/>
      <c r="AV343" s="76"/>
      <c r="BB343" s="76"/>
      <c r="BC343" s="38"/>
      <c r="BD343" s="38"/>
      <c r="BE343" s="38"/>
      <c r="BF343" s="38"/>
      <c r="BG343" s="38"/>
      <c r="BH343" s="38"/>
      <c r="BI343" s="38"/>
      <c r="BJ343" s="38"/>
      <c r="BK343" s="38"/>
    </row>
    <row r="344">
      <c r="L344" s="76"/>
      <c r="R344" s="76"/>
      <c r="X344" s="76"/>
      <c r="AD344" s="76"/>
      <c r="AJ344" s="76"/>
      <c r="AP344" s="76"/>
      <c r="AV344" s="76"/>
      <c r="BB344" s="76"/>
      <c r="BC344" s="38"/>
      <c r="BD344" s="38"/>
      <c r="BE344" s="38"/>
      <c r="BF344" s="38"/>
      <c r="BG344" s="38"/>
      <c r="BH344" s="38"/>
      <c r="BI344" s="38"/>
      <c r="BJ344" s="38"/>
      <c r="BK344" s="38"/>
    </row>
    <row r="345">
      <c r="L345" s="76"/>
      <c r="R345" s="76"/>
      <c r="X345" s="76"/>
      <c r="AD345" s="76"/>
      <c r="AJ345" s="76"/>
      <c r="AP345" s="76"/>
      <c r="AV345" s="76"/>
      <c r="BB345" s="76"/>
      <c r="BC345" s="38"/>
      <c r="BD345" s="38"/>
      <c r="BE345" s="38"/>
      <c r="BF345" s="38"/>
      <c r="BG345" s="38"/>
      <c r="BH345" s="38"/>
      <c r="BI345" s="38"/>
      <c r="BJ345" s="38"/>
      <c r="BK345" s="38"/>
    </row>
    <row r="346">
      <c r="L346" s="76"/>
      <c r="R346" s="76"/>
      <c r="X346" s="76"/>
      <c r="AD346" s="76"/>
      <c r="AJ346" s="76"/>
      <c r="AP346" s="76"/>
      <c r="AV346" s="76"/>
      <c r="BB346" s="76"/>
      <c r="BC346" s="38"/>
      <c r="BD346" s="38"/>
      <c r="BE346" s="38"/>
      <c r="BF346" s="38"/>
      <c r="BG346" s="38"/>
      <c r="BH346" s="38"/>
      <c r="BI346" s="38"/>
      <c r="BJ346" s="38"/>
      <c r="BK346" s="38"/>
    </row>
    <row r="347">
      <c r="L347" s="76"/>
      <c r="R347" s="76"/>
      <c r="X347" s="76"/>
      <c r="AD347" s="76"/>
      <c r="AJ347" s="76"/>
      <c r="AP347" s="76"/>
      <c r="AV347" s="76"/>
      <c r="BB347" s="76"/>
      <c r="BC347" s="38"/>
      <c r="BD347" s="38"/>
      <c r="BE347" s="38"/>
      <c r="BF347" s="38"/>
      <c r="BG347" s="38"/>
      <c r="BH347" s="38"/>
      <c r="BI347" s="38"/>
      <c r="BJ347" s="38"/>
      <c r="BK347" s="38"/>
    </row>
    <row r="348">
      <c r="L348" s="76"/>
      <c r="R348" s="76"/>
      <c r="X348" s="76"/>
      <c r="AD348" s="76"/>
      <c r="AJ348" s="76"/>
      <c r="AP348" s="76"/>
      <c r="AV348" s="76"/>
      <c r="BB348" s="76"/>
      <c r="BC348" s="38"/>
      <c r="BD348" s="38"/>
      <c r="BE348" s="38"/>
      <c r="BF348" s="38"/>
      <c r="BG348" s="38"/>
      <c r="BH348" s="38"/>
      <c r="BI348" s="38"/>
      <c r="BJ348" s="38"/>
      <c r="BK348" s="38"/>
    </row>
    <row r="349">
      <c r="L349" s="76"/>
      <c r="R349" s="76"/>
      <c r="X349" s="76"/>
      <c r="AD349" s="76"/>
      <c r="AJ349" s="76"/>
      <c r="AP349" s="76"/>
      <c r="AV349" s="76"/>
      <c r="BB349" s="76"/>
      <c r="BC349" s="38"/>
      <c r="BD349" s="38"/>
      <c r="BE349" s="38"/>
      <c r="BF349" s="38"/>
      <c r="BG349" s="38"/>
      <c r="BH349" s="38"/>
      <c r="BI349" s="38"/>
      <c r="BJ349" s="38"/>
      <c r="BK349" s="38"/>
    </row>
    <row r="350">
      <c r="L350" s="76"/>
      <c r="R350" s="76"/>
      <c r="X350" s="76"/>
      <c r="AD350" s="76"/>
      <c r="AJ350" s="76"/>
      <c r="AP350" s="76"/>
      <c r="AV350" s="76"/>
      <c r="BB350" s="76"/>
      <c r="BC350" s="38"/>
      <c r="BD350" s="38"/>
      <c r="BE350" s="38"/>
      <c r="BF350" s="38"/>
      <c r="BG350" s="38"/>
      <c r="BH350" s="38"/>
      <c r="BI350" s="38"/>
      <c r="BJ350" s="38"/>
      <c r="BK350" s="38"/>
    </row>
    <row r="351">
      <c r="L351" s="76"/>
      <c r="R351" s="76"/>
      <c r="X351" s="76"/>
      <c r="AD351" s="76"/>
      <c r="AJ351" s="76"/>
      <c r="AP351" s="76"/>
      <c r="AV351" s="76"/>
      <c r="BB351" s="76"/>
      <c r="BC351" s="38"/>
      <c r="BD351" s="38"/>
      <c r="BE351" s="38"/>
      <c r="BF351" s="38"/>
      <c r="BG351" s="38"/>
      <c r="BH351" s="38"/>
      <c r="BI351" s="38"/>
      <c r="BJ351" s="38"/>
      <c r="BK351" s="38"/>
    </row>
    <row r="352">
      <c r="L352" s="76"/>
      <c r="R352" s="76"/>
      <c r="X352" s="76"/>
      <c r="AD352" s="76"/>
      <c r="AJ352" s="76"/>
      <c r="AP352" s="76"/>
      <c r="AV352" s="76"/>
      <c r="BB352" s="76"/>
      <c r="BC352" s="38"/>
      <c r="BD352" s="38"/>
      <c r="BE352" s="38"/>
      <c r="BF352" s="38"/>
      <c r="BG352" s="38"/>
      <c r="BH352" s="38"/>
      <c r="BI352" s="38"/>
      <c r="BJ352" s="38"/>
      <c r="BK352" s="38"/>
    </row>
    <row r="353">
      <c r="L353" s="76"/>
      <c r="R353" s="76"/>
      <c r="X353" s="76"/>
      <c r="AD353" s="76"/>
      <c r="AJ353" s="76"/>
      <c r="AP353" s="76"/>
      <c r="AV353" s="76"/>
      <c r="BB353" s="76"/>
      <c r="BC353" s="38"/>
      <c r="BD353" s="38"/>
      <c r="BE353" s="38"/>
      <c r="BF353" s="38"/>
      <c r="BG353" s="38"/>
      <c r="BH353" s="38"/>
      <c r="BI353" s="38"/>
      <c r="BJ353" s="38"/>
      <c r="BK353" s="38"/>
    </row>
    <row r="354">
      <c r="L354" s="76"/>
      <c r="R354" s="76"/>
      <c r="X354" s="76"/>
      <c r="AD354" s="76"/>
      <c r="AJ354" s="76"/>
      <c r="AP354" s="76"/>
      <c r="AV354" s="76"/>
      <c r="BB354" s="76"/>
      <c r="BC354" s="38"/>
      <c r="BD354" s="38"/>
      <c r="BE354" s="38"/>
      <c r="BF354" s="38"/>
      <c r="BG354" s="38"/>
      <c r="BH354" s="38"/>
      <c r="BI354" s="38"/>
      <c r="BJ354" s="38"/>
      <c r="BK354" s="38"/>
    </row>
    <row r="355">
      <c r="L355" s="76"/>
      <c r="R355" s="76"/>
      <c r="X355" s="76"/>
      <c r="AD355" s="76"/>
      <c r="AJ355" s="76"/>
      <c r="AP355" s="76"/>
      <c r="AV355" s="76"/>
      <c r="BB355" s="76"/>
      <c r="BC355" s="38"/>
      <c r="BD355" s="38"/>
      <c r="BE355" s="38"/>
      <c r="BF355" s="38"/>
      <c r="BG355" s="38"/>
      <c r="BH355" s="38"/>
      <c r="BI355" s="38"/>
      <c r="BJ355" s="38"/>
      <c r="BK355" s="38"/>
    </row>
    <row r="356">
      <c r="L356" s="76"/>
      <c r="R356" s="76"/>
      <c r="X356" s="76"/>
      <c r="AD356" s="76"/>
      <c r="AJ356" s="76"/>
      <c r="AP356" s="76"/>
      <c r="AV356" s="76"/>
      <c r="BB356" s="76"/>
      <c r="BC356" s="38"/>
      <c r="BD356" s="38"/>
      <c r="BE356" s="38"/>
      <c r="BF356" s="38"/>
      <c r="BG356" s="38"/>
      <c r="BH356" s="38"/>
      <c r="BI356" s="38"/>
      <c r="BJ356" s="38"/>
      <c r="BK356" s="38"/>
    </row>
    <row r="357">
      <c r="L357" s="76"/>
      <c r="R357" s="76"/>
      <c r="X357" s="76"/>
      <c r="AD357" s="76"/>
      <c r="AJ357" s="76"/>
      <c r="AP357" s="76"/>
      <c r="AV357" s="76"/>
      <c r="BB357" s="76"/>
      <c r="BC357" s="38"/>
      <c r="BD357" s="38"/>
      <c r="BE357" s="38"/>
      <c r="BF357" s="38"/>
      <c r="BG357" s="38"/>
      <c r="BH357" s="38"/>
      <c r="BI357" s="38"/>
      <c r="BJ357" s="38"/>
      <c r="BK357" s="38"/>
    </row>
    <row r="358">
      <c r="L358" s="76"/>
      <c r="R358" s="76"/>
      <c r="X358" s="76"/>
      <c r="AD358" s="76"/>
      <c r="AJ358" s="76"/>
      <c r="AP358" s="76"/>
      <c r="AV358" s="76"/>
      <c r="BB358" s="76"/>
      <c r="BC358" s="38"/>
      <c r="BD358" s="38"/>
      <c r="BE358" s="38"/>
      <c r="BF358" s="38"/>
      <c r="BG358" s="38"/>
      <c r="BH358" s="38"/>
      <c r="BI358" s="38"/>
      <c r="BJ358" s="38"/>
      <c r="BK358" s="38"/>
    </row>
    <row r="359">
      <c r="L359" s="76"/>
      <c r="R359" s="76"/>
      <c r="X359" s="76"/>
      <c r="AD359" s="76"/>
      <c r="AJ359" s="76"/>
      <c r="AP359" s="76"/>
      <c r="AV359" s="76"/>
      <c r="BB359" s="76"/>
      <c r="BC359" s="38"/>
      <c r="BD359" s="38"/>
      <c r="BE359" s="38"/>
      <c r="BF359" s="38"/>
      <c r="BG359" s="38"/>
      <c r="BH359" s="38"/>
      <c r="BI359" s="38"/>
      <c r="BJ359" s="38"/>
      <c r="BK359" s="38"/>
    </row>
    <row r="360">
      <c r="L360" s="76"/>
      <c r="R360" s="76"/>
      <c r="X360" s="76"/>
      <c r="AD360" s="76"/>
      <c r="AJ360" s="76"/>
      <c r="AP360" s="76"/>
      <c r="AV360" s="76"/>
      <c r="BB360" s="76"/>
      <c r="BC360" s="38"/>
      <c r="BD360" s="38"/>
      <c r="BE360" s="38"/>
      <c r="BF360" s="38"/>
      <c r="BG360" s="38"/>
      <c r="BH360" s="38"/>
      <c r="BI360" s="38"/>
      <c r="BJ360" s="38"/>
      <c r="BK360" s="38"/>
    </row>
    <row r="361">
      <c r="L361" s="76"/>
      <c r="R361" s="76"/>
      <c r="X361" s="76"/>
      <c r="AD361" s="76"/>
      <c r="AJ361" s="76"/>
      <c r="AP361" s="76"/>
      <c r="AV361" s="76"/>
      <c r="BB361" s="76"/>
      <c r="BC361" s="38"/>
      <c r="BD361" s="38"/>
      <c r="BE361" s="38"/>
      <c r="BF361" s="38"/>
      <c r="BG361" s="38"/>
      <c r="BH361" s="38"/>
      <c r="BI361" s="38"/>
      <c r="BJ361" s="38"/>
      <c r="BK361" s="38"/>
    </row>
    <row r="362">
      <c r="L362" s="76"/>
      <c r="R362" s="76"/>
      <c r="X362" s="76"/>
      <c r="AD362" s="76"/>
      <c r="AJ362" s="76"/>
      <c r="AP362" s="76"/>
      <c r="AV362" s="76"/>
      <c r="BB362" s="76"/>
      <c r="BC362" s="38"/>
      <c r="BD362" s="38"/>
      <c r="BE362" s="38"/>
      <c r="BF362" s="38"/>
      <c r="BG362" s="38"/>
      <c r="BH362" s="38"/>
      <c r="BI362" s="38"/>
      <c r="BJ362" s="38"/>
      <c r="BK362" s="38"/>
    </row>
    <row r="363">
      <c r="L363" s="76"/>
      <c r="R363" s="76"/>
      <c r="X363" s="76"/>
      <c r="AD363" s="76"/>
      <c r="AJ363" s="76"/>
      <c r="AP363" s="76"/>
      <c r="AV363" s="76"/>
      <c r="BB363" s="76"/>
      <c r="BC363" s="38"/>
      <c r="BD363" s="38"/>
      <c r="BE363" s="38"/>
      <c r="BF363" s="38"/>
      <c r="BG363" s="38"/>
      <c r="BH363" s="38"/>
      <c r="BI363" s="38"/>
      <c r="BJ363" s="38"/>
      <c r="BK363" s="38"/>
    </row>
    <row r="364">
      <c r="L364" s="76"/>
      <c r="R364" s="76"/>
      <c r="X364" s="76"/>
      <c r="AD364" s="76"/>
      <c r="AJ364" s="76"/>
      <c r="AP364" s="76"/>
      <c r="AV364" s="76"/>
      <c r="BB364" s="76"/>
      <c r="BC364" s="38"/>
      <c r="BD364" s="38"/>
      <c r="BE364" s="38"/>
      <c r="BF364" s="38"/>
      <c r="BG364" s="38"/>
      <c r="BH364" s="38"/>
      <c r="BI364" s="38"/>
      <c r="BJ364" s="38"/>
      <c r="BK364" s="38"/>
    </row>
    <row r="365">
      <c r="L365" s="76"/>
      <c r="R365" s="76"/>
      <c r="X365" s="76"/>
      <c r="AD365" s="76"/>
      <c r="AJ365" s="76"/>
      <c r="AP365" s="76"/>
      <c r="AV365" s="76"/>
      <c r="BB365" s="76"/>
      <c r="BC365" s="38"/>
      <c r="BD365" s="38"/>
      <c r="BE365" s="38"/>
      <c r="BF365" s="38"/>
      <c r="BG365" s="38"/>
      <c r="BH365" s="38"/>
      <c r="BI365" s="38"/>
      <c r="BJ365" s="38"/>
      <c r="BK365" s="38"/>
    </row>
    <row r="366">
      <c r="L366" s="76"/>
      <c r="R366" s="76"/>
      <c r="X366" s="76"/>
      <c r="AD366" s="76"/>
      <c r="AJ366" s="76"/>
      <c r="AP366" s="76"/>
      <c r="AV366" s="76"/>
      <c r="BB366" s="76"/>
      <c r="BC366" s="38"/>
      <c r="BD366" s="38"/>
      <c r="BE366" s="38"/>
      <c r="BF366" s="38"/>
      <c r="BG366" s="38"/>
      <c r="BH366" s="38"/>
      <c r="BI366" s="38"/>
      <c r="BJ366" s="38"/>
      <c r="BK366" s="38"/>
    </row>
    <row r="367">
      <c r="L367" s="76"/>
      <c r="R367" s="76"/>
      <c r="X367" s="76"/>
      <c r="AD367" s="76"/>
      <c r="AJ367" s="76"/>
      <c r="AP367" s="76"/>
      <c r="AV367" s="76"/>
      <c r="BB367" s="76"/>
      <c r="BC367" s="38"/>
      <c r="BD367" s="38"/>
      <c r="BE367" s="38"/>
      <c r="BF367" s="38"/>
      <c r="BG367" s="38"/>
      <c r="BH367" s="38"/>
      <c r="BI367" s="38"/>
      <c r="BJ367" s="38"/>
      <c r="BK367" s="38"/>
    </row>
    <row r="368">
      <c r="L368" s="76"/>
      <c r="R368" s="76"/>
      <c r="X368" s="76"/>
      <c r="AD368" s="76"/>
      <c r="AJ368" s="76"/>
      <c r="AP368" s="76"/>
      <c r="AV368" s="76"/>
      <c r="BB368" s="76"/>
      <c r="BC368" s="38"/>
      <c r="BD368" s="38"/>
      <c r="BE368" s="38"/>
      <c r="BF368" s="38"/>
      <c r="BG368" s="38"/>
      <c r="BH368" s="38"/>
      <c r="BI368" s="38"/>
      <c r="BJ368" s="38"/>
      <c r="BK368" s="38"/>
    </row>
    <row r="369">
      <c r="L369" s="76"/>
      <c r="R369" s="76"/>
      <c r="X369" s="76"/>
      <c r="AD369" s="76"/>
      <c r="AJ369" s="76"/>
      <c r="AP369" s="76"/>
      <c r="AV369" s="76"/>
      <c r="BB369" s="76"/>
      <c r="BC369" s="38"/>
      <c r="BD369" s="38"/>
      <c r="BE369" s="38"/>
      <c r="BF369" s="38"/>
      <c r="BG369" s="38"/>
      <c r="BH369" s="38"/>
      <c r="BI369" s="38"/>
      <c r="BJ369" s="38"/>
      <c r="BK369" s="38"/>
    </row>
    <row r="370">
      <c r="L370" s="76"/>
      <c r="R370" s="76"/>
      <c r="X370" s="76"/>
      <c r="AD370" s="76"/>
      <c r="AJ370" s="76"/>
      <c r="AP370" s="76"/>
      <c r="AV370" s="76"/>
      <c r="BB370" s="76"/>
      <c r="BC370" s="38"/>
      <c r="BD370" s="38"/>
      <c r="BE370" s="38"/>
      <c r="BF370" s="38"/>
      <c r="BG370" s="38"/>
      <c r="BH370" s="38"/>
      <c r="BI370" s="38"/>
      <c r="BJ370" s="38"/>
      <c r="BK370" s="38"/>
    </row>
    <row r="371">
      <c r="L371" s="76"/>
      <c r="R371" s="76"/>
      <c r="X371" s="76"/>
      <c r="AD371" s="76"/>
      <c r="AJ371" s="76"/>
      <c r="AP371" s="76"/>
      <c r="AV371" s="76"/>
      <c r="BB371" s="76"/>
      <c r="BC371" s="38"/>
      <c r="BD371" s="38"/>
      <c r="BE371" s="38"/>
      <c r="BF371" s="38"/>
      <c r="BG371" s="38"/>
      <c r="BH371" s="38"/>
      <c r="BI371" s="38"/>
      <c r="BJ371" s="38"/>
      <c r="BK371" s="38"/>
    </row>
    <row r="372">
      <c r="L372" s="76"/>
      <c r="R372" s="76"/>
      <c r="X372" s="76"/>
      <c r="AD372" s="76"/>
      <c r="AJ372" s="76"/>
      <c r="AP372" s="76"/>
      <c r="AV372" s="76"/>
      <c r="BB372" s="76"/>
      <c r="BC372" s="38"/>
      <c r="BD372" s="38"/>
      <c r="BE372" s="38"/>
      <c r="BF372" s="38"/>
      <c r="BG372" s="38"/>
      <c r="BH372" s="38"/>
      <c r="BI372" s="38"/>
      <c r="BJ372" s="38"/>
      <c r="BK372" s="38"/>
    </row>
    <row r="373">
      <c r="L373" s="76"/>
      <c r="R373" s="76"/>
      <c r="X373" s="76"/>
      <c r="AD373" s="76"/>
      <c r="AJ373" s="76"/>
      <c r="AP373" s="76"/>
      <c r="AV373" s="76"/>
      <c r="BB373" s="76"/>
      <c r="BC373" s="38"/>
      <c r="BD373" s="38"/>
      <c r="BE373" s="38"/>
      <c r="BF373" s="38"/>
      <c r="BG373" s="38"/>
      <c r="BH373" s="38"/>
      <c r="BI373" s="38"/>
      <c r="BJ373" s="38"/>
      <c r="BK373" s="38"/>
    </row>
    <row r="374">
      <c r="L374" s="76"/>
      <c r="R374" s="76"/>
      <c r="X374" s="76"/>
      <c r="AD374" s="76"/>
      <c r="AJ374" s="76"/>
      <c r="AP374" s="76"/>
      <c r="AV374" s="76"/>
      <c r="BB374" s="76"/>
      <c r="BC374" s="38"/>
      <c r="BD374" s="38"/>
      <c r="BE374" s="38"/>
      <c r="BF374" s="38"/>
      <c r="BG374" s="38"/>
      <c r="BH374" s="38"/>
      <c r="BI374" s="38"/>
      <c r="BJ374" s="38"/>
      <c r="BK374" s="38"/>
    </row>
    <row r="375">
      <c r="L375" s="76"/>
      <c r="R375" s="76"/>
      <c r="X375" s="76"/>
      <c r="AD375" s="76"/>
      <c r="AJ375" s="76"/>
      <c r="AP375" s="76"/>
      <c r="AV375" s="76"/>
      <c r="BB375" s="76"/>
      <c r="BC375" s="38"/>
      <c r="BD375" s="38"/>
      <c r="BE375" s="38"/>
      <c r="BF375" s="38"/>
      <c r="BG375" s="38"/>
      <c r="BH375" s="38"/>
      <c r="BI375" s="38"/>
      <c r="BJ375" s="38"/>
      <c r="BK375" s="38"/>
    </row>
    <row r="376">
      <c r="L376" s="76"/>
      <c r="R376" s="76"/>
      <c r="X376" s="76"/>
      <c r="AD376" s="76"/>
      <c r="AJ376" s="76"/>
      <c r="AP376" s="76"/>
      <c r="AV376" s="76"/>
      <c r="BB376" s="76"/>
      <c r="BC376" s="38"/>
      <c r="BD376" s="38"/>
      <c r="BE376" s="38"/>
      <c r="BF376" s="38"/>
      <c r="BG376" s="38"/>
      <c r="BH376" s="38"/>
      <c r="BI376" s="38"/>
      <c r="BJ376" s="38"/>
      <c r="BK376" s="38"/>
    </row>
    <row r="377">
      <c r="L377" s="76"/>
      <c r="R377" s="76"/>
      <c r="X377" s="76"/>
      <c r="AD377" s="76"/>
      <c r="AJ377" s="76"/>
      <c r="AP377" s="76"/>
      <c r="AV377" s="76"/>
      <c r="BB377" s="76"/>
      <c r="BC377" s="38"/>
      <c r="BD377" s="38"/>
      <c r="BE377" s="38"/>
      <c r="BF377" s="38"/>
      <c r="BG377" s="38"/>
      <c r="BH377" s="38"/>
      <c r="BI377" s="38"/>
      <c r="BJ377" s="38"/>
      <c r="BK377" s="38"/>
    </row>
    <row r="378">
      <c r="L378" s="76"/>
      <c r="R378" s="76"/>
      <c r="X378" s="76"/>
      <c r="AD378" s="76"/>
      <c r="AJ378" s="76"/>
      <c r="AP378" s="76"/>
      <c r="AV378" s="76"/>
      <c r="BB378" s="76"/>
      <c r="BC378" s="38"/>
      <c r="BD378" s="38"/>
      <c r="BE378" s="38"/>
      <c r="BF378" s="38"/>
      <c r="BG378" s="38"/>
      <c r="BH378" s="38"/>
      <c r="BI378" s="38"/>
      <c r="BJ378" s="38"/>
      <c r="BK378" s="38"/>
    </row>
    <row r="379">
      <c r="L379" s="76"/>
      <c r="R379" s="76"/>
      <c r="X379" s="76"/>
      <c r="AD379" s="76"/>
      <c r="AJ379" s="76"/>
      <c r="AP379" s="76"/>
      <c r="AV379" s="76"/>
      <c r="BB379" s="76"/>
      <c r="BC379" s="38"/>
      <c r="BD379" s="38"/>
      <c r="BE379" s="38"/>
      <c r="BF379" s="38"/>
      <c r="BG379" s="38"/>
      <c r="BH379" s="38"/>
      <c r="BI379" s="38"/>
      <c r="BJ379" s="38"/>
      <c r="BK379" s="38"/>
    </row>
    <row r="380">
      <c r="L380" s="76"/>
      <c r="R380" s="76"/>
      <c r="X380" s="76"/>
      <c r="AD380" s="76"/>
      <c r="AJ380" s="76"/>
      <c r="AP380" s="76"/>
      <c r="AV380" s="76"/>
      <c r="BB380" s="76"/>
      <c r="BC380" s="38"/>
      <c r="BD380" s="38"/>
      <c r="BE380" s="38"/>
      <c r="BF380" s="38"/>
      <c r="BG380" s="38"/>
      <c r="BH380" s="38"/>
      <c r="BI380" s="38"/>
      <c r="BJ380" s="38"/>
      <c r="BK380" s="38"/>
    </row>
    <row r="381">
      <c r="L381" s="76"/>
      <c r="R381" s="76"/>
      <c r="X381" s="76"/>
      <c r="AD381" s="76"/>
      <c r="AJ381" s="76"/>
      <c r="AP381" s="76"/>
      <c r="AV381" s="76"/>
      <c r="BB381" s="76"/>
      <c r="BC381" s="38"/>
      <c r="BD381" s="38"/>
      <c r="BE381" s="38"/>
      <c r="BF381" s="38"/>
      <c r="BG381" s="38"/>
      <c r="BH381" s="38"/>
      <c r="BI381" s="38"/>
      <c r="BJ381" s="38"/>
      <c r="BK381" s="38"/>
    </row>
    <row r="382">
      <c r="L382" s="76"/>
      <c r="R382" s="76"/>
      <c r="X382" s="76"/>
      <c r="AD382" s="76"/>
      <c r="AJ382" s="76"/>
      <c r="AP382" s="76"/>
      <c r="AV382" s="76"/>
      <c r="BB382" s="76"/>
      <c r="BC382" s="38"/>
      <c r="BD382" s="38"/>
      <c r="BE382" s="38"/>
      <c r="BF382" s="38"/>
      <c r="BG382" s="38"/>
      <c r="BH382" s="38"/>
      <c r="BI382" s="38"/>
      <c r="BJ382" s="38"/>
      <c r="BK382" s="38"/>
    </row>
    <row r="383">
      <c r="L383" s="76"/>
      <c r="R383" s="76"/>
      <c r="X383" s="76"/>
      <c r="AD383" s="76"/>
      <c r="AJ383" s="76"/>
      <c r="AP383" s="76"/>
      <c r="AV383" s="76"/>
      <c r="BB383" s="76"/>
      <c r="BC383" s="38"/>
      <c r="BD383" s="38"/>
      <c r="BE383" s="38"/>
      <c r="BF383" s="38"/>
      <c r="BG383" s="38"/>
      <c r="BH383" s="38"/>
      <c r="BI383" s="38"/>
      <c r="BJ383" s="38"/>
      <c r="BK383" s="38"/>
    </row>
    <row r="384">
      <c r="L384" s="76"/>
      <c r="R384" s="76"/>
      <c r="X384" s="76"/>
      <c r="AD384" s="76"/>
      <c r="AJ384" s="76"/>
      <c r="AP384" s="76"/>
      <c r="AV384" s="76"/>
      <c r="BB384" s="76"/>
      <c r="BC384" s="38"/>
      <c r="BD384" s="38"/>
      <c r="BE384" s="38"/>
      <c r="BF384" s="38"/>
      <c r="BG384" s="38"/>
      <c r="BH384" s="38"/>
      <c r="BI384" s="38"/>
      <c r="BJ384" s="38"/>
      <c r="BK384" s="38"/>
    </row>
    <row r="385">
      <c r="L385" s="76"/>
      <c r="R385" s="76"/>
      <c r="X385" s="76"/>
      <c r="AD385" s="76"/>
      <c r="AJ385" s="76"/>
      <c r="AP385" s="76"/>
      <c r="AV385" s="76"/>
      <c r="BB385" s="76"/>
      <c r="BC385" s="38"/>
      <c r="BD385" s="38"/>
      <c r="BE385" s="38"/>
      <c r="BF385" s="38"/>
      <c r="BG385" s="38"/>
      <c r="BH385" s="38"/>
      <c r="BI385" s="38"/>
      <c r="BJ385" s="38"/>
      <c r="BK385" s="38"/>
    </row>
    <row r="386">
      <c r="L386" s="76"/>
      <c r="R386" s="76"/>
      <c r="X386" s="76"/>
      <c r="AD386" s="76"/>
      <c r="AJ386" s="76"/>
      <c r="AP386" s="76"/>
      <c r="AV386" s="76"/>
      <c r="BB386" s="76"/>
      <c r="BC386" s="38"/>
      <c r="BD386" s="38"/>
      <c r="BE386" s="38"/>
      <c r="BF386" s="38"/>
      <c r="BG386" s="38"/>
      <c r="BH386" s="38"/>
      <c r="BI386" s="38"/>
      <c r="BJ386" s="38"/>
      <c r="BK386" s="38"/>
    </row>
    <row r="387">
      <c r="L387" s="76"/>
      <c r="R387" s="76"/>
      <c r="X387" s="76"/>
      <c r="AD387" s="76"/>
      <c r="AJ387" s="76"/>
      <c r="AP387" s="76"/>
      <c r="AV387" s="76"/>
      <c r="BB387" s="76"/>
      <c r="BC387" s="38"/>
      <c r="BD387" s="38"/>
      <c r="BE387" s="38"/>
      <c r="BF387" s="38"/>
      <c r="BG387" s="38"/>
      <c r="BH387" s="38"/>
      <c r="BI387" s="38"/>
      <c r="BJ387" s="38"/>
      <c r="BK387" s="38"/>
    </row>
    <row r="388">
      <c r="L388" s="76"/>
      <c r="R388" s="76"/>
      <c r="X388" s="76"/>
      <c r="AD388" s="76"/>
      <c r="AJ388" s="76"/>
      <c r="AP388" s="76"/>
      <c r="AV388" s="76"/>
      <c r="BB388" s="76"/>
      <c r="BC388" s="38"/>
      <c r="BD388" s="38"/>
      <c r="BE388" s="38"/>
      <c r="BF388" s="38"/>
      <c r="BG388" s="38"/>
      <c r="BH388" s="38"/>
      <c r="BI388" s="38"/>
      <c r="BJ388" s="38"/>
      <c r="BK388" s="38"/>
    </row>
    <row r="389">
      <c r="L389" s="76"/>
      <c r="R389" s="76"/>
      <c r="X389" s="76"/>
      <c r="AD389" s="76"/>
      <c r="AJ389" s="76"/>
      <c r="AP389" s="76"/>
      <c r="AV389" s="76"/>
      <c r="BB389" s="76"/>
      <c r="BC389" s="38"/>
      <c r="BD389" s="38"/>
      <c r="BE389" s="38"/>
      <c r="BF389" s="38"/>
      <c r="BG389" s="38"/>
      <c r="BH389" s="38"/>
      <c r="BI389" s="38"/>
      <c r="BJ389" s="38"/>
      <c r="BK389" s="38"/>
    </row>
    <row r="390">
      <c r="L390" s="76"/>
      <c r="R390" s="76"/>
      <c r="X390" s="76"/>
      <c r="AD390" s="76"/>
      <c r="AJ390" s="76"/>
      <c r="AP390" s="76"/>
      <c r="AV390" s="76"/>
      <c r="BB390" s="76"/>
      <c r="BC390" s="38"/>
      <c r="BD390" s="38"/>
      <c r="BE390" s="38"/>
      <c r="BF390" s="38"/>
      <c r="BG390" s="38"/>
      <c r="BH390" s="38"/>
      <c r="BI390" s="38"/>
      <c r="BJ390" s="38"/>
      <c r="BK390" s="38"/>
    </row>
    <row r="391">
      <c r="L391" s="76"/>
      <c r="R391" s="76"/>
      <c r="X391" s="76"/>
      <c r="AD391" s="76"/>
      <c r="AJ391" s="76"/>
      <c r="AP391" s="76"/>
      <c r="AV391" s="76"/>
      <c r="BB391" s="76"/>
      <c r="BC391" s="38"/>
      <c r="BD391" s="38"/>
      <c r="BE391" s="38"/>
      <c r="BF391" s="38"/>
      <c r="BG391" s="38"/>
      <c r="BH391" s="38"/>
      <c r="BI391" s="38"/>
      <c r="BJ391" s="38"/>
      <c r="BK391" s="38"/>
    </row>
    <row r="392">
      <c r="L392" s="76"/>
      <c r="R392" s="76"/>
      <c r="X392" s="76"/>
      <c r="AD392" s="76"/>
      <c r="AJ392" s="76"/>
      <c r="AP392" s="76"/>
      <c r="AV392" s="76"/>
      <c r="BB392" s="76"/>
      <c r="BC392" s="38"/>
      <c r="BD392" s="38"/>
      <c r="BE392" s="38"/>
      <c r="BF392" s="38"/>
      <c r="BG392" s="38"/>
      <c r="BH392" s="38"/>
      <c r="BI392" s="38"/>
      <c r="BJ392" s="38"/>
      <c r="BK392" s="38"/>
    </row>
    <row r="393">
      <c r="L393" s="76"/>
      <c r="R393" s="76"/>
      <c r="X393" s="76"/>
      <c r="AD393" s="76"/>
      <c r="AJ393" s="76"/>
      <c r="AP393" s="76"/>
      <c r="AV393" s="76"/>
      <c r="BB393" s="76"/>
      <c r="BC393" s="38"/>
      <c r="BD393" s="38"/>
      <c r="BE393" s="38"/>
      <c r="BF393" s="38"/>
      <c r="BG393" s="38"/>
      <c r="BH393" s="38"/>
      <c r="BI393" s="38"/>
      <c r="BJ393" s="38"/>
      <c r="BK393" s="38"/>
    </row>
    <row r="394">
      <c r="L394" s="76"/>
      <c r="R394" s="76"/>
      <c r="X394" s="76"/>
      <c r="AD394" s="76"/>
      <c r="AJ394" s="76"/>
      <c r="AP394" s="76"/>
      <c r="AV394" s="76"/>
      <c r="BB394" s="76"/>
      <c r="BC394" s="38"/>
      <c r="BD394" s="38"/>
      <c r="BE394" s="38"/>
      <c r="BF394" s="38"/>
      <c r="BG394" s="38"/>
      <c r="BH394" s="38"/>
      <c r="BI394" s="38"/>
      <c r="BJ394" s="38"/>
      <c r="BK394" s="38"/>
    </row>
    <row r="395">
      <c r="L395" s="76"/>
      <c r="R395" s="76"/>
      <c r="X395" s="76"/>
      <c r="AD395" s="76"/>
      <c r="AJ395" s="76"/>
      <c r="AP395" s="76"/>
      <c r="AV395" s="76"/>
      <c r="BB395" s="76"/>
      <c r="BC395" s="38"/>
      <c r="BD395" s="38"/>
      <c r="BE395" s="38"/>
      <c r="BF395" s="38"/>
      <c r="BG395" s="38"/>
      <c r="BH395" s="38"/>
      <c r="BI395" s="38"/>
      <c r="BJ395" s="38"/>
      <c r="BK395" s="38"/>
    </row>
    <row r="396">
      <c r="L396" s="76"/>
      <c r="R396" s="76"/>
      <c r="X396" s="76"/>
      <c r="AD396" s="76"/>
      <c r="AJ396" s="76"/>
      <c r="AP396" s="76"/>
      <c r="AV396" s="76"/>
      <c r="BB396" s="76"/>
      <c r="BC396" s="38"/>
      <c r="BD396" s="38"/>
      <c r="BE396" s="38"/>
      <c r="BF396" s="38"/>
      <c r="BG396" s="38"/>
      <c r="BH396" s="38"/>
      <c r="BI396" s="38"/>
      <c r="BJ396" s="38"/>
      <c r="BK396" s="38"/>
    </row>
    <row r="397">
      <c r="L397" s="76"/>
      <c r="R397" s="76"/>
      <c r="X397" s="76"/>
      <c r="AD397" s="76"/>
      <c r="AJ397" s="76"/>
      <c r="AP397" s="76"/>
      <c r="AV397" s="76"/>
      <c r="BB397" s="76"/>
      <c r="BC397" s="38"/>
      <c r="BD397" s="38"/>
      <c r="BE397" s="38"/>
      <c r="BF397" s="38"/>
      <c r="BG397" s="38"/>
      <c r="BH397" s="38"/>
      <c r="BI397" s="38"/>
      <c r="BJ397" s="38"/>
      <c r="BK397" s="38"/>
    </row>
    <row r="398">
      <c r="L398" s="76"/>
      <c r="R398" s="76"/>
      <c r="X398" s="76"/>
      <c r="AD398" s="76"/>
      <c r="AJ398" s="76"/>
      <c r="AP398" s="76"/>
      <c r="AV398" s="76"/>
      <c r="BB398" s="76"/>
      <c r="BC398" s="38"/>
      <c r="BD398" s="38"/>
      <c r="BE398" s="38"/>
      <c r="BF398" s="38"/>
      <c r="BG398" s="38"/>
      <c r="BH398" s="38"/>
      <c r="BI398" s="38"/>
      <c r="BJ398" s="38"/>
      <c r="BK398" s="38"/>
    </row>
    <row r="399">
      <c r="L399" s="76"/>
      <c r="R399" s="76"/>
      <c r="X399" s="76"/>
      <c r="AD399" s="76"/>
      <c r="AJ399" s="76"/>
      <c r="AP399" s="76"/>
      <c r="AV399" s="76"/>
      <c r="BB399" s="76"/>
      <c r="BC399" s="38"/>
      <c r="BD399" s="38"/>
      <c r="BE399" s="38"/>
      <c r="BF399" s="38"/>
      <c r="BG399" s="38"/>
      <c r="BH399" s="38"/>
      <c r="BI399" s="38"/>
      <c r="BJ399" s="38"/>
      <c r="BK399" s="38"/>
    </row>
    <row r="400">
      <c r="L400" s="76"/>
      <c r="R400" s="76"/>
      <c r="X400" s="76"/>
      <c r="AD400" s="76"/>
      <c r="AJ400" s="76"/>
      <c r="AP400" s="76"/>
      <c r="AV400" s="76"/>
      <c r="BB400" s="76"/>
      <c r="BC400" s="38"/>
      <c r="BD400" s="38"/>
      <c r="BE400" s="38"/>
      <c r="BF400" s="38"/>
      <c r="BG400" s="38"/>
      <c r="BH400" s="38"/>
      <c r="BI400" s="38"/>
      <c r="BJ400" s="38"/>
      <c r="BK400" s="38"/>
    </row>
    <row r="401">
      <c r="L401" s="76"/>
      <c r="R401" s="76"/>
      <c r="X401" s="76"/>
      <c r="AD401" s="76"/>
      <c r="AJ401" s="76"/>
      <c r="AP401" s="76"/>
      <c r="AV401" s="76"/>
      <c r="BB401" s="76"/>
      <c r="BC401" s="38"/>
      <c r="BD401" s="38"/>
      <c r="BE401" s="38"/>
      <c r="BF401" s="38"/>
      <c r="BG401" s="38"/>
      <c r="BH401" s="38"/>
      <c r="BI401" s="38"/>
      <c r="BJ401" s="38"/>
      <c r="BK401" s="38"/>
    </row>
    <row r="402">
      <c r="L402" s="76"/>
      <c r="R402" s="76"/>
      <c r="X402" s="76"/>
      <c r="AD402" s="76"/>
      <c r="AJ402" s="76"/>
      <c r="AP402" s="76"/>
      <c r="AV402" s="76"/>
      <c r="BB402" s="76"/>
      <c r="BC402" s="38"/>
      <c r="BD402" s="38"/>
      <c r="BE402" s="38"/>
      <c r="BF402" s="38"/>
      <c r="BG402" s="38"/>
      <c r="BH402" s="38"/>
      <c r="BI402" s="38"/>
      <c r="BJ402" s="38"/>
      <c r="BK402" s="38"/>
    </row>
    <row r="403">
      <c r="L403" s="76"/>
      <c r="R403" s="76"/>
      <c r="X403" s="76"/>
      <c r="AD403" s="76"/>
      <c r="AJ403" s="76"/>
      <c r="AP403" s="76"/>
      <c r="AV403" s="76"/>
      <c r="BB403" s="76"/>
      <c r="BC403" s="38"/>
      <c r="BD403" s="38"/>
      <c r="BE403" s="38"/>
      <c r="BF403" s="38"/>
      <c r="BG403" s="38"/>
      <c r="BH403" s="38"/>
      <c r="BI403" s="38"/>
      <c r="BJ403" s="38"/>
      <c r="BK403" s="38"/>
    </row>
    <row r="404">
      <c r="L404" s="76"/>
      <c r="R404" s="76"/>
      <c r="X404" s="76"/>
      <c r="AD404" s="76"/>
      <c r="AJ404" s="76"/>
      <c r="AP404" s="76"/>
      <c r="AV404" s="76"/>
      <c r="BB404" s="76"/>
      <c r="BC404" s="38"/>
      <c r="BD404" s="38"/>
      <c r="BE404" s="38"/>
      <c r="BF404" s="38"/>
      <c r="BG404" s="38"/>
      <c r="BH404" s="38"/>
      <c r="BI404" s="38"/>
      <c r="BJ404" s="38"/>
      <c r="BK404" s="38"/>
    </row>
    <row r="405">
      <c r="L405" s="76"/>
      <c r="R405" s="76"/>
      <c r="X405" s="76"/>
      <c r="AD405" s="76"/>
      <c r="AJ405" s="76"/>
      <c r="AP405" s="76"/>
      <c r="AV405" s="76"/>
      <c r="BB405" s="76"/>
      <c r="BC405" s="38"/>
      <c r="BD405" s="38"/>
      <c r="BE405" s="38"/>
      <c r="BF405" s="38"/>
      <c r="BG405" s="38"/>
      <c r="BH405" s="38"/>
      <c r="BI405" s="38"/>
      <c r="BJ405" s="38"/>
      <c r="BK405" s="38"/>
    </row>
    <row r="406">
      <c r="L406" s="76"/>
      <c r="R406" s="76"/>
      <c r="X406" s="76"/>
      <c r="AD406" s="76"/>
      <c r="AJ406" s="76"/>
      <c r="AP406" s="76"/>
      <c r="AV406" s="76"/>
      <c r="BB406" s="76"/>
      <c r="BC406" s="38"/>
      <c r="BD406" s="38"/>
      <c r="BE406" s="38"/>
      <c r="BF406" s="38"/>
      <c r="BG406" s="38"/>
      <c r="BH406" s="38"/>
      <c r="BI406" s="38"/>
      <c r="BJ406" s="38"/>
      <c r="BK406" s="38"/>
    </row>
    <row r="407">
      <c r="L407" s="76"/>
      <c r="R407" s="76"/>
      <c r="X407" s="76"/>
      <c r="AD407" s="76"/>
      <c r="AJ407" s="76"/>
      <c r="AP407" s="76"/>
      <c r="AV407" s="76"/>
      <c r="BB407" s="76"/>
      <c r="BC407" s="38"/>
      <c r="BD407" s="38"/>
      <c r="BE407" s="38"/>
      <c r="BF407" s="38"/>
      <c r="BG407" s="38"/>
      <c r="BH407" s="38"/>
      <c r="BI407" s="38"/>
      <c r="BJ407" s="38"/>
      <c r="BK407" s="38"/>
    </row>
    <row r="408">
      <c r="L408" s="76"/>
      <c r="R408" s="76"/>
      <c r="X408" s="76"/>
      <c r="AD408" s="76"/>
      <c r="AJ408" s="76"/>
      <c r="AP408" s="76"/>
      <c r="AV408" s="76"/>
      <c r="BB408" s="76"/>
      <c r="BC408" s="38"/>
      <c r="BD408" s="38"/>
      <c r="BE408" s="38"/>
      <c r="BF408" s="38"/>
      <c r="BG408" s="38"/>
      <c r="BH408" s="38"/>
      <c r="BI408" s="38"/>
      <c r="BJ408" s="38"/>
      <c r="BK408" s="38"/>
    </row>
    <row r="409">
      <c r="L409" s="76"/>
      <c r="R409" s="76"/>
      <c r="X409" s="76"/>
      <c r="AD409" s="76"/>
      <c r="AJ409" s="76"/>
      <c r="AP409" s="76"/>
      <c r="AV409" s="76"/>
      <c r="BB409" s="76"/>
      <c r="BC409" s="38"/>
      <c r="BD409" s="38"/>
      <c r="BE409" s="38"/>
      <c r="BF409" s="38"/>
      <c r="BG409" s="38"/>
      <c r="BH409" s="38"/>
      <c r="BI409" s="38"/>
      <c r="BJ409" s="38"/>
      <c r="BK409" s="38"/>
    </row>
    <row r="410">
      <c r="L410" s="76"/>
      <c r="R410" s="76"/>
      <c r="X410" s="76"/>
      <c r="AD410" s="76"/>
      <c r="AJ410" s="76"/>
      <c r="AP410" s="76"/>
      <c r="AV410" s="76"/>
      <c r="BB410" s="76"/>
      <c r="BC410" s="38"/>
      <c r="BD410" s="38"/>
      <c r="BE410" s="38"/>
      <c r="BF410" s="38"/>
      <c r="BG410" s="38"/>
      <c r="BH410" s="38"/>
      <c r="BI410" s="38"/>
      <c r="BJ410" s="38"/>
      <c r="BK410" s="38"/>
    </row>
    <row r="411">
      <c r="L411" s="76"/>
      <c r="R411" s="76"/>
      <c r="X411" s="76"/>
      <c r="AD411" s="76"/>
      <c r="AJ411" s="76"/>
      <c r="AP411" s="76"/>
      <c r="AV411" s="76"/>
      <c r="BB411" s="76"/>
      <c r="BC411" s="38"/>
      <c r="BD411" s="38"/>
      <c r="BE411" s="38"/>
      <c r="BF411" s="38"/>
      <c r="BG411" s="38"/>
      <c r="BH411" s="38"/>
      <c r="BI411" s="38"/>
      <c r="BJ411" s="38"/>
      <c r="BK411" s="38"/>
    </row>
    <row r="412">
      <c r="L412" s="76"/>
      <c r="R412" s="76"/>
      <c r="X412" s="76"/>
      <c r="AD412" s="76"/>
      <c r="AJ412" s="76"/>
      <c r="AP412" s="76"/>
      <c r="AV412" s="76"/>
      <c r="BB412" s="76"/>
      <c r="BC412" s="38"/>
      <c r="BD412" s="38"/>
      <c r="BE412" s="38"/>
      <c r="BF412" s="38"/>
      <c r="BG412" s="38"/>
      <c r="BH412" s="38"/>
      <c r="BI412" s="38"/>
      <c r="BJ412" s="38"/>
      <c r="BK412" s="38"/>
    </row>
    <row r="413">
      <c r="L413" s="76"/>
      <c r="R413" s="76"/>
      <c r="X413" s="76"/>
      <c r="AD413" s="76"/>
      <c r="AJ413" s="76"/>
      <c r="AP413" s="76"/>
      <c r="AV413" s="76"/>
      <c r="BB413" s="76"/>
      <c r="BC413" s="38"/>
      <c r="BD413" s="38"/>
      <c r="BE413" s="38"/>
      <c r="BF413" s="38"/>
      <c r="BG413" s="38"/>
      <c r="BH413" s="38"/>
      <c r="BI413" s="38"/>
      <c r="BJ413" s="38"/>
      <c r="BK413" s="38"/>
    </row>
    <row r="414">
      <c r="L414" s="76"/>
      <c r="R414" s="76"/>
      <c r="X414" s="76"/>
      <c r="AD414" s="76"/>
      <c r="AJ414" s="76"/>
      <c r="AP414" s="76"/>
      <c r="AV414" s="76"/>
      <c r="BB414" s="76"/>
      <c r="BC414" s="38"/>
      <c r="BD414" s="38"/>
      <c r="BE414" s="38"/>
      <c r="BF414" s="38"/>
      <c r="BG414" s="38"/>
      <c r="BH414" s="38"/>
      <c r="BI414" s="38"/>
      <c r="BJ414" s="38"/>
      <c r="BK414" s="38"/>
    </row>
    <row r="415">
      <c r="L415" s="76"/>
      <c r="R415" s="76"/>
      <c r="X415" s="76"/>
      <c r="AD415" s="76"/>
      <c r="AJ415" s="76"/>
      <c r="AP415" s="76"/>
      <c r="AV415" s="76"/>
      <c r="BB415" s="76"/>
      <c r="BC415" s="38"/>
      <c r="BD415" s="38"/>
      <c r="BE415" s="38"/>
      <c r="BF415" s="38"/>
      <c r="BG415" s="38"/>
      <c r="BH415" s="38"/>
      <c r="BI415" s="38"/>
      <c r="BJ415" s="38"/>
      <c r="BK415" s="38"/>
    </row>
    <row r="416">
      <c r="L416" s="76"/>
      <c r="R416" s="76"/>
      <c r="X416" s="76"/>
      <c r="AD416" s="76"/>
      <c r="AJ416" s="76"/>
      <c r="AP416" s="76"/>
      <c r="AV416" s="76"/>
      <c r="BB416" s="76"/>
      <c r="BC416" s="38"/>
      <c r="BD416" s="38"/>
      <c r="BE416" s="38"/>
      <c r="BF416" s="38"/>
      <c r="BG416" s="38"/>
      <c r="BH416" s="38"/>
      <c r="BI416" s="38"/>
      <c r="BJ416" s="38"/>
      <c r="BK416" s="38"/>
    </row>
    <row r="417">
      <c r="L417" s="76"/>
      <c r="R417" s="76"/>
      <c r="X417" s="76"/>
      <c r="AD417" s="76"/>
      <c r="AJ417" s="76"/>
      <c r="AP417" s="76"/>
      <c r="AV417" s="76"/>
      <c r="BB417" s="76"/>
      <c r="BC417" s="38"/>
      <c r="BD417" s="38"/>
      <c r="BE417" s="38"/>
      <c r="BF417" s="38"/>
      <c r="BG417" s="38"/>
      <c r="BH417" s="38"/>
      <c r="BI417" s="38"/>
      <c r="BJ417" s="38"/>
      <c r="BK417" s="38"/>
    </row>
    <row r="418">
      <c r="L418" s="76"/>
      <c r="R418" s="76"/>
      <c r="X418" s="76"/>
      <c r="AD418" s="76"/>
      <c r="AJ418" s="76"/>
      <c r="AP418" s="76"/>
      <c r="AV418" s="76"/>
      <c r="BB418" s="76"/>
      <c r="BC418" s="38"/>
      <c r="BD418" s="38"/>
      <c r="BE418" s="38"/>
      <c r="BF418" s="38"/>
      <c r="BG418" s="38"/>
      <c r="BH418" s="38"/>
      <c r="BI418" s="38"/>
      <c r="BJ418" s="38"/>
      <c r="BK418" s="38"/>
    </row>
    <row r="419">
      <c r="L419" s="76"/>
      <c r="R419" s="76"/>
      <c r="X419" s="76"/>
      <c r="AD419" s="76"/>
      <c r="AJ419" s="76"/>
      <c r="AP419" s="76"/>
      <c r="AV419" s="76"/>
      <c r="BB419" s="76"/>
      <c r="BC419" s="38"/>
      <c r="BD419" s="38"/>
      <c r="BE419" s="38"/>
      <c r="BF419" s="38"/>
      <c r="BG419" s="38"/>
      <c r="BH419" s="38"/>
      <c r="BI419" s="38"/>
      <c r="BJ419" s="38"/>
      <c r="BK419" s="38"/>
    </row>
    <row r="420">
      <c r="L420" s="76"/>
      <c r="R420" s="76"/>
      <c r="X420" s="76"/>
      <c r="AD420" s="76"/>
      <c r="AJ420" s="76"/>
      <c r="AP420" s="76"/>
      <c r="AV420" s="76"/>
      <c r="BB420" s="76"/>
      <c r="BC420" s="38"/>
      <c r="BD420" s="38"/>
      <c r="BE420" s="38"/>
      <c r="BF420" s="38"/>
      <c r="BG420" s="38"/>
      <c r="BH420" s="38"/>
      <c r="BI420" s="38"/>
      <c r="BJ420" s="38"/>
      <c r="BK420" s="38"/>
    </row>
    <row r="421">
      <c r="L421" s="76"/>
      <c r="R421" s="76"/>
      <c r="X421" s="76"/>
      <c r="AD421" s="76"/>
      <c r="AJ421" s="76"/>
      <c r="AP421" s="76"/>
      <c r="AV421" s="76"/>
      <c r="BB421" s="76"/>
      <c r="BC421" s="38"/>
      <c r="BD421" s="38"/>
      <c r="BE421" s="38"/>
      <c r="BF421" s="38"/>
      <c r="BG421" s="38"/>
      <c r="BH421" s="38"/>
      <c r="BI421" s="38"/>
      <c r="BJ421" s="38"/>
      <c r="BK421" s="38"/>
    </row>
    <row r="422">
      <c r="L422" s="76"/>
      <c r="R422" s="76"/>
      <c r="X422" s="76"/>
      <c r="AD422" s="76"/>
      <c r="AJ422" s="76"/>
      <c r="AP422" s="76"/>
      <c r="AV422" s="76"/>
      <c r="BB422" s="76"/>
      <c r="BC422" s="38"/>
      <c r="BD422" s="38"/>
      <c r="BE422" s="38"/>
      <c r="BF422" s="38"/>
      <c r="BG422" s="38"/>
      <c r="BH422" s="38"/>
      <c r="BI422" s="38"/>
      <c r="BJ422" s="38"/>
      <c r="BK422" s="38"/>
    </row>
    <row r="423">
      <c r="L423" s="76"/>
      <c r="R423" s="76"/>
      <c r="X423" s="76"/>
      <c r="AD423" s="76"/>
      <c r="AJ423" s="76"/>
      <c r="AP423" s="76"/>
      <c r="AV423" s="76"/>
      <c r="BB423" s="76"/>
      <c r="BC423" s="38"/>
      <c r="BD423" s="38"/>
      <c r="BE423" s="38"/>
      <c r="BF423" s="38"/>
      <c r="BG423" s="38"/>
      <c r="BH423" s="38"/>
      <c r="BI423" s="38"/>
      <c r="BJ423" s="38"/>
      <c r="BK423" s="38"/>
    </row>
    <row r="424">
      <c r="L424" s="76"/>
      <c r="R424" s="76"/>
      <c r="X424" s="76"/>
      <c r="AD424" s="76"/>
      <c r="AJ424" s="76"/>
      <c r="AP424" s="76"/>
      <c r="AV424" s="76"/>
      <c r="BB424" s="76"/>
      <c r="BC424" s="38"/>
      <c r="BD424" s="38"/>
      <c r="BE424" s="38"/>
      <c r="BF424" s="38"/>
      <c r="BG424" s="38"/>
      <c r="BH424" s="38"/>
      <c r="BI424" s="38"/>
      <c r="BJ424" s="38"/>
      <c r="BK424" s="38"/>
    </row>
    <row r="425">
      <c r="L425" s="76"/>
      <c r="R425" s="76"/>
      <c r="X425" s="76"/>
      <c r="AD425" s="76"/>
      <c r="AJ425" s="76"/>
      <c r="AP425" s="76"/>
      <c r="AV425" s="76"/>
      <c r="BB425" s="76"/>
      <c r="BC425" s="38"/>
      <c r="BD425" s="38"/>
      <c r="BE425" s="38"/>
      <c r="BF425" s="38"/>
      <c r="BG425" s="38"/>
      <c r="BH425" s="38"/>
      <c r="BI425" s="38"/>
      <c r="BJ425" s="38"/>
      <c r="BK425" s="38"/>
    </row>
    <row r="426">
      <c r="L426" s="76"/>
      <c r="R426" s="76"/>
      <c r="X426" s="76"/>
      <c r="AD426" s="76"/>
      <c r="AJ426" s="76"/>
      <c r="AP426" s="76"/>
      <c r="AV426" s="76"/>
      <c r="BB426" s="76"/>
      <c r="BC426" s="38"/>
      <c r="BD426" s="38"/>
      <c r="BE426" s="38"/>
      <c r="BF426" s="38"/>
      <c r="BG426" s="38"/>
      <c r="BH426" s="38"/>
      <c r="BI426" s="38"/>
      <c r="BJ426" s="38"/>
      <c r="BK426" s="38"/>
    </row>
    <row r="427">
      <c r="L427" s="76"/>
      <c r="R427" s="76"/>
      <c r="X427" s="76"/>
      <c r="AD427" s="76"/>
      <c r="AJ427" s="76"/>
      <c r="AP427" s="76"/>
      <c r="AV427" s="76"/>
      <c r="BB427" s="76"/>
      <c r="BC427" s="38"/>
      <c r="BD427" s="38"/>
      <c r="BE427" s="38"/>
      <c r="BF427" s="38"/>
      <c r="BG427" s="38"/>
      <c r="BH427" s="38"/>
      <c r="BI427" s="38"/>
      <c r="BJ427" s="38"/>
      <c r="BK427" s="38"/>
    </row>
    <row r="428">
      <c r="L428" s="76"/>
      <c r="R428" s="76"/>
      <c r="X428" s="76"/>
      <c r="AD428" s="76"/>
      <c r="AJ428" s="76"/>
      <c r="AP428" s="76"/>
      <c r="AV428" s="76"/>
      <c r="BB428" s="76"/>
      <c r="BC428" s="38"/>
      <c r="BD428" s="38"/>
      <c r="BE428" s="38"/>
      <c r="BF428" s="38"/>
      <c r="BG428" s="38"/>
      <c r="BH428" s="38"/>
      <c r="BI428" s="38"/>
      <c r="BJ428" s="38"/>
      <c r="BK428" s="38"/>
    </row>
    <row r="429">
      <c r="L429" s="76"/>
      <c r="R429" s="76"/>
      <c r="X429" s="76"/>
      <c r="AD429" s="76"/>
      <c r="AJ429" s="76"/>
      <c r="AP429" s="76"/>
      <c r="AV429" s="76"/>
      <c r="BB429" s="76"/>
      <c r="BC429" s="38"/>
      <c r="BD429" s="38"/>
      <c r="BE429" s="38"/>
      <c r="BF429" s="38"/>
      <c r="BG429" s="38"/>
      <c r="BH429" s="38"/>
      <c r="BI429" s="38"/>
      <c r="BJ429" s="38"/>
      <c r="BK429" s="38"/>
    </row>
    <row r="430">
      <c r="L430" s="76"/>
      <c r="R430" s="76"/>
      <c r="X430" s="76"/>
      <c r="AD430" s="76"/>
      <c r="AJ430" s="76"/>
      <c r="AP430" s="76"/>
      <c r="AV430" s="76"/>
      <c r="BB430" s="76"/>
      <c r="BC430" s="38"/>
      <c r="BD430" s="38"/>
      <c r="BE430" s="38"/>
      <c r="BF430" s="38"/>
      <c r="BG430" s="38"/>
      <c r="BH430" s="38"/>
      <c r="BI430" s="38"/>
      <c r="BJ430" s="38"/>
      <c r="BK430" s="38"/>
    </row>
    <row r="431">
      <c r="L431" s="76"/>
      <c r="R431" s="76"/>
      <c r="X431" s="76"/>
      <c r="AD431" s="76"/>
      <c r="AJ431" s="76"/>
      <c r="AP431" s="76"/>
      <c r="AV431" s="76"/>
      <c r="BB431" s="76"/>
      <c r="BC431" s="38"/>
      <c r="BD431" s="38"/>
      <c r="BE431" s="38"/>
      <c r="BF431" s="38"/>
      <c r="BG431" s="38"/>
      <c r="BH431" s="38"/>
      <c r="BI431" s="38"/>
      <c r="BJ431" s="38"/>
      <c r="BK431" s="38"/>
    </row>
    <row r="432">
      <c r="L432" s="76"/>
      <c r="R432" s="76"/>
      <c r="X432" s="76"/>
      <c r="AD432" s="76"/>
      <c r="AJ432" s="76"/>
      <c r="AP432" s="76"/>
      <c r="AV432" s="76"/>
      <c r="BB432" s="76"/>
      <c r="BC432" s="38"/>
      <c r="BD432" s="38"/>
      <c r="BE432" s="38"/>
      <c r="BF432" s="38"/>
      <c r="BG432" s="38"/>
      <c r="BH432" s="38"/>
      <c r="BI432" s="38"/>
      <c r="BJ432" s="38"/>
      <c r="BK432" s="38"/>
    </row>
    <row r="433">
      <c r="L433" s="76"/>
      <c r="R433" s="76"/>
      <c r="X433" s="76"/>
      <c r="AD433" s="76"/>
      <c r="AJ433" s="76"/>
      <c r="AP433" s="76"/>
      <c r="AV433" s="76"/>
      <c r="BB433" s="76"/>
      <c r="BC433" s="38"/>
      <c r="BD433" s="38"/>
      <c r="BE433" s="38"/>
      <c r="BF433" s="38"/>
      <c r="BG433" s="38"/>
      <c r="BH433" s="38"/>
      <c r="BI433" s="38"/>
      <c r="BJ433" s="38"/>
      <c r="BK433" s="38"/>
    </row>
    <row r="434">
      <c r="L434" s="76"/>
      <c r="R434" s="76"/>
      <c r="X434" s="76"/>
      <c r="AD434" s="76"/>
      <c r="AJ434" s="76"/>
      <c r="AP434" s="76"/>
      <c r="AV434" s="76"/>
      <c r="BB434" s="76"/>
      <c r="BC434" s="38"/>
      <c r="BD434" s="38"/>
      <c r="BE434" s="38"/>
      <c r="BF434" s="38"/>
      <c r="BG434" s="38"/>
      <c r="BH434" s="38"/>
      <c r="BI434" s="38"/>
      <c r="BJ434" s="38"/>
      <c r="BK434" s="38"/>
    </row>
    <row r="435">
      <c r="L435" s="76"/>
      <c r="R435" s="76"/>
      <c r="X435" s="76"/>
      <c r="AD435" s="76"/>
      <c r="AJ435" s="76"/>
      <c r="AP435" s="76"/>
      <c r="AV435" s="76"/>
      <c r="BB435" s="76"/>
      <c r="BC435" s="38"/>
      <c r="BD435" s="38"/>
      <c r="BE435" s="38"/>
      <c r="BF435" s="38"/>
      <c r="BG435" s="38"/>
      <c r="BH435" s="38"/>
      <c r="BI435" s="38"/>
      <c r="BJ435" s="38"/>
      <c r="BK435" s="38"/>
    </row>
    <row r="436">
      <c r="L436" s="76"/>
      <c r="R436" s="76"/>
      <c r="X436" s="76"/>
      <c r="AD436" s="76"/>
      <c r="AJ436" s="76"/>
      <c r="AP436" s="76"/>
      <c r="AV436" s="76"/>
      <c r="BB436" s="76"/>
      <c r="BC436" s="38"/>
      <c r="BD436" s="38"/>
      <c r="BE436" s="38"/>
      <c r="BF436" s="38"/>
      <c r="BG436" s="38"/>
      <c r="BH436" s="38"/>
      <c r="BI436" s="38"/>
      <c r="BJ436" s="38"/>
      <c r="BK436" s="38"/>
    </row>
    <row r="437">
      <c r="L437" s="76"/>
      <c r="R437" s="76"/>
      <c r="X437" s="76"/>
      <c r="AD437" s="76"/>
      <c r="AJ437" s="76"/>
      <c r="AP437" s="76"/>
      <c r="AV437" s="76"/>
      <c r="BB437" s="76"/>
      <c r="BC437" s="38"/>
      <c r="BD437" s="38"/>
      <c r="BE437" s="38"/>
      <c r="BF437" s="38"/>
      <c r="BG437" s="38"/>
      <c r="BH437" s="38"/>
      <c r="BI437" s="38"/>
      <c r="BJ437" s="38"/>
      <c r="BK437" s="38"/>
    </row>
    <row r="438">
      <c r="L438" s="76"/>
      <c r="R438" s="76"/>
      <c r="X438" s="76"/>
      <c r="AD438" s="76"/>
      <c r="AJ438" s="76"/>
      <c r="AP438" s="76"/>
      <c r="AV438" s="76"/>
      <c r="BB438" s="76"/>
      <c r="BC438" s="38"/>
      <c r="BD438" s="38"/>
      <c r="BE438" s="38"/>
      <c r="BF438" s="38"/>
      <c r="BG438" s="38"/>
      <c r="BH438" s="38"/>
      <c r="BI438" s="38"/>
      <c r="BJ438" s="38"/>
      <c r="BK438" s="38"/>
    </row>
    <row r="439">
      <c r="L439" s="76"/>
      <c r="R439" s="76"/>
      <c r="X439" s="76"/>
      <c r="AD439" s="76"/>
      <c r="AJ439" s="76"/>
      <c r="AP439" s="76"/>
      <c r="AV439" s="76"/>
      <c r="BB439" s="76"/>
      <c r="BC439" s="38"/>
      <c r="BD439" s="38"/>
      <c r="BE439" s="38"/>
      <c r="BF439" s="38"/>
      <c r="BG439" s="38"/>
      <c r="BH439" s="38"/>
      <c r="BI439" s="38"/>
      <c r="BJ439" s="38"/>
      <c r="BK439" s="38"/>
    </row>
    <row r="440">
      <c r="L440" s="76"/>
      <c r="R440" s="76"/>
      <c r="X440" s="76"/>
      <c r="AD440" s="76"/>
      <c r="AJ440" s="76"/>
      <c r="AP440" s="76"/>
      <c r="AV440" s="76"/>
      <c r="BB440" s="76"/>
      <c r="BC440" s="38"/>
      <c r="BD440" s="38"/>
      <c r="BE440" s="38"/>
      <c r="BF440" s="38"/>
      <c r="BG440" s="38"/>
      <c r="BH440" s="38"/>
      <c r="BI440" s="38"/>
      <c r="BJ440" s="38"/>
      <c r="BK440" s="38"/>
    </row>
    <row r="441">
      <c r="L441" s="76"/>
      <c r="R441" s="76"/>
      <c r="X441" s="76"/>
      <c r="AD441" s="76"/>
      <c r="AJ441" s="76"/>
      <c r="AP441" s="76"/>
      <c r="AV441" s="76"/>
      <c r="BB441" s="76"/>
      <c r="BC441" s="38"/>
      <c r="BD441" s="38"/>
      <c r="BE441" s="38"/>
      <c r="BF441" s="38"/>
      <c r="BG441" s="38"/>
      <c r="BH441" s="38"/>
      <c r="BI441" s="38"/>
      <c r="BJ441" s="38"/>
      <c r="BK441" s="38"/>
    </row>
    <row r="442">
      <c r="L442" s="76"/>
      <c r="R442" s="76"/>
      <c r="X442" s="76"/>
      <c r="AD442" s="76"/>
      <c r="AJ442" s="76"/>
      <c r="AP442" s="76"/>
      <c r="AV442" s="76"/>
      <c r="BB442" s="76"/>
      <c r="BC442" s="38"/>
      <c r="BD442" s="38"/>
      <c r="BE442" s="38"/>
      <c r="BF442" s="38"/>
      <c r="BG442" s="38"/>
      <c r="BH442" s="38"/>
      <c r="BI442" s="38"/>
      <c r="BJ442" s="38"/>
      <c r="BK442" s="38"/>
    </row>
    <row r="443">
      <c r="L443" s="76"/>
      <c r="R443" s="76"/>
      <c r="X443" s="76"/>
      <c r="AD443" s="76"/>
      <c r="AJ443" s="76"/>
      <c r="AP443" s="76"/>
      <c r="AV443" s="76"/>
      <c r="BB443" s="76"/>
      <c r="BC443" s="38"/>
      <c r="BD443" s="38"/>
      <c r="BE443" s="38"/>
      <c r="BF443" s="38"/>
      <c r="BG443" s="38"/>
      <c r="BH443" s="38"/>
      <c r="BI443" s="38"/>
      <c r="BJ443" s="38"/>
      <c r="BK443" s="38"/>
    </row>
    <row r="444">
      <c r="L444" s="76"/>
      <c r="R444" s="76"/>
      <c r="X444" s="76"/>
      <c r="AD444" s="76"/>
      <c r="AJ444" s="76"/>
      <c r="AP444" s="76"/>
      <c r="AV444" s="76"/>
      <c r="BB444" s="76"/>
      <c r="BC444" s="38"/>
      <c r="BD444" s="38"/>
      <c r="BE444" s="38"/>
      <c r="BF444" s="38"/>
      <c r="BG444" s="38"/>
      <c r="BH444" s="38"/>
      <c r="BI444" s="38"/>
      <c r="BJ444" s="38"/>
      <c r="BK444" s="38"/>
    </row>
    <row r="445">
      <c r="L445" s="76"/>
      <c r="R445" s="76"/>
      <c r="X445" s="76"/>
      <c r="AD445" s="76"/>
      <c r="AJ445" s="76"/>
      <c r="AP445" s="76"/>
      <c r="AV445" s="76"/>
      <c r="BB445" s="76"/>
      <c r="BC445" s="38"/>
      <c r="BD445" s="38"/>
      <c r="BE445" s="38"/>
      <c r="BF445" s="38"/>
      <c r="BG445" s="38"/>
      <c r="BH445" s="38"/>
      <c r="BI445" s="38"/>
      <c r="BJ445" s="38"/>
      <c r="BK445" s="38"/>
    </row>
    <row r="446">
      <c r="L446" s="76"/>
      <c r="R446" s="76"/>
      <c r="X446" s="76"/>
      <c r="AD446" s="76"/>
      <c r="AJ446" s="76"/>
      <c r="AP446" s="76"/>
      <c r="AV446" s="76"/>
      <c r="BB446" s="76"/>
      <c r="BC446" s="38"/>
      <c r="BD446" s="38"/>
      <c r="BE446" s="38"/>
      <c r="BF446" s="38"/>
      <c r="BG446" s="38"/>
      <c r="BH446" s="38"/>
      <c r="BI446" s="38"/>
      <c r="BJ446" s="38"/>
      <c r="BK446" s="38"/>
    </row>
    <row r="447">
      <c r="L447" s="76"/>
      <c r="R447" s="76"/>
      <c r="X447" s="76"/>
      <c r="AD447" s="76"/>
      <c r="AJ447" s="76"/>
      <c r="AP447" s="76"/>
      <c r="AV447" s="76"/>
      <c r="BB447" s="76"/>
      <c r="BC447" s="38"/>
      <c r="BD447" s="38"/>
      <c r="BE447" s="38"/>
      <c r="BF447" s="38"/>
      <c r="BG447" s="38"/>
      <c r="BH447" s="38"/>
      <c r="BI447" s="38"/>
      <c r="BJ447" s="38"/>
      <c r="BK447" s="38"/>
    </row>
    <row r="448">
      <c r="L448" s="76"/>
      <c r="R448" s="76"/>
      <c r="X448" s="76"/>
      <c r="AD448" s="76"/>
      <c r="AJ448" s="76"/>
      <c r="AP448" s="76"/>
      <c r="AV448" s="76"/>
      <c r="BB448" s="76"/>
      <c r="BC448" s="38"/>
      <c r="BD448" s="38"/>
      <c r="BE448" s="38"/>
      <c r="BF448" s="38"/>
      <c r="BG448" s="38"/>
      <c r="BH448" s="38"/>
      <c r="BI448" s="38"/>
      <c r="BJ448" s="38"/>
      <c r="BK448" s="38"/>
    </row>
    <row r="449">
      <c r="L449" s="76"/>
      <c r="R449" s="76"/>
      <c r="X449" s="76"/>
      <c r="AD449" s="76"/>
      <c r="AJ449" s="76"/>
      <c r="AP449" s="76"/>
      <c r="AV449" s="76"/>
      <c r="BB449" s="76"/>
      <c r="BC449" s="38"/>
      <c r="BD449" s="38"/>
      <c r="BE449" s="38"/>
      <c r="BF449" s="38"/>
      <c r="BG449" s="38"/>
      <c r="BH449" s="38"/>
      <c r="BI449" s="38"/>
      <c r="BJ449" s="38"/>
      <c r="BK449" s="38"/>
    </row>
    <row r="450">
      <c r="L450" s="76"/>
      <c r="R450" s="76"/>
      <c r="X450" s="76"/>
      <c r="AD450" s="76"/>
      <c r="AJ450" s="76"/>
      <c r="AP450" s="76"/>
      <c r="AV450" s="76"/>
      <c r="BB450" s="76"/>
      <c r="BC450" s="38"/>
      <c r="BD450" s="38"/>
      <c r="BE450" s="38"/>
      <c r="BF450" s="38"/>
      <c r="BG450" s="38"/>
      <c r="BH450" s="38"/>
      <c r="BI450" s="38"/>
      <c r="BJ450" s="38"/>
      <c r="BK450" s="38"/>
    </row>
    <row r="451">
      <c r="L451" s="76"/>
      <c r="R451" s="76"/>
      <c r="X451" s="76"/>
      <c r="AD451" s="76"/>
      <c r="AJ451" s="76"/>
      <c r="AP451" s="76"/>
      <c r="AV451" s="76"/>
      <c r="BB451" s="76"/>
      <c r="BC451" s="38"/>
      <c r="BD451" s="38"/>
      <c r="BE451" s="38"/>
      <c r="BF451" s="38"/>
      <c r="BG451" s="38"/>
      <c r="BH451" s="38"/>
      <c r="BI451" s="38"/>
      <c r="BJ451" s="38"/>
      <c r="BK451" s="38"/>
    </row>
    <row r="452">
      <c r="L452" s="76"/>
      <c r="R452" s="76"/>
      <c r="X452" s="76"/>
      <c r="AD452" s="76"/>
      <c r="AJ452" s="76"/>
      <c r="AP452" s="76"/>
      <c r="AV452" s="76"/>
      <c r="BB452" s="76"/>
      <c r="BC452" s="38"/>
      <c r="BD452" s="38"/>
      <c r="BE452" s="38"/>
      <c r="BF452" s="38"/>
      <c r="BG452" s="38"/>
      <c r="BH452" s="38"/>
      <c r="BI452" s="38"/>
      <c r="BJ452" s="38"/>
      <c r="BK452" s="38"/>
    </row>
    <row r="453">
      <c r="L453" s="76"/>
      <c r="R453" s="76"/>
      <c r="X453" s="76"/>
      <c r="AD453" s="76"/>
      <c r="AJ453" s="76"/>
      <c r="AP453" s="76"/>
      <c r="AV453" s="76"/>
      <c r="BB453" s="76"/>
      <c r="BC453" s="38"/>
      <c r="BD453" s="38"/>
      <c r="BE453" s="38"/>
      <c r="BF453" s="38"/>
      <c r="BG453" s="38"/>
      <c r="BH453" s="38"/>
      <c r="BI453" s="38"/>
      <c r="BJ453" s="38"/>
      <c r="BK453" s="38"/>
    </row>
    <row r="454">
      <c r="L454" s="76"/>
      <c r="R454" s="76"/>
      <c r="X454" s="76"/>
      <c r="AD454" s="76"/>
      <c r="AJ454" s="76"/>
      <c r="AP454" s="76"/>
      <c r="AV454" s="76"/>
      <c r="BB454" s="76"/>
      <c r="BC454" s="38"/>
      <c r="BD454" s="38"/>
      <c r="BE454" s="38"/>
      <c r="BF454" s="38"/>
      <c r="BG454" s="38"/>
      <c r="BH454" s="38"/>
      <c r="BI454" s="38"/>
      <c r="BJ454" s="38"/>
      <c r="BK454" s="38"/>
    </row>
    <row r="455">
      <c r="L455" s="76"/>
      <c r="R455" s="76"/>
      <c r="X455" s="76"/>
      <c r="AD455" s="76"/>
      <c r="AJ455" s="76"/>
      <c r="AP455" s="76"/>
      <c r="AV455" s="76"/>
      <c r="BB455" s="76"/>
      <c r="BC455" s="38"/>
      <c r="BD455" s="38"/>
      <c r="BE455" s="38"/>
      <c r="BF455" s="38"/>
      <c r="BG455" s="38"/>
      <c r="BH455" s="38"/>
      <c r="BI455" s="38"/>
      <c r="BJ455" s="38"/>
      <c r="BK455" s="38"/>
    </row>
    <row r="456">
      <c r="L456" s="76"/>
      <c r="R456" s="76"/>
      <c r="X456" s="76"/>
      <c r="AD456" s="76"/>
      <c r="AJ456" s="76"/>
      <c r="AP456" s="76"/>
      <c r="AV456" s="76"/>
      <c r="BB456" s="76"/>
      <c r="BC456" s="38"/>
      <c r="BD456" s="38"/>
      <c r="BE456" s="38"/>
      <c r="BF456" s="38"/>
      <c r="BG456" s="38"/>
      <c r="BH456" s="38"/>
      <c r="BI456" s="38"/>
      <c r="BJ456" s="38"/>
      <c r="BK456" s="38"/>
    </row>
    <row r="457">
      <c r="L457" s="76"/>
      <c r="R457" s="76"/>
      <c r="X457" s="76"/>
      <c r="AD457" s="76"/>
      <c r="AJ457" s="76"/>
      <c r="AP457" s="76"/>
      <c r="AV457" s="76"/>
      <c r="BB457" s="76"/>
      <c r="BC457" s="38"/>
      <c r="BD457" s="38"/>
      <c r="BE457" s="38"/>
      <c r="BF457" s="38"/>
      <c r="BG457" s="38"/>
      <c r="BH457" s="38"/>
      <c r="BI457" s="38"/>
      <c r="BJ457" s="38"/>
      <c r="BK457" s="38"/>
    </row>
    <row r="458">
      <c r="L458" s="76"/>
      <c r="R458" s="76"/>
      <c r="X458" s="76"/>
      <c r="AD458" s="76"/>
      <c r="AJ458" s="76"/>
      <c r="AP458" s="76"/>
      <c r="AV458" s="76"/>
      <c r="BB458" s="76"/>
      <c r="BC458" s="38"/>
      <c r="BD458" s="38"/>
      <c r="BE458" s="38"/>
      <c r="BF458" s="38"/>
      <c r="BG458" s="38"/>
      <c r="BH458" s="38"/>
      <c r="BI458" s="38"/>
      <c r="BJ458" s="38"/>
      <c r="BK458" s="38"/>
    </row>
    <row r="459">
      <c r="L459" s="76"/>
      <c r="R459" s="76"/>
      <c r="X459" s="76"/>
      <c r="AD459" s="76"/>
      <c r="AJ459" s="76"/>
      <c r="AP459" s="76"/>
      <c r="AV459" s="76"/>
      <c r="BB459" s="76"/>
      <c r="BC459" s="38"/>
      <c r="BD459" s="38"/>
      <c r="BE459" s="38"/>
      <c r="BF459" s="38"/>
      <c r="BG459" s="38"/>
      <c r="BH459" s="38"/>
      <c r="BI459" s="38"/>
      <c r="BJ459" s="38"/>
      <c r="BK459" s="38"/>
    </row>
    <row r="460">
      <c r="L460" s="76"/>
      <c r="R460" s="76"/>
      <c r="X460" s="76"/>
      <c r="AD460" s="76"/>
      <c r="AJ460" s="76"/>
      <c r="AP460" s="76"/>
      <c r="AV460" s="76"/>
      <c r="BB460" s="76"/>
      <c r="BC460" s="38"/>
      <c r="BD460" s="38"/>
      <c r="BE460" s="38"/>
      <c r="BF460" s="38"/>
      <c r="BG460" s="38"/>
      <c r="BH460" s="38"/>
      <c r="BI460" s="38"/>
      <c r="BJ460" s="38"/>
      <c r="BK460" s="38"/>
    </row>
    <row r="461">
      <c r="L461" s="76"/>
      <c r="R461" s="76"/>
      <c r="X461" s="76"/>
      <c r="AD461" s="76"/>
      <c r="AJ461" s="76"/>
      <c r="AP461" s="76"/>
      <c r="AV461" s="76"/>
      <c r="BB461" s="76"/>
      <c r="BC461" s="38"/>
      <c r="BD461" s="38"/>
      <c r="BE461" s="38"/>
      <c r="BF461" s="38"/>
      <c r="BG461" s="38"/>
      <c r="BH461" s="38"/>
      <c r="BI461" s="38"/>
      <c r="BJ461" s="38"/>
      <c r="BK461" s="38"/>
    </row>
    <row r="462">
      <c r="L462" s="76"/>
      <c r="R462" s="76"/>
      <c r="X462" s="76"/>
      <c r="AD462" s="76"/>
      <c r="AJ462" s="76"/>
      <c r="AP462" s="76"/>
      <c r="AV462" s="76"/>
      <c r="BB462" s="76"/>
      <c r="BC462" s="38"/>
      <c r="BD462" s="38"/>
      <c r="BE462" s="38"/>
      <c r="BF462" s="38"/>
      <c r="BG462" s="38"/>
      <c r="BH462" s="38"/>
      <c r="BI462" s="38"/>
      <c r="BJ462" s="38"/>
      <c r="BK462" s="38"/>
    </row>
    <row r="463">
      <c r="L463" s="76"/>
      <c r="R463" s="76"/>
      <c r="X463" s="76"/>
      <c r="AD463" s="76"/>
      <c r="AJ463" s="76"/>
      <c r="AP463" s="76"/>
      <c r="AV463" s="76"/>
      <c r="BB463" s="76"/>
      <c r="BC463" s="38"/>
      <c r="BD463" s="38"/>
      <c r="BE463" s="38"/>
      <c r="BF463" s="38"/>
      <c r="BG463" s="38"/>
      <c r="BH463" s="38"/>
      <c r="BI463" s="38"/>
      <c r="BJ463" s="38"/>
      <c r="BK463" s="38"/>
    </row>
    <row r="464">
      <c r="L464" s="76"/>
      <c r="R464" s="76"/>
      <c r="X464" s="76"/>
      <c r="AD464" s="76"/>
      <c r="AJ464" s="76"/>
      <c r="AP464" s="76"/>
      <c r="AV464" s="76"/>
      <c r="BB464" s="76"/>
      <c r="BC464" s="38"/>
      <c r="BD464" s="38"/>
      <c r="BE464" s="38"/>
      <c r="BF464" s="38"/>
      <c r="BG464" s="38"/>
      <c r="BH464" s="38"/>
      <c r="BI464" s="38"/>
      <c r="BJ464" s="38"/>
      <c r="BK464" s="38"/>
    </row>
    <row r="465">
      <c r="L465" s="76"/>
      <c r="R465" s="76"/>
      <c r="X465" s="76"/>
      <c r="AD465" s="76"/>
      <c r="AJ465" s="76"/>
      <c r="AP465" s="76"/>
      <c r="AV465" s="76"/>
      <c r="BB465" s="76"/>
      <c r="BC465" s="38"/>
      <c r="BD465" s="38"/>
      <c r="BE465" s="38"/>
      <c r="BF465" s="38"/>
      <c r="BG465" s="38"/>
      <c r="BH465" s="38"/>
      <c r="BI465" s="38"/>
      <c r="BJ465" s="38"/>
      <c r="BK465" s="38"/>
    </row>
    <row r="466">
      <c r="L466" s="76"/>
      <c r="R466" s="76"/>
      <c r="X466" s="76"/>
      <c r="AD466" s="76"/>
      <c r="AJ466" s="76"/>
      <c r="AP466" s="76"/>
      <c r="AV466" s="76"/>
      <c r="BB466" s="76"/>
      <c r="BC466" s="38"/>
      <c r="BD466" s="38"/>
      <c r="BE466" s="38"/>
      <c r="BF466" s="38"/>
      <c r="BG466" s="38"/>
      <c r="BH466" s="38"/>
      <c r="BI466" s="38"/>
      <c r="BJ466" s="38"/>
      <c r="BK466" s="38"/>
    </row>
    <row r="467">
      <c r="L467" s="76"/>
      <c r="R467" s="76"/>
      <c r="X467" s="76"/>
      <c r="AD467" s="76"/>
      <c r="AJ467" s="76"/>
      <c r="AP467" s="76"/>
      <c r="AV467" s="76"/>
      <c r="BB467" s="76"/>
      <c r="BC467" s="38"/>
      <c r="BD467" s="38"/>
      <c r="BE467" s="38"/>
      <c r="BF467" s="38"/>
      <c r="BG467" s="38"/>
      <c r="BH467" s="38"/>
      <c r="BI467" s="38"/>
      <c r="BJ467" s="38"/>
      <c r="BK467" s="38"/>
    </row>
    <row r="468">
      <c r="L468" s="76"/>
      <c r="R468" s="76"/>
      <c r="X468" s="76"/>
      <c r="AD468" s="76"/>
      <c r="AJ468" s="76"/>
      <c r="AP468" s="76"/>
      <c r="AV468" s="76"/>
      <c r="BB468" s="76"/>
      <c r="BC468" s="38"/>
      <c r="BD468" s="38"/>
      <c r="BE468" s="38"/>
      <c r="BF468" s="38"/>
      <c r="BG468" s="38"/>
      <c r="BH468" s="38"/>
      <c r="BI468" s="38"/>
      <c r="BJ468" s="38"/>
      <c r="BK468" s="38"/>
    </row>
    <row r="469">
      <c r="L469" s="76"/>
      <c r="R469" s="76"/>
      <c r="X469" s="76"/>
      <c r="AD469" s="76"/>
      <c r="AJ469" s="76"/>
      <c r="AP469" s="76"/>
      <c r="AV469" s="76"/>
      <c r="BB469" s="76"/>
      <c r="BC469" s="38"/>
      <c r="BD469" s="38"/>
      <c r="BE469" s="38"/>
      <c r="BF469" s="38"/>
      <c r="BG469" s="38"/>
      <c r="BH469" s="38"/>
      <c r="BI469" s="38"/>
      <c r="BJ469" s="38"/>
      <c r="BK469" s="38"/>
    </row>
    <row r="470">
      <c r="L470" s="76"/>
      <c r="R470" s="76"/>
      <c r="X470" s="76"/>
      <c r="AD470" s="76"/>
      <c r="AJ470" s="76"/>
      <c r="AP470" s="76"/>
      <c r="AV470" s="76"/>
      <c r="BB470" s="76"/>
      <c r="BC470" s="38"/>
      <c r="BD470" s="38"/>
      <c r="BE470" s="38"/>
      <c r="BF470" s="38"/>
      <c r="BG470" s="38"/>
      <c r="BH470" s="38"/>
      <c r="BI470" s="38"/>
      <c r="BJ470" s="38"/>
      <c r="BK470" s="38"/>
    </row>
    <row r="471">
      <c r="L471" s="76"/>
      <c r="R471" s="76"/>
      <c r="X471" s="76"/>
      <c r="AD471" s="76"/>
      <c r="AJ471" s="76"/>
      <c r="AP471" s="76"/>
      <c r="AV471" s="76"/>
      <c r="BB471" s="76"/>
      <c r="BC471" s="38"/>
      <c r="BD471" s="38"/>
      <c r="BE471" s="38"/>
      <c r="BF471" s="38"/>
      <c r="BG471" s="38"/>
      <c r="BH471" s="38"/>
      <c r="BI471" s="38"/>
      <c r="BJ471" s="38"/>
      <c r="BK471" s="38"/>
    </row>
    <row r="472">
      <c r="L472" s="76"/>
      <c r="R472" s="76"/>
      <c r="X472" s="76"/>
      <c r="AD472" s="76"/>
      <c r="AJ472" s="76"/>
      <c r="AP472" s="76"/>
      <c r="AV472" s="76"/>
      <c r="BB472" s="76"/>
      <c r="BC472" s="38"/>
      <c r="BD472" s="38"/>
      <c r="BE472" s="38"/>
      <c r="BF472" s="38"/>
      <c r="BG472" s="38"/>
      <c r="BH472" s="38"/>
      <c r="BI472" s="38"/>
      <c r="BJ472" s="38"/>
      <c r="BK472" s="38"/>
    </row>
    <row r="473">
      <c r="L473" s="76"/>
      <c r="R473" s="76"/>
      <c r="X473" s="76"/>
      <c r="AD473" s="76"/>
      <c r="AJ473" s="76"/>
      <c r="AP473" s="76"/>
      <c r="AV473" s="76"/>
      <c r="BB473" s="76"/>
      <c r="BC473" s="38"/>
      <c r="BD473" s="38"/>
      <c r="BE473" s="38"/>
      <c r="BF473" s="38"/>
      <c r="BG473" s="38"/>
      <c r="BH473" s="38"/>
      <c r="BI473" s="38"/>
      <c r="BJ473" s="38"/>
      <c r="BK473" s="38"/>
    </row>
    <row r="474">
      <c r="L474" s="76"/>
      <c r="R474" s="76"/>
      <c r="X474" s="76"/>
      <c r="AD474" s="76"/>
      <c r="AJ474" s="76"/>
      <c r="AP474" s="76"/>
      <c r="AV474" s="76"/>
      <c r="BB474" s="76"/>
      <c r="BC474" s="38"/>
      <c r="BD474" s="38"/>
      <c r="BE474" s="38"/>
      <c r="BF474" s="38"/>
      <c r="BG474" s="38"/>
      <c r="BH474" s="38"/>
      <c r="BI474" s="38"/>
      <c r="BJ474" s="38"/>
      <c r="BK474" s="38"/>
    </row>
    <row r="475">
      <c r="L475" s="76"/>
      <c r="R475" s="76"/>
      <c r="X475" s="76"/>
      <c r="AD475" s="76"/>
      <c r="AJ475" s="76"/>
      <c r="AP475" s="76"/>
      <c r="AV475" s="76"/>
      <c r="BB475" s="76"/>
      <c r="BC475" s="38"/>
      <c r="BD475" s="38"/>
      <c r="BE475" s="38"/>
      <c r="BF475" s="38"/>
      <c r="BG475" s="38"/>
      <c r="BH475" s="38"/>
      <c r="BI475" s="38"/>
      <c r="BJ475" s="38"/>
      <c r="BK475" s="38"/>
    </row>
    <row r="476">
      <c r="L476" s="76"/>
      <c r="R476" s="76"/>
      <c r="X476" s="76"/>
      <c r="AD476" s="76"/>
      <c r="AJ476" s="76"/>
      <c r="AP476" s="76"/>
      <c r="AV476" s="76"/>
      <c r="BB476" s="76"/>
      <c r="BC476" s="38"/>
      <c r="BD476" s="38"/>
      <c r="BE476" s="38"/>
      <c r="BF476" s="38"/>
      <c r="BG476" s="38"/>
      <c r="BH476" s="38"/>
      <c r="BI476" s="38"/>
      <c r="BJ476" s="38"/>
      <c r="BK476" s="38"/>
    </row>
    <row r="477">
      <c r="L477" s="76"/>
      <c r="R477" s="76"/>
      <c r="X477" s="76"/>
      <c r="AD477" s="76"/>
      <c r="AJ477" s="76"/>
      <c r="AP477" s="76"/>
      <c r="AV477" s="76"/>
      <c r="BB477" s="76"/>
      <c r="BC477" s="38"/>
      <c r="BD477" s="38"/>
      <c r="BE477" s="38"/>
      <c r="BF477" s="38"/>
      <c r="BG477" s="38"/>
      <c r="BH477" s="38"/>
      <c r="BI477" s="38"/>
      <c r="BJ477" s="38"/>
      <c r="BK477" s="38"/>
    </row>
    <row r="478">
      <c r="L478" s="76"/>
      <c r="R478" s="76"/>
      <c r="X478" s="76"/>
      <c r="AD478" s="76"/>
      <c r="AJ478" s="76"/>
      <c r="AP478" s="76"/>
      <c r="AV478" s="76"/>
      <c r="BB478" s="76"/>
      <c r="BC478" s="38"/>
      <c r="BD478" s="38"/>
      <c r="BE478" s="38"/>
      <c r="BF478" s="38"/>
      <c r="BG478" s="38"/>
      <c r="BH478" s="38"/>
      <c r="BI478" s="38"/>
      <c r="BJ478" s="38"/>
      <c r="BK478" s="38"/>
    </row>
    <row r="479">
      <c r="L479" s="76"/>
      <c r="R479" s="76"/>
      <c r="X479" s="76"/>
      <c r="AD479" s="76"/>
      <c r="AJ479" s="76"/>
      <c r="AP479" s="76"/>
      <c r="AV479" s="76"/>
      <c r="BB479" s="76"/>
      <c r="BC479" s="38"/>
      <c r="BD479" s="38"/>
      <c r="BE479" s="38"/>
      <c r="BF479" s="38"/>
      <c r="BG479" s="38"/>
      <c r="BH479" s="38"/>
      <c r="BI479" s="38"/>
      <c r="BJ479" s="38"/>
      <c r="BK479" s="38"/>
    </row>
    <row r="480">
      <c r="L480" s="76"/>
      <c r="R480" s="76"/>
      <c r="X480" s="76"/>
      <c r="AD480" s="76"/>
      <c r="AJ480" s="76"/>
      <c r="AP480" s="76"/>
      <c r="AV480" s="76"/>
      <c r="BB480" s="76"/>
      <c r="BC480" s="38"/>
      <c r="BD480" s="38"/>
      <c r="BE480" s="38"/>
      <c r="BF480" s="38"/>
      <c r="BG480" s="38"/>
      <c r="BH480" s="38"/>
      <c r="BI480" s="38"/>
      <c r="BJ480" s="38"/>
      <c r="BK480" s="38"/>
    </row>
    <row r="481">
      <c r="L481" s="76"/>
      <c r="R481" s="76"/>
      <c r="X481" s="76"/>
      <c r="AD481" s="76"/>
      <c r="AJ481" s="76"/>
      <c r="AP481" s="76"/>
      <c r="AV481" s="76"/>
      <c r="BB481" s="76"/>
      <c r="BC481" s="38"/>
      <c r="BD481" s="38"/>
      <c r="BE481" s="38"/>
      <c r="BF481" s="38"/>
      <c r="BG481" s="38"/>
      <c r="BH481" s="38"/>
      <c r="BI481" s="38"/>
      <c r="BJ481" s="38"/>
      <c r="BK481" s="38"/>
    </row>
    <row r="482">
      <c r="L482" s="76"/>
      <c r="R482" s="76"/>
      <c r="X482" s="76"/>
      <c r="AD482" s="76"/>
      <c r="AJ482" s="76"/>
      <c r="AP482" s="76"/>
      <c r="AV482" s="76"/>
      <c r="BB482" s="76"/>
      <c r="BC482" s="38"/>
      <c r="BD482" s="38"/>
      <c r="BE482" s="38"/>
      <c r="BF482" s="38"/>
      <c r="BG482" s="38"/>
      <c r="BH482" s="38"/>
      <c r="BI482" s="38"/>
      <c r="BJ482" s="38"/>
      <c r="BK482" s="38"/>
    </row>
    <row r="483">
      <c r="L483" s="76"/>
      <c r="R483" s="76"/>
      <c r="X483" s="76"/>
      <c r="AD483" s="76"/>
      <c r="AJ483" s="76"/>
      <c r="AP483" s="76"/>
      <c r="AV483" s="76"/>
      <c r="BB483" s="76"/>
      <c r="BC483" s="38"/>
      <c r="BD483" s="38"/>
      <c r="BE483" s="38"/>
      <c r="BF483" s="38"/>
      <c r="BG483" s="38"/>
      <c r="BH483" s="38"/>
      <c r="BI483" s="38"/>
      <c r="BJ483" s="38"/>
      <c r="BK483" s="38"/>
    </row>
    <row r="484">
      <c r="L484" s="76"/>
      <c r="R484" s="76"/>
      <c r="X484" s="76"/>
      <c r="AD484" s="76"/>
      <c r="AJ484" s="76"/>
      <c r="AP484" s="76"/>
      <c r="AV484" s="76"/>
      <c r="BB484" s="76"/>
      <c r="BC484" s="38"/>
      <c r="BD484" s="38"/>
      <c r="BE484" s="38"/>
      <c r="BF484" s="38"/>
      <c r="BG484" s="38"/>
      <c r="BH484" s="38"/>
      <c r="BI484" s="38"/>
      <c r="BJ484" s="38"/>
      <c r="BK484" s="38"/>
    </row>
    <row r="485">
      <c r="L485" s="76"/>
      <c r="R485" s="76"/>
      <c r="X485" s="76"/>
      <c r="AD485" s="76"/>
      <c r="AJ485" s="76"/>
      <c r="AP485" s="76"/>
      <c r="AV485" s="76"/>
      <c r="BB485" s="76"/>
      <c r="BC485" s="38"/>
      <c r="BD485" s="38"/>
      <c r="BE485" s="38"/>
      <c r="BF485" s="38"/>
      <c r="BG485" s="38"/>
      <c r="BH485" s="38"/>
      <c r="BI485" s="38"/>
      <c r="BJ485" s="38"/>
      <c r="BK485" s="38"/>
    </row>
    <row r="486">
      <c r="L486" s="76"/>
      <c r="R486" s="76"/>
      <c r="X486" s="76"/>
      <c r="AD486" s="76"/>
      <c r="AJ486" s="76"/>
      <c r="AP486" s="76"/>
      <c r="AV486" s="76"/>
      <c r="BB486" s="76"/>
      <c r="BC486" s="38"/>
      <c r="BD486" s="38"/>
      <c r="BE486" s="38"/>
      <c r="BF486" s="38"/>
      <c r="BG486" s="38"/>
      <c r="BH486" s="38"/>
      <c r="BI486" s="38"/>
      <c r="BJ486" s="38"/>
      <c r="BK486" s="38"/>
    </row>
    <row r="487">
      <c r="L487" s="76"/>
      <c r="R487" s="76"/>
      <c r="X487" s="76"/>
      <c r="AD487" s="76"/>
      <c r="AJ487" s="76"/>
      <c r="AP487" s="76"/>
      <c r="AV487" s="76"/>
      <c r="BB487" s="76"/>
      <c r="BC487" s="38"/>
      <c r="BD487" s="38"/>
      <c r="BE487" s="38"/>
      <c r="BF487" s="38"/>
      <c r="BG487" s="38"/>
      <c r="BH487" s="38"/>
      <c r="BI487" s="38"/>
      <c r="BJ487" s="38"/>
      <c r="BK487" s="38"/>
    </row>
    <row r="488">
      <c r="L488" s="76"/>
      <c r="R488" s="76"/>
      <c r="X488" s="76"/>
      <c r="AD488" s="76"/>
      <c r="AJ488" s="76"/>
      <c r="AP488" s="76"/>
      <c r="AV488" s="76"/>
      <c r="BB488" s="76"/>
      <c r="BC488" s="38"/>
      <c r="BD488" s="38"/>
      <c r="BE488" s="38"/>
      <c r="BF488" s="38"/>
      <c r="BG488" s="38"/>
      <c r="BH488" s="38"/>
      <c r="BI488" s="38"/>
      <c r="BJ488" s="38"/>
      <c r="BK488" s="38"/>
    </row>
    <row r="489">
      <c r="L489" s="76"/>
      <c r="R489" s="76"/>
      <c r="X489" s="76"/>
      <c r="AD489" s="76"/>
      <c r="AJ489" s="76"/>
      <c r="AP489" s="76"/>
      <c r="AV489" s="76"/>
      <c r="BB489" s="76"/>
      <c r="BC489" s="38"/>
      <c r="BD489" s="38"/>
      <c r="BE489" s="38"/>
      <c r="BF489" s="38"/>
      <c r="BG489" s="38"/>
      <c r="BH489" s="38"/>
      <c r="BI489" s="38"/>
      <c r="BJ489" s="38"/>
      <c r="BK489" s="38"/>
    </row>
    <row r="490">
      <c r="L490" s="76"/>
      <c r="R490" s="76"/>
      <c r="X490" s="76"/>
      <c r="AD490" s="76"/>
      <c r="AJ490" s="76"/>
      <c r="AP490" s="76"/>
      <c r="AV490" s="76"/>
      <c r="BB490" s="76"/>
      <c r="BC490" s="38"/>
      <c r="BD490" s="38"/>
      <c r="BE490" s="38"/>
      <c r="BF490" s="38"/>
      <c r="BG490" s="38"/>
      <c r="BH490" s="38"/>
      <c r="BI490" s="38"/>
      <c r="BJ490" s="38"/>
      <c r="BK490" s="38"/>
    </row>
    <row r="491">
      <c r="L491" s="76"/>
      <c r="R491" s="76"/>
      <c r="X491" s="76"/>
      <c r="AD491" s="76"/>
      <c r="AJ491" s="76"/>
      <c r="AP491" s="76"/>
      <c r="AV491" s="76"/>
      <c r="BB491" s="76"/>
      <c r="BC491" s="38"/>
      <c r="BD491" s="38"/>
      <c r="BE491" s="38"/>
      <c r="BF491" s="38"/>
      <c r="BG491" s="38"/>
      <c r="BH491" s="38"/>
      <c r="BI491" s="38"/>
      <c r="BJ491" s="38"/>
      <c r="BK491" s="38"/>
    </row>
    <row r="492">
      <c r="L492" s="76"/>
      <c r="R492" s="76"/>
      <c r="X492" s="76"/>
      <c r="AD492" s="76"/>
      <c r="AJ492" s="76"/>
      <c r="AP492" s="76"/>
      <c r="AV492" s="76"/>
      <c r="BB492" s="76"/>
      <c r="BC492" s="38"/>
      <c r="BD492" s="38"/>
      <c r="BE492" s="38"/>
      <c r="BF492" s="38"/>
      <c r="BG492" s="38"/>
      <c r="BH492" s="38"/>
      <c r="BI492" s="38"/>
      <c r="BJ492" s="38"/>
      <c r="BK492" s="38"/>
    </row>
    <row r="493">
      <c r="L493" s="76"/>
      <c r="R493" s="76"/>
      <c r="X493" s="76"/>
      <c r="AD493" s="76"/>
      <c r="AJ493" s="76"/>
      <c r="AP493" s="76"/>
      <c r="AV493" s="76"/>
      <c r="BB493" s="76"/>
      <c r="BC493" s="38"/>
      <c r="BD493" s="38"/>
      <c r="BE493" s="38"/>
      <c r="BF493" s="38"/>
      <c r="BG493" s="38"/>
      <c r="BH493" s="38"/>
      <c r="BI493" s="38"/>
      <c r="BJ493" s="38"/>
      <c r="BK493" s="38"/>
    </row>
    <row r="494">
      <c r="L494" s="76"/>
      <c r="R494" s="76"/>
      <c r="X494" s="76"/>
      <c r="AD494" s="76"/>
      <c r="AJ494" s="76"/>
      <c r="AP494" s="76"/>
      <c r="AV494" s="76"/>
      <c r="BB494" s="76"/>
      <c r="BC494" s="38"/>
      <c r="BD494" s="38"/>
      <c r="BE494" s="38"/>
      <c r="BF494" s="38"/>
      <c r="BG494" s="38"/>
      <c r="BH494" s="38"/>
      <c r="BI494" s="38"/>
      <c r="BJ494" s="38"/>
      <c r="BK494" s="38"/>
    </row>
    <row r="495">
      <c r="L495" s="76"/>
      <c r="R495" s="76"/>
      <c r="X495" s="76"/>
      <c r="AD495" s="76"/>
      <c r="AJ495" s="76"/>
      <c r="AP495" s="76"/>
      <c r="AV495" s="76"/>
      <c r="BB495" s="76"/>
      <c r="BC495" s="38"/>
      <c r="BD495" s="38"/>
      <c r="BE495" s="38"/>
      <c r="BF495" s="38"/>
      <c r="BG495" s="38"/>
      <c r="BH495" s="38"/>
      <c r="BI495" s="38"/>
      <c r="BJ495" s="38"/>
      <c r="BK495" s="38"/>
    </row>
    <row r="496">
      <c r="L496" s="76"/>
      <c r="R496" s="76"/>
      <c r="X496" s="76"/>
      <c r="AD496" s="76"/>
      <c r="AJ496" s="76"/>
      <c r="AP496" s="76"/>
      <c r="AV496" s="76"/>
      <c r="BB496" s="76"/>
      <c r="BC496" s="38"/>
      <c r="BD496" s="38"/>
      <c r="BE496" s="38"/>
      <c r="BF496" s="38"/>
      <c r="BG496" s="38"/>
      <c r="BH496" s="38"/>
      <c r="BI496" s="38"/>
      <c r="BJ496" s="38"/>
      <c r="BK496" s="38"/>
    </row>
    <row r="497">
      <c r="L497" s="76"/>
      <c r="R497" s="76"/>
      <c r="X497" s="76"/>
      <c r="AD497" s="76"/>
      <c r="AJ497" s="76"/>
      <c r="AP497" s="76"/>
      <c r="AV497" s="76"/>
      <c r="BB497" s="76"/>
      <c r="BC497" s="38"/>
      <c r="BD497" s="38"/>
      <c r="BE497" s="38"/>
      <c r="BF497" s="38"/>
      <c r="BG497" s="38"/>
      <c r="BH497" s="38"/>
      <c r="BI497" s="38"/>
      <c r="BJ497" s="38"/>
      <c r="BK497" s="38"/>
    </row>
    <row r="498">
      <c r="L498" s="76"/>
      <c r="R498" s="76"/>
      <c r="X498" s="76"/>
      <c r="AD498" s="76"/>
      <c r="AJ498" s="76"/>
      <c r="AP498" s="76"/>
      <c r="AV498" s="76"/>
      <c r="BB498" s="76"/>
      <c r="BC498" s="38"/>
      <c r="BD498" s="38"/>
      <c r="BE498" s="38"/>
      <c r="BF498" s="38"/>
      <c r="BG498" s="38"/>
      <c r="BH498" s="38"/>
      <c r="BI498" s="38"/>
      <c r="BJ498" s="38"/>
      <c r="BK498" s="38"/>
    </row>
    <row r="499">
      <c r="L499" s="76"/>
      <c r="R499" s="76"/>
      <c r="X499" s="76"/>
      <c r="AD499" s="76"/>
      <c r="AJ499" s="76"/>
      <c r="AP499" s="76"/>
      <c r="AV499" s="76"/>
      <c r="BB499" s="76"/>
      <c r="BC499" s="38"/>
      <c r="BD499" s="38"/>
      <c r="BE499" s="38"/>
      <c r="BF499" s="38"/>
      <c r="BG499" s="38"/>
      <c r="BH499" s="38"/>
      <c r="BI499" s="38"/>
      <c r="BJ499" s="38"/>
      <c r="BK499" s="38"/>
    </row>
    <row r="500">
      <c r="L500" s="76"/>
      <c r="R500" s="76"/>
      <c r="X500" s="76"/>
      <c r="AD500" s="76"/>
      <c r="AJ500" s="76"/>
      <c r="AP500" s="76"/>
      <c r="AV500" s="76"/>
      <c r="BB500" s="76"/>
      <c r="BC500" s="38"/>
      <c r="BD500" s="38"/>
      <c r="BE500" s="38"/>
      <c r="BF500" s="38"/>
      <c r="BG500" s="38"/>
      <c r="BH500" s="38"/>
      <c r="BI500" s="38"/>
      <c r="BJ500" s="38"/>
      <c r="BK500" s="38"/>
    </row>
    <row r="501">
      <c r="L501" s="76"/>
      <c r="R501" s="76"/>
      <c r="X501" s="76"/>
      <c r="AD501" s="76"/>
      <c r="AJ501" s="76"/>
      <c r="AP501" s="76"/>
      <c r="AV501" s="76"/>
      <c r="BB501" s="76"/>
      <c r="BC501" s="38"/>
      <c r="BD501" s="38"/>
      <c r="BE501" s="38"/>
      <c r="BF501" s="38"/>
      <c r="BG501" s="38"/>
      <c r="BH501" s="38"/>
      <c r="BI501" s="38"/>
      <c r="BJ501" s="38"/>
      <c r="BK501" s="38"/>
    </row>
    <row r="502">
      <c r="L502" s="76"/>
      <c r="R502" s="76"/>
      <c r="X502" s="76"/>
      <c r="AD502" s="76"/>
      <c r="AJ502" s="76"/>
      <c r="AP502" s="76"/>
      <c r="AV502" s="76"/>
      <c r="BB502" s="76"/>
      <c r="BC502" s="38"/>
      <c r="BD502" s="38"/>
      <c r="BE502" s="38"/>
      <c r="BF502" s="38"/>
      <c r="BG502" s="38"/>
      <c r="BH502" s="38"/>
      <c r="BI502" s="38"/>
      <c r="BJ502" s="38"/>
      <c r="BK502" s="38"/>
    </row>
    <row r="503">
      <c r="L503" s="76"/>
      <c r="R503" s="76"/>
      <c r="X503" s="76"/>
      <c r="AD503" s="76"/>
      <c r="AJ503" s="76"/>
      <c r="AP503" s="76"/>
      <c r="AV503" s="76"/>
      <c r="BB503" s="76"/>
      <c r="BC503" s="38"/>
      <c r="BD503" s="38"/>
      <c r="BE503" s="38"/>
      <c r="BF503" s="38"/>
      <c r="BG503" s="38"/>
      <c r="BH503" s="38"/>
      <c r="BI503" s="38"/>
      <c r="BJ503" s="38"/>
      <c r="BK503" s="38"/>
    </row>
    <row r="504">
      <c r="L504" s="76"/>
      <c r="R504" s="76"/>
      <c r="X504" s="76"/>
      <c r="AD504" s="76"/>
      <c r="AJ504" s="76"/>
      <c r="AP504" s="76"/>
      <c r="AV504" s="76"/>
      <c r="BB504" s="76"/>
      <c r="BC504" s="38"/>
      <c r="BD504" s="38"/>
      <c r="BE504" s="38"/>
      <c r="BF504" s="38"/>
      <c r="BG504" s="38"/>
      <c r="BH504" s="38"/>
      <c r="BI504" s="38"/>
      <c r="BJ504" s="38"/>
      <c r="BK504" s="38"/>
    </row>
    <row r="505">
      <c r="L505" s="76"/>
      <c r="R505" s="76"/>
      <c r="X505" s="76"/>
      <c r="AD505" s="76"/>
      <c r="AJ505" s="76"/>
      <c r="AP505" s="76"/>
      <c r="AV505" s="76"/>
      <c r="BB505" s="76"/>
      <c r="BC505" s="38"/>
      <c r="BD505" s="38"/>
      <c r="BE505" s="38"/>
      <c r="BF505" s="38"/>
      <c r="BG505" s="38"/>
      <c r="BH505" s="38"/>
      <c r="BI505" s="38"/>
      <c r="BJ505" s="38"/>
      <c r="BK505" s="38"/>
    </row>
    <row r="506">
      <c r="L506" s="76"/>
      <c r="R506" s="76"/>
      <c r="X506" s="76"/>
      <c r="AD506" s="76"/>
      <c r="AJ506" s="76"/>
      <c r="AP506" s="76"/>
      <c r="AV506" s="76"/>
      <c r="BB506" s="76"/>
      <c r="BC506" s="38"/>
      <c r="BD506" s="38"/>
      <c r="BE506" s="38"/>
      <c r="BF506" s="38"/>
      <c r="BG506" s="38"/>
      <c r="BH506" s="38"/>
      <c r="BI506" s="38"/>
      <c r="BJ506" s="38"/>
      <c r="BK506" s="38"/>
    </row>
    <row r="507">
      <c r="L507" s="76"/>
      <c r="R507" s="76"/>
      <c r="X507" s="76"/>
      <c r="AD507" s="76"/>
      <c r="AJ507" s="76"/>
      <c r="AP507" s="76"/>
      <c r="AV507" s="76"/>
      <c r="BB507" s="76"/>
      <c r="BC507" s="38"/>
      <c r="BD507" s="38"/>
      <c r="BE507" s="38"/>
      <c r="BF507" s="38"/>
      <c r="BG507" s="38"/>
      <c r="BH507" s="38"/>
      <c r="BI507" s="38"/>
      <c r="BJ507" s="38"/>
      <c r="BK507" s="38"/>
    </row>
    <row r="508">
      <c r="L508" s="76"/>
      <c r="R508" s="76"/>
      <c r="X508" s="76"/>
      <c r="AD508" s="76"/>
      <c r="AJ508" s="76"/>
      <c r="AP508" s="76"/>
      <c r="AV508" s="76"/>
      <c r="BB508" s="76"/>
      <c r="BC508" s="38"/>
      <c r="BD508" s="38"/>
      <c r="BE508" s="38"/>
      <c r="BF508" s="38"/>
      <c r="BG508" s="38"/>
      <c r="BH508" s="38"/>
      <c r="BI508" s="38"/>
      <c r="BJ508" s="38"/>
      <c r="BK508" s="38"/>
    </row>
    <row r="509">
      <c r="L509" s="76"/>
      <c r="R509" s="76"/>
      <c r="X509" s="76"/>
      <c r="AD509" s="76"/>
      <c r="AJ509" s="76"/>
      <c r="AP509" s="76"/>
      <c r="AV509" s="76"/>
      <c r="BB509" s="76"/>
      <c r="BC509" s="38"/>
      <c r="BD509" s="38"/>
      <c r="BE509" s="38"/>
      <c r="BF509" s="38"/>
      <c r="BG509" s="38"/>
      <c r="BH509" s="38"/>
      <c r="BI509" s="38"/>
      <c r="BJ509" s="38"/>
      <c r="BK509" s="38"/>
    </row>
    <row r="510">
      <c r="L510" s="76"/>
      <c r="R510" s="76"/>
      <c r="X510" s="76"/>
      <c r="AD510" s="76"/>
      <c r="AJ510" s="76"/>
      <c r="AP510" s="76"/>
      <c r="AV510" s="76"/>
      <c r="BB510" s="76"/>
      <c r="BC510" s="38"/>
      <c r="BD510" s="38"/>
      <c r="BE510" s="38"/>
      <c r="BF510" s="38"/>
      <c r="BG510" s="38"/>
      <c r="BH510" s="38"/>
      <c r="BI510" s="38"/>
      <c r="BJ510" s="38"/>
      <c r="BK510" s="38"/>
    </row>
    <row r="511">
      <c r="L511" s="76"/>
      <c r="R511" s="76"/>
      <c r="X511" s="76"/>
      <c r="AD511" s="76"/>
      <c r="AJ511" s="76"/>
      <c r="AP511" s="76"/>
      <c r="AV511" s="76"/>
      <c r="BB511" s="76"/>
      <c r="BC511" s="38"/>
      <c r="BD511" s="38"/>
      <c r="BE511" s="38"/>
      <c r="BF511" s="38"/>
      <c r="BG511" s="38"/>
      <c r="BH511" s="38"/>
      <c r="BI511" s="38"/>
      <c r="BJ511" s="38"/>
      <c r="BK511" s="38"/>
    </row>
    <row r="512">
      <c r="L512" s="76"/>
      <c r="R512" s="76"/>
      <c r="X512" s="76"/>
      <c r="AD512" s="76"/>
      <c r="AJ512" s="76"/>
      <c r="AP512" s="76"/>
      <c r="AV512" s="76"/>
      <c r="BB512" s="76"/>
      <c r="BC512" s="38"/>
      <c r="BD512" s="38"/>
      <c r="BE512" s="38"/>
      <c r="BF512" s="38"/>
      <c r="BG512" s="38"/>
      <c r="BH512" s="38"/>
      <c r="BI512" s="38"/>
      <c r="BJ512" s="38"/>
      <c r="BK512" s="38"/>
    </row>
    <row r="513">
      <c r="L513" s="76"/>
      <c r="R513" s="76"/>
      <c r="X513" s="76"/>
      <c r="AD513" s="76"/>
      <c r="AJ513" s="76"/>
      <c r="AP513" s="76"/>
      <c r="AV513" s="76"/>
      <c r="BB513" s="76"/>
      <c r="BC513" s="38"/>
      <c r="BD513" s="38"/>
      <c r="BE513" s="38"/>
      <c r="BF513" s="38"/>
      <c r="BG513" s="38"/>
      <c r="BH513" s="38"/>
      <c r="BI513" s="38"/>
      <c r="BJ513" s="38"/>
      <c r="BK513" s="38"/>
    </row>
    <row r="514">
      <c r="L514" s="76"/>
      <c r="R514" s="76"/>
      <c r="X514" s="76"/>
      <c r="AD514" s="76"/>
      <c r="AJ514" s="76"/>
      <c r="AP514" s="76"/>
      <c r="AV514" s="76"/>
      <c r="BB514" s="76"/>
      <c r="BC514" s="38"/>
      <c r="BD514" s="38"/>
      <c r="BE514" s="38"/>
      <c r="BF514" s="38"/>
      <c r="BG514" s="38"/>
      <c r="BH514" s="38"/>
      <c r="BI514" s="38"/>
      <c r="BJ514" s="38"/>
      <c r="BK514" s="38"/>
    </row>
    <row r="515">
      <c r="L515" s="76"/>
      <c r="R515" s="76"/>
      <c r="X515" s="76"/>
      <c r="AD515" s="76"/>
      <c r="AJ515" s="76"/>
      <c r="AP515" s="76"/>
      <c r="AV515" s="76"/>
      <c r="BB515" s="76"/>
      <c r="BC515" s="38"/>
      <c r="BD515" s="38"/>
      <c r="BE515" s="38"/>
      <c r="BF515" s="38"/>
      <c r="BG515" s="38"/>
      <c r="BH515" s="38"/>
      <c r="BI515" s="38"/>
      <c r="BJ515" s="38"/>
      <c r="BK515" s="38"/>
    </row>
    <row r="516">
      <c r="L516" s="76"/>
      <c r="R516" s="76"/>
      <c r="X516" s="76"/>
      <c r="AD516" s="76"/>
      <c r="AJ516" s="76"/>
      <c r="AP516" s="76"/>
      <c r="AV516" s="76"/>
      <c r="BB516" s="76"/>
      <c r="BC516" s="38"/>
      <c r="BD516" s="38"/>
      <c r="BE516" s="38"/>
      <c r="BF516" s="38"/>
      <c r="BG516" s="38"/>
      <c r="BH516" s="38"/>
      <c r="BI516" s="38"/>
      <c r="BJ516" s="38"/>
      <c r="BK516" s="38"/>
    </row>
    <row r="517">
      <c r="L517" s="76"/>
      <c r="R517" s="76"/>
      <c r="X517" s="76"/>
      <c r="AD517" s="76"/>
      <c r="AJ517" s="76"/>
      <c r="AP517" s="76"/>
      <c r="AV517" s="76"/>
      <c r="BB517" s="76"/>
      <c r="BC517" s="38"/>
      <c r="BD517" s="38"/>
      <c r="BE517" s="38"/>
      <c r="BF517" s="38"/>
      <c r="BG517" s="38"/>
      <c r="BH517" s="38"/>
      <c r="BI517" s="38"/>
      <c r="BJ517" s="38"/>
      <c r="BK517" s="38"/>
    </row>
    <row r="518">
      <c r="L518" s="76"/>
      <c r="R518" s="76"/>
      <c r="X518" s="76"/>
      <c r="AD518" s="76"/>
      <c r="AJ518" s="76"/>
      <c r="AP518" s="76"/>
      <c r="AV518" s="76"/>
      <c r="BB518" s="76"/>
      <c r="BC518" s="38"/>
      <c r="BD518" s="38"/>
      <c r="BE518" s="38"/>
      <c r="BF518" s="38"/>
      <c r="BG518" s="38"/>
      <c r="BH518" s="38"/>
      <c r="BI518" s="38"/>
      <c r="BJ518" s="38"/>
      <c r="BK518" s="38"/>
    </row>
    <row r="519">
      <c r="L519" s="76"/>
      <c r="R519" s="76"/>
      <c r="X519" s="76"/>
      <c r="AD519" s="76"/>
      <c r="AJ519" s="76"/>
      <c r="AP519" s="76"/>
      <c r="AV519" s="76"/>
      <c r="BB519" s="76"/>
      <c r="BC519" s="38"/>
      <c r="BD519" s="38"/>
      <c r="BE519" s="38"/>
      <c r="BF519" s="38"/>
      <c r="BG519" s="38"/>
      <c r="BH519" s="38"/>
      <c r="BI519" s="38"/>
      <c r="BJ519" s="38"/>
      <c r="BK519" s="38"/>
    </row>
    <row r="520">
      <c r="L520" s="76"/>
      <c r="R520" s="76"/>
      <c r="X520" s="76"/>
      <c r="AD520" s="76"/>
      <c r="AJ520" s="76"/>
      <c r="AP520" s="76"/>
      <c r="AV520" s="76"/>
      <c r="BB520" s="76"/>
      <c r="BC520" s="38"/>
      <c r="BD520" s="38"/>
      <c r="BE520" s="38"/>
      <c r="BF520" s="38"/>
      <c r="BG520" s="38"/>
      <c r="BH520" s="38"/>
      <c r="BI520" s="38"/>
      <c r="BJ520" s="38"/>
      <c r="BK520" s="38"/>
    </row>
    <row r="521">
      <c r="L521" s="76"/>
      <c r="R521" s="76"/>
      <c r="X521" s="76"/>
      <c r="AD521" s="76"/>
      <c r="AJ521" s="76"/>
      <c r="AP521" s="76"/>
      <c r="AV521" s="76"/>
      <c r="BB521" s="76"/>
      <c r="BC521" s="38"/>
      <c r="BD521" s="38"/>
      <c r="BE521" s="38"/>
      <c r="BF521" s="38"/>
      <c r="BG521" s="38"/>
      <c r="BH521" s="38"/>
      <c r="BI521" s="38"/>
      <c r="BJ521" s="38"/>
      <c r="BK521" s="38"/>
    </row>
    <row r="522">
      <c r="L522" s="76"/>
      <c r="R522" s="76"/>
      <c r="X522" s="76"/>
      <c r="AD522" s="76"/>
      <c r="AJ522" s="76"/>
      <c r="AP522" s="76"/>
      <c r="AV522" s="76"/>
      <c r="BB522" s="76"/>
      <c r="BC522" s="38"/>
      <c r="BD522" s="38"/>
      <c r="BE522" s="38"/>
      <c r="BF522" s="38"/>
      <c r="BG522" s="38"/>
      <c r="BH522" s="38"/>
      <c r="BI522" s="38"/>
      <c r="BJ522" s="38"/>
      <c r="BK522" s="38"/>
    </row>
    <row r="523">
      <c r="L523" s="76"/>
      <c r="R523" s="76"/>
      <c r="X523" s="76"/>
      <c r="AD523" s="76"/>
      <c r="AJ523" s="76"/>
      <c r="AP523" s="76"/>
      <c r="AV523" s="76"/>
      <c r="BB523" s="76"/>
      <c r="BC523" s="38"/>
      <c r="BD523" s="38"/>
      <c r="BE523" s="38"/>
      <c r="BF523" s="38"/>
      <c r="BG523" s="38"/>
      <c r="BH523" s="38"/>
      <c r="BI523" s="38"/>
      <c r="BJ523" s="38"/>
      <c r="BK523" s="38"/>
    </row>
    <row r="524">
      <c r="L524" s="76"/>
      <c r="R524" s="76"/>
      <c r="X524" s="76"/>
      <c r="AD524" s="76"/>
      <c r="AJ524" s="76"/>
      <c r="AP524" s="76"/>
      <c r="AV524" s="76"/>
      <c r="BB524" s="76"/>
      <c r="BC524" s="38"/>
      <c r="BD524" s="38"/>
      <c r="BE524" s="38"/>
      <c r="BF524" s="38"/>
      <c r="BG524" s="38"/>
      <c r="BH524" s="38"/>
      <c r="BI524" s="38"/>
      <c r="BJ524" s="38"/>
      <c r="BK524" s="38"/>
    </row>
    <row r="525">
      <c r="L525" s="76"/>
      <c r="R525" s="76"/>
      <c r="X525" s="76"/>
      <c r="AD525" s="76"/>
      <c r="AJ525" s="76"/>
      <c r="AP525" s="76"/>
      <c r="AV525" s="76"/>
      <c r="BB525" s="76"/>
      <c r="BC525" s="38"/>
      <c r="BD525" s="38"/>
      <c r="BE525" s="38"/>
      <c r="BF525" s="38"/>
      <c r="BG525" s="38"/>
      <c r="BH525" s="38"/>
      <c r="BI525" s="38"/>
      <c r="BJ525" s="38"/>
      <c r="BK525" s="38"/>
    </row>
    <row r="526">
      <c r="L526" s="76"/>
      <c r="R526" s="76"/>
      <c r="X526" s="76"/>
      <c r="AD526" s="76"/>
      <c r="AJ526" s="76"/>
      <c r="AP526" s="76"/>
      <c r="AV526" s="76"/>
      <c r="BB526" s="76"/>
      <c r="BC526" s="38"/>
      <c r="BD526" s="38"/>
      <c r="BE526" s="38"/>
      <c r="BF526" s="38"/>
      <c r="BG526" s="38"/>
      <c r="BH526" s="38"/>
      <c r="BI526" s="38"/>
      <c r="BJ526" s="38"/>
      <c r="BK526" s="38"/>
    </row>
    <row r="527">
      <c r="L527" s="76"/>
      <c r="R527" s="76"/>
      <c r="X527" s="76"/>
      <c r="AD527" s="76"/>
      <c r="AJ527" s="76"/>
      <c r="AP527" s="76"/>
      <c r="AV527" s="76"/>
      <c r="BB527" s="76"/>
      <c r="BC527" s="38"/>
      <c r="BD527" s="38"/>
      <c r="BE527" s="38"/>
      <c r="BF527" s="38"/>
      <c r="BG527" s="38"/>
      <c r="BH527" s="38"/>
      <c r="BI527" s="38"/>
      <c r="BJ527" s="38"/>
      <c r="BK527" s="38"/>
    </row>
    <row r="528">
      <c r="L528" s="76"/>
      <c r="R528" s="76"/>
      <c r="X528" s="76"/>
      <c r="AD528" s="76"/>
      <c r="AJ528" s="76"/>
      <c r="AP528" s="76"/>
      <c r="AV528" s="76"/>
      <c r="BB528" s="76"/>
      <c r="BC528" s="38"/>
      <c r="BD528" s="38"/>
      <c r="BE528" s="38"/>
      <c r="BF528" s="38"/>
      <c r="BG528" s="38"/>
      <c r="BH528" s="38"/>
      <c r="BI528" s="38"/>
      <c r="BJ528" s="38"/>
      <c r="BK528" s="38"/>
    </row>
    <row r="529">
      <c r="L529" s="76"/>
      <c r="R529" s="76"/>
      <c r="X529" s="76"/>
      <c r="AD529" s="76"/>
      <c r="AJ529" s="76"/>
      <c r="AP529" s="76"/>
      <c r="AV529" s="76"/>
      <c r="BB529" s="76"/>
      <c r="BC529" s="38"/>
      <c r="BD529" s="38"/>
      <c r="BE529" s="38"/>
      <c r="BF529" s="38"/>
      <c r="BG529" s="38"/>
      <c r="BH529" s="38"/>
      <c r="BI529" s="38"/>
      <c r="BJ529" s="38"/>
      <c r="BK529" s="38"/>
    </row>
    <row r="530">
      <c r="L530" s="76"/>
      <c r="R530" s="76"/>
      <c r="X530" s="76"/>
      <c r="AD530" s="76"/>
      <c r="AJ530" s="76"/>
      <c r="AP530" s="76"/>
      <c r="AV530" s="76"/>
      <c r="BB530" s="76"/>
      <c r="BC530" s="38"/>
      <c r="BD530" s="38"/>
      <c r="BE530" s="38"/>
      <c r="BF530" s="38"/>
      <c r="BG530" s="38"/>
      <c r="BH530" s="38"/>
      <c r="BI530" s="38"/>
      <c r="BJ530" s="38"/>
      <c r="BK530" s="38"/>
    </row>
    <row r="531">
      <c r="L531" s="76"/>
      <c r="R531" s="76"/>
      <c r="X531" s="76"/>
      <c r="AD531" s="76"/>
      <c r="AJ531" s="76"/>
      <c r="AP531" s="76"/>
      <c r="AV531" s="76"/>
      <c r="BB531" s="76"/>
      <c r="BC531" s="38"/>
      <c r="BD531" s="38"/>
      <c r="BE531" s="38"/>
      <c r="BF531" s="38"/>
      <c r="BG531" s="38"/>
      <c r="BH531" s="38"/>
      <c r="BI531" s="38"/>
      <c r="BJ531" s="38"/>
      <c r="BK531" s="38"/>
    </row>
    <row r="532">
      <c r="L532" s="76"/>
      <c r="R532" s="76"/>
      <c r="X532" s="76"/>
      <c r="AD532" s="76"/>
      <c r="AJ532" s="76"/>
      <c r="AP532" s="76"/>
      <c r="AV532" s="76"/>
      <c r="BB532" s="76"/>
      <c r="BC532" s="38"/>
      <c r="BD532" s="38"/>
      <c r="BE532" s="38"/>
      <c r="BF532" s="38"/>
      <c r="BG532" s="38"/>
      <c r="BH532" s="38"/>
      <c r="BI532" s="38"/>
      <c r="BJ532" s="38"/>
      <c r="BK532" s="38"/>
    </row>
    <row r="533">
      <c r="L533" s="76"/>
      <c r="R533" s="76"/>
      <c r="X533" s="76"/>
      <c r="AD533" s="76"/>
      <c r="AJ533" s="76"/>
      <c r="AP533" s="76"/>
      <c r="AV533" s="76"/>
      <c r="BB533" s="76"/>
      <c r="BC533" s="38"/>
      <c r="BD533" s="38"/>
      <c r="BE533" s="38"/>
      <c r="BF533" s="38"/>
      <c r="BG533" s="38"/>
      <c r="BH533" s="38"/>
      <c r="BI533" s="38"/>
      <c r="BJ533" s="38"/>
      <c r="BK533" s="38"/>
    </row>
    <row r="534">
      <c r="L534" s="76"/>
      <c r="R534" s="76"/>
      <c r="X534" s="76"/>
      <c r="AD534" s="76"/>
      <c r="AJ534" s="76"/>
      <c r="AP534" s="76"/>
      <c r="AV534" s="76"/>
      <c r="BB534" s="76"/>
      <c r="BC534" s="38"/>
      <c r="BD534" s="38"/>
      <c r="BE534" s="38"/>
      <c r="BF534" s="38"/>
      <c r="BG534" s="38"/>
      <c r="BH534" s="38"/>
      <c r="BI534" s="38"/>
      <c r="BJ534" s="38"/>
      <c r="BK534" s="38"/>
    </row>
    <row r="535">
      <c r="L535" s="76"/>
      <c r="R535" s="76"/>
      <c r="X535" s="76"/>
      <c r="AD535" s="76"/>
      <c r="AJ535" s="76"/>
      <c r="AP535" s="76"/>
      <c r="AV535" s="76"/>
      <c r="BB535" s="76"/>
      <c r="BC535" s="38"/>
      <c r="BD535" s="38"/>
      <c r="BE535" s="38"/>
      <c r="BF535" s="38"/>
      <c r="BG535" s="38"/>
      <c r="BH535" s="38"/>
      <c r="BI535" s="38"/>
      <c r="BJ535" s="38"/>
      <c r="BK535" s="38"/>
    </row>
    <row r="536">
      <c r="L536" s="76"/>
      <c r="R536" s="76"/>
      <c r="X536" s="76"/>
      <c r="AD536" s="76"/>
      <c r="AJ536" s="76"/>
      <c r="AP536" s="76"/>
      <c r="AV536" s="76"/>
      <c r="BB536" s="76"/>
      <c r="BC536" s="38"/>
      <c r="BD536" s="38"/>
      <c r="BE536" s="38"/>
      <c r="BF536" s="38"/>
      <c r="BG536" s="38"/>
      <c r="BH536" s="38"/>
      <c r="BI536" s="38"/>
      <c r="BJ536" s="38"/>
      <c r="BK536" s="38"/>
    </row>
    <row r="537">
      <c r="L537" s="76"/>
      <c r="R537" s="76"/>
      <c r="X537" s="76"/>
      <c r="AD537" s="76"/>
      <c r="AJ537" s="76"/>
      <c r="AP537" s="76"/>
      <c r="AV537" s="76"/>
      <c r="BB537" s="76"/>
      <c r="BC537" s="38"/>
      <c r="BD537" s="38"/>
      <c r="BE537" s="38"/>
      <c r="BF537" s="38"/>
      <c r="BG537" s="38"/>
      <c r="BH537" s="38"/>
      <c r="BI537" s="38"/>
      <c r="BJ537" s="38"/>
      <c r="BK537" s="38"/>
    </row>
    <row r="538">
      <c r="L538" s="76"/>
      <c r="R538" s="76"/>
      <c r="X538" s="76"/>
      <c r="AD538" s="76"/>
      <c r="AJ538" s="76"/>
      <c r="AP538" s="76"/>
      <c r="AV538" s="76"/>
      <c r="BB538" s="76"/>
      <c r="BC538" s="38"/>
      <c r="BD538" s="38"/>
      <c r="BE538" s="38"/>
      <c r="BF538" s="38"/>
      <c r="BG538" s="38"/>
      <c r="BH538" s="38"/>
      <c r="BI538" s="38"/>
      <c r="BJ538" s="38"/>
      <c r="BK538" s="38"/>
    </row>
    <row r="539">
      <c r="L539" s="76"/>
      <c r="R539" s="76"/>
      <c r="X539" s="76"/>
      <c r="AD539" s="76"/>
      <c r="AJ539" s="76"/>
      <c r="AP539" s="76"/>
      <c r="AV539" s="76"/>
      <c r="BB539" s="76"/>
      <c r="BC539" s="38"/>
      <c r="BD539" s="38"/>
      <c r="BE539" s="38"/>
      <c r="BF539" s="38"/>
      <c r="BG539" s="38"/>
      <c r="BH539" s="38"/>
      <c r="BI539" s="38"/>
      <c r="BJ539" s="38"/>
      <c r="BK539" s="38"/>
    </row>
    <row r="540">
      <c r="L540" s="76"/>
      <c r="R540" s="76"/>
      <c r="X540" s="76"/>
      <c r="AD540" s="76"/>
      <c r="AJ540" s="76"/>
      <c r="AP540" s="76"/>
      <c r="AV540" s="76"/>
      <c r="BB540" s="76"/>
      <c r="BC540" s="38"/>
      <c r="BD540" s="38"/>
      <c r="BE540" s="38"/>
      <c r="BF540" s="38"/>
      <c r="BG540" s="38"/>
      <c r="BH540" s="38"/>
      <c r="BI540" s="38"/>
      <c r="BJ540" s="38"/>
      <c r="BK540" s="38"/>
    </row>
    <row r="541">
      <c r="L541" s="76"/>
      <c r="R541" s="76"/>
      <c r="X541" s="76"/>
      <c r="AD541" s="76"/>
      <c r="AJ541" s="76"/>
      <c r="AP541" s="76"/>
      <c r="AV541" s="76"/>
      <c r="BB541" s="76"/>
      <c r="BC541" s="38"/>
      <c r="BD541" s="38"/>
      <c r="BE541" s="38"/>
      <c r="BF541" s="38"/>
      <c r="BG541" s="38"/>
      <c r="BH541" s="38"/>
      <c r="BI541" s="38"/>
      <c r="BJ541" s="38"/>
      <c r="BK541" s="38"/>
    </row>
    <row r="542">
      <c r="L542" s="76"/>
      <c r="R542" s="76"/>
      <c r="X542" s="76"/>
      <c r="AD542" s="76"/>
      <c r="AJ542" s="76"/>
      <c r="AP542" s="76"/>
      <c r="AV542" s="76"/>
      <c r="BB542" s="76"/>
      <c r="BC542" s="38"/>
      <c r="BD542" s="38"/>
      <c r="BE542" s="38"/>
      <c r="BF542" s="38"/>
      <c r="BG542" s="38"/>
      <c r="BH542" s="38"/>
      <c r="BI542" s="38"/>
      <c r="BJ542" s="38"/>
      <c r="BK542" s="38"/>
    </row>
    <row r="543">
      <c r="L543" s="76"/>
      <c r="R543" s="76"/>
      <c r="X543" s="76"/>
      <c r="AD543" s="76"/>
      <c r="AJ543" s="76"/>
      <c r="AP543" s="76"/>
      <c r="AV543" s="76"/>
      <c r="BB543" s="76"/>
      <c r="BC543" s="38"/>
      <c r="BD543" s="38"/>
      <c r="BE543" s="38"/>
      <c r="BF543" s="38"/>
      <c r="BG543" s="38"/>
      <c r="BH543" s="38"/>
      <c r="BI543" s="38"/>
      <c r="BJ543" s="38"/>
      <c r="BK543" s="38"/>
    </row>
    <row r="544">
      <c r="L544" s="76"/>
      <c r="R544" s="76"/>
      <c r="X544" s="76"/>
      <c r="AD544" s="76"/>
      <c r="AJ544" s="76"/>
      <c r="AP544" s="76"/>
      <c r="AV544" s="76"/>
      <c r="BB544" s="76"/>
      <c r="BC544" s="38"/>
      <c r="BD544" s="38"/>
      <c r="BE544" s="38"/>
      <c r="BF544" s="38"/>
      <c r="BG544" s="38"/>
      <c r="BH544" s="38"/>
      <c r="BI544" s="38"/>
      <c r="BJ544" s="38"/>
      <c r="BK544" s="38"/>
    </row>
    <row r="545">
      <c r="L545" s="76"/>
      <c r="R545" s="76"/>
      <c r="X545" s="76"/>
      <c r="AD545" s="76"/>
      <c r="AJ545" s="76"/>
      <c r="AP545" s="76"/>
      <c r="AV545" s="76"/>
      <c r="BB545" s="76"/>
      <c r="BC545" s="38"/>
      <c r="BD545" s="38"/>
      <c r="BE545" s="38"/>
      <c r="BF545" s="38"/>
      <c r="BG545" s="38"/>
      <c r="BH545" s="38"/>
      <c r="BI545" s="38"/>
      <c r="BJ545" s="38"/>
      <c r="BK545" s="38"/>
    </row>
    <row r="546">
      <c r="L546" s="76"/>
      <c r="R546" s="76"/>
      <c r="X546" s="76"/>
      <c r="AD546" s="76"/>
      <c r="AJ546" s="76"/>
      <c r="AP546" s="76"/>
      <c r="AV546" s="76"/>
      <c r="BB546" s="76"/>
      <c r="BC546" s="38"/>
      <c r="BD546" s="38"/>
      <c r="BE546" s="38"/>
      <c r="BF546" s="38"/>
      <c r="BG546" s="38"/>
      <c r="BH546" s="38"/>
      <c r="BI546" s="38"/>
      <c r="BJ546" s="38"/>
      <c r="BK546" s="38"/>
    </row>
    <row r="547">
      <c r="L547" s="76"/>
      <c r="R547" s="76"/>
      <c r="X547" s="76"/>
      <c r="AD547" s="76"/>
      <c r="AJ547" s="76"/>
      <c r="AP547" s="76"/>
      <c r="AV547" s="76"/>
      <c r="BB547" s="76"/>
      <c r="BC547" s="38"/>
      <c r="BD547" s="38"/>
      <c r="BE547" s="38"/>
      <c r="BF547" s="38"/>
      <c r="BG547" s="38"/>
      <c r="BH547" s="38"/>
      <c r="BI547" s="38"/>
      <c r="BJ547" s="38"/>
      <c r="BK547" s="38"/>
    </row>
    <row r="548">
      <c r="L548" s="76"/>
      <c r="R548" s="76"/>
      <c r="X548" s="76"/>
      <c r="AD548" s="76"/>
      <c r="AJ548" s="76"/>
      <c r="AP548" s="76"/>
      <c r="AV548" s="76"/>
      <c r="BB548" s="76"/>
      <c r="BC548" s="38"/>
      <c r="BD548" s="38"/>
      <c r="BE548" s="38"/>
      <c r="BF548" s="38"/>
      <c r="BG548" s="38"/>
      <c r="BH548" s="38"/>
      <c r="BI548" s="38"/>
      <c r="BJ548" s="38"/>
      <c r="BK548" s="38"/>
    </row>
    <row r="549">
      <c r="L549" s="76"/>
      <c r="R549" s="76"/>
      <c r="X549" s="76"/>
      <c r="AD549" s="76"/>
      <c r="AJ549" s="76"/>
      <c r="AP549" s="76"/>
      <c r="AV549" s="76"/>
      <c r="BB549" s="76"/>
      <c r="BC549" s="38"/>
      <c r="BD549" s="38"/>
      <c r="BE549" s="38"/>
      <c r="BF549" s="38"/>
      <c r="BG549" s="38"/>
      <c r="BH549" s="38"/>
      <c r="BI549" s="38"/>
      <c r="BJ549" s="38"/>
      <c r="BK549" s="38"/>
    </row>
    <row r="550">
      <c r="L550" s="76"/>
      <c r="R550" s="76"/>
      <c r="X550" s="76"/>
      <c r="AD550" s="76"/>
      <c r="AJ550" s="76"/>
      <c r="AP550" s="76"/>
      <c r="AV550" s="76"/>
      <c r="BB550" s="76"/>
      <c r="BC550" s="38"/>
      <c r="BD550" s="38"/>
      <c r="BE550" s="38"/>
      <c r="BF550" s="38"/>
      <c r="BG550" s="38"/>
      <c r="BH550" s="38"/>
      <c r="BI550" s="38"/>
      <c r="BJ550" s="38"/>
      <c r="BK550" s="38"/>
    </row>
    <row r="551">
      <c r="L551" s="76"/>
      <c r="R551" s="76"/>
      <c r="X551" s="76"/>
      <c r="AD551" s="76"/>
      <c r="AJ551" s="76"/>
      <c r="AP551" s="76"/>
      <c r="AV551" s="76"/>
      <c r="BB551" s="76"/>
      <c r="BC551" s="38"/>
      <c r="BD551" s="38"/>
      <c r="BE551" s="38"/>
      <c r="BF551" s="38"/>
      <c r="BG551" s="38"/>
      <c r="BH551" s="38"/>
      <c r="BI551" s="38"/>
      <c r="BJ551" s="38"/>
      <c r="BK551" s="38"/>
    </row>
    <row r="552">
      <c r="L552" s="76"/>
      <c r="R552" s="76"/>
      <c r="X552" s="76"/>
      <c r="AD552" s="76"/>
      <c r="AJ552" s="76"/>
      <c r="AP552" s="76"/>
      <c r="AV552" s="76"/>
      <c r="BB552" s="76"/>
      <c r="BC552" s="38"/>
      <c r="BD552" s="38"/>
      <c r="BE552" s="38"/>
      <c r="BF552" s="38"/>
      <c r="BG552" s="38"/>
      <c r="BH552" s="38"/>
      <c r="BI552" s="38"/>
      <c r="BJ552" s="38"/>
      <c r="BK552" s="38"/>
    </row>
    <row r="553">
      <c r="L553" s="76"/>
      <c r="R553" s="76"/>
      <c r="X553" s="76"/>
      <c r="AD553" s="76"/>
      <c r="AJ553" s="76"/>
      <c r="AP553" s="76"/>
      <c r="AV553" s="76"/>
      <c r="BB553" s="76"/>
      <c r="BC553" s="38"/>
      <c r="BD553" s="38"/>
      <c r="BE553" s="38"/>
      <c r="BF553" s="38"/>
      <c r="BG553" s="38"/>
      <c r="BH553" s="38"/>
      <c r="BI553" s="38"/>
      <c r="BJ553" s="38"/>
      <c r="BK553" s="38"/>
    </row>
    <row r="554">
      <c r="L554" s="76"/>
      <c r="R554" s="76"/>
      <c r="X554" s="76"/>
      <c r="AD554" s="76"/>
      <c r="AJ554" s="76"/>
      <c r="AP554" s="76"/>
      <c r="AV554" s="76"/>
      <c r="BB554" s="76"/>
      <c r="BC554" s="38"/>
      <c r="BD554" s="38"/>
      <c r="BE554" s="38"/>
      <c r="BF554" s="38"/>
      <c r="BG554" s="38"/>
      <c r="BH554" s="38"/>
      <c r="BI554" s="38"/>
      <c r="BJ554" s="38"/>
      <c r="BK554" s="38"/>
    </row>
    <row r="555">
      <c r="L555" s="76"/>
      <c r="R555" s="76"/>
      <c r="X555" s="76"/>
      <c r="AD555" s="76"/>
      <c r="AJ555" s="76"/>
      <c r="AP555" s="76"/>
      <c r="AV555" s="76"/>
      <c r="BB555" s="76"/>
      <c r="BC555" s="38"/>
      <c r="BD555" s="38"/>
      <c r="BE555" s="38"/>
      <c r="BF555" s="38"/>
      <c r="BG555" s="38"/>
      <c r="BH555" s="38"/>
      <c r="BI555" s="38"/>
      <c r="BJ555" s="38"/>
      <c r="BK555" s="38"/>
    </row>
    <row r="556">
      <c r="L556" s="76"/>
      <c r="R556" s="76"/>
      <c r="X556" s="76"/>
      <c r="AD556" s="76"/>
      <c r="AJ556" s="76"/>
      <c r="AP556" s="76"/>
      <c r="AV556" s="76"/>
      <c r="BB556" s="76"/>
      <c r="BC556" s="38"/>
      <c r="BD556" s="38"/>
      <c r="BE556" s="38"/>
      <c r="BF556" s="38"/>
      <c r="BG556" s="38"/>
      <c r="BH556" s="38"/>
      <c r="BI556" s="38"/>
      <c r="BJ556" s="38"/>
      <c r="BK556" s="38"/>
    </row>
    <row r="557">
      <c r="L557" s="76"/>
      <c r="R557" s="76"/>
      <c r="X557" s="76"/>
      <c r="AD557" s="76"/>
      <c r="AJ557" s="76"/>
      <c r="AP557" s="76"/>
      <c r="AV557" s="76"/>
      <c r="BB557" s="76"/>
      <c r="BC557" s="38"/>
      <c r="BD557" s="38"/>
      <c r="BE557" s="38"/>
      <c r="BF557" s="38"/>
      <c r="BG557" s="38"/>
      <c r="BH557" s="38"/>
      <c r="BI557" s="38"/>
      <c r="BJ557" s="38"/>
      <c r="BK557" s="38"/>
    </row>
    <row r="558">
      <c r="L558" s="76"/>
      <c r="R558" s="76"/>
      <c r="X558" s="76"/>
      <c r="AD558" s="76"/>
      <c r="AJ558" s="76"/>
      <c r="AP558" s="76"/>
      <c r="AV558" s="76"/>
      <c r="BB558" s="76"/>
      <c r="BC558" s="38"/>
      <c r="BD558" s="38"/>
      <c r="BE558" s="38"/>
      <c r="BF558" s="38"/>
      <c r="BG558" s="38"/>
      <c r="BH558" s="38"/>
      <c r="BI558" s="38"/>
      <c r="BJ558" s="38"/>
      <c r="BK558" s="38"/>
    </row>
    <row r="559">
      <c r="L559" s="76"/>
      <c r="R559" s="76"/>
      <c r="X559" s="76"/>
      <c r="AD559" s="76"/>
      <c r="AJ559" s="76"/>
      <c r="AP559" s="76"/>
      <c r="AV559" s="76"/>
      <c r="BB559" s="76"/>
      <c r="BC559" s="38"/>
      <c r="BD559" s="38"/>
      <c r="BE559" s="38"/>
      <c r="BF559" s="38"/>
      <c r="BG559" s="38"/>
      <c r="BH559" s="38"/>
      <c r="BI559" s="38"/>
      <c r="BJ559" s="38"/>
      <c r="BK559" s="38"/>
    </row>
    <row r="560">
      <c r="L560" s="76"/>
      <c r="R560" s="76"/>
      <c r="X560" s="76"/>
      <c r="AD560" s="76"/>
      <c r="AJ560" s="76"/>
      <c r="AP560" s="76"/>
      <c r="AV560" s="76"/>
      <c r="BB560" s="76"/>
      <c r="BC560" s="38"/>
      <c r="BD560" s="38"/>
      <c r="BE560" s="38"/>
      <c r="BF560" s="38"/>
      <c r="BG560" s="38"/>
      <c r="BH560" s="38"/>
      <c r="BI560" s="38"/>
      <c r="BJ560" s="38"/>
      <c r="BK560" s="38"/>
    </row>
    <row r="561">
      <c r="L561" s="76"/>
      <c r="R561" s="76"/>
      <c r="X561" s="76"/>
      <c r="AD561" s="76"/>
      <c r="AJ561" s="76"/>
      <c r="AP561" s="76"/>
      <c r="AV561" s="76"/>
      <c r="BB561" s="76"/>
      <c r="BC561" s="38"/>
      <c r="BD561" s="38"/>
      <c r="BE561" s="38"/>
      <c r="BF561" s="38"/>
      <c r="BG561" s="38"/>
      <c r="BH561" s="38"/>
      <c r="BI561" s="38"/>
      <c r="BJ561" s="38"/>
      <c r="BK561" s="38"/>
    </row>
    <row r="562">
      <c r="L562" s="76"/>
      <c r="R562" s="76"/>
      <c r="X562" s="76"/>
      <c r="AD562" s="76"/>
      <c r="AJ562" s="76"/>
      <c r="AP562" s="76"/>
      <c r="AV562" s="76"/>
      <c r="BB562" s="76"/>
      <c r="BC562" s="38"/>
      <c r="BD562" s="38"/>
      <c r="BE562" s="38"/>
      <c r="BF562" s="38"/>
      <c r="BG562" s="38"/>
      <c r="BH562" s="38"/>
      <c r="BI562" s="38"/>
      <c r="BJ562" s="38"/>
      <c r="BK562" s="38"/>
    </row>
    <row r="563">
      <c r="L563" s="76"/>
      <c r="R563" s="76"/>
      <c r="X563" s="76"/>
      <c r="AD563" s="76"/>
      <c r="AJ563" s="76"/>
      <c r="AP563" s="76"/>
      <c r="AV563" s="76"/>
      <c r="BB563" s="76"/>
      <c r="BC563" s="38"/>
      <c r="BD563" s="38"/>
      <c r="BE563" s="38"/>
      <c r="BF563" s="38"/>
      <c r="BG563" s="38"/>
      <c r="BH563" s="38"/>
      <c r="BI563" s="38"/>
      <c r="BJ563" s="38"/>
      <c r="BK563" s="38"/>
    </row>
    <row r="564">
      <c r="L564" s="76"/>
      <c r="R564" s="76"/>
      <c r="X564" s="76"/>
      <c r="AD564" s="76"/>
      <c r="AJ564" s="76"/>
      <c r="AP564" s="76"/>
      <c r="AV564" s="76"/>
      <c r="BB564" s="76"/>
      <c r="BC564" s="38"/>
      <c r="BD564" s="38"/>
      <c r="BE564" s="38"/>
      <c r="BF564" s="38"/>
      <c r="BG564" s="38"/>
      <c r="BH564" s="38"/>
      <c r="BI564" s="38"/>
      <c r="BJ564" s="38"/>
      <c r="BK564" s="38"/>
    </row>
    <row r="565">
      <c r="L565" s="76"/>
      <c r="R565" s="76"/>
      <c r="X565" s="76"/>
      <c r="AD565" s="76"/>
      <c r="AJ565" s="76"/>
      <c r="AP565" s="76"/>
      <c r="AV565" s="76"/>
      <c r="BB565" s="76"/>
      <c r="BC565" s="38"/>
      <c r="BD565" s="38"/>
      <c r="BE565" s="38"/>
      <c r="BF565" s="38"/>
      <c r="BG565" s="38"/>
      <c r="BH565" s="38"/>
      <c r="BI565" s="38"/>
      <c r="BJ565" s="38"/>
      <c r="BK565" s="38"/>
    </row>
    <row r="566">
      <c r="L566" s="76"/>
      <c r="R566" s="76"/>
      <c r="X566" s="76"/>
      <c r="AD566" s="76"/>
      <c r="AJ566" s="76"/>
      <c r="AP566" s="76"/>
      <c r="AV566" s="76"/>
      <c r="BB566" s="76"/>
      <c r="BC566" s="38"/>
      <c r="BD566" s="38"/>
      <c r="BE566" s="38"/>
      <c r="BF566" s="38"/>
      <c r="BG566" s="38"/>
      <c r="BH566" s="38"/>
      <c r="BI566" s="38"/>
      <c r="BJ566" s="38"/>
      <c r="BK566" s="38"/>
    </row>
    <row r="567">
      <c r="L567" s="76"/>
      <c r="R567" s="76"/>
      <c r="X567" s="76"/>
      <c r="AD567" s="76"/>
      <c r="AJ567" s="76"/>
      <c r="AP567" s="76"/>
      <c r="AV567" s="76"/>
      <c r="BB567" s="76"/>
      <c r="BC567" s="38"/>
      <c r="BD567" s="38"/>
      <c r="BE567" s="38"/>
      <c r="BF567" s="38"/>
      <c r="BG567" s="38"/>
      <c r="BH567" s="38"/>
      <c r="BI567" s="38"/>
      <c r="BJ567" s="38"/>
      <c r="BK567" s="38"/>
    </row>
    <row r="568">
      <c r="L568" s="76"/>
      <c r="R568" s="76"/>
      <c r="X568" s="76"/>
      <c r="AD568" s="76"/>
      <c r="AJ568" s="76"/>
      <c r="AP568" s="76"/>
      <c r="AV568" s="76"/>
      <c r="BB568" s="76"/>
      <c r="BC568" s="38"/>
      <c r="BD568" s="38"/>
      <c r="BE568" s="38"/>
      <c r="BF568" s="38"/>
      <c r="BG568" s="38"/>
      <c r="BH568" s="38"/>
      <c r="BI568" s="38"/>
      <c r="BJ568" s="38"/>
      <c r="BK568" s="38"/>
    </row>
    <row r="569">
      <c r="L569" s="76"/>
      <c r="R569" s="76"/>
      <c r="X569" s="76"/>
      <c r="AD569" s="76"/>
      <c r="AJ569" s="76"/>
      <c r="AP569" s="76"/>
      <c r="AV569" s="76"/>
      <c r="BB569" s="76"/>
      <c r="BC569" s="38"/>
      <c r="BD569" s="38"/>
      <c r="BE569" s="38"/>
      <c r="BF569" s="38"/>
      <c r="BG569" s="38"/>
      <c r="BH569" s="38"/>
      <c r="BI569" s="38"/>
      <c r="BJ569" s="38"/>
      <c r="BK569" s="38"/>
    </row>
    <row r="570">
      <c r="L570" s="76"/>
      <c r="R570" s="76"/>
      <c r="X570" s="76"/>
      <c r="AD570" s="76"/>
      <c r="AJ570" s="76"/>
      <c r="AP570" s="76"/>
      <c r="AV570" s="76"/>
      <c r="BB570" s="76"/>
      <c r="BC570" s="38"/>
      <c r="BD570" s="38"/>
      <c r="BE570" s="38"/>
      <c r="BF570" s="38"/>
      <c r="BG570" s="38"/>
      <c r="BH570" s="38"/>
      <c r="BI570" s="38"/>
      <c r="BJ570" s="38"/>
      <c r="BK570" s="38"/>
    </row>
    <row r="571">
      <c r="L571" s="76"/>
      <c r="R571" s="76"/>
      <c r="X571" s="76"/>
      <c r="AD571" s="76"/>
      <c r="AJ571" s="76"/>
      <c r="AP571" s="76"/>
      <c r="AV571" s="76"/>
      <c r="BB571" s="76"/>
      <c r="BC571" s="38"/>
      <c r="BD571" s="38"/>
      <c r="BE571" s="38"/>
      <c r="BF571" s="38"/>
      <c r="BG571" s="38"/>
      <c r="BH571" s="38"/>
      <c r="BI571" s="38"/>
      <c r="BJ571" s="38"/>
      <c r="BK571" s="38"/>
    </row>
    <row r="572">
      <c r="L572" s="76"/>
      <c r="R572" s="76"/>
      <c r="X572" s="76"/>
      <c r="AD572" s="76"/>
      <c r="AJ572" s="76"/>
      <c r="AP572" s="76"/>
      <c r="AV572" s="76"/>
      <c r="BB572" s="76"/>
      <c r="BC572" s="38"/>
      <c r="BD572" s="38"/>
      <c r="BE572" s="38"/>
      <c r="BF572" s="38"/>
      <c r="BG572" s="38"/>
      <c r="BH572" s="38"/>
      <c r="BI572" s="38"/>
      <c r="BJ572" s="38"/>
      <c r="BK572" s="38"/>
    </row>
    <row r="573">
      <c r="L573" s="76"/>
      <c r="R573" s="76"/>
      <c r="X573" s="76"/>
      <c r="AD573" s="76"/>
      <c r="AJ573" s="76"/>
      <c r="AP573" s="76"/>
      <c r="AV573" s="76"/>
      <c r="BB573" s="76"/>
      <c r="BC573" s="38"/>
      <c r="BD573" s="38"/>
      <c r="BE573" s="38"/>
      <c r="BF573" s="38"/>
      <c r="BG573" s="38"/>
      <c r="BH573" s="38"/>
      <c r="BI573" s="38"/>
      <c r="BJ573" s="38"/>
      <c r="BK573" s="38"/>
    </row>
    <row r="574">
      <c r="L574" s="76"/>
      <c r="R574" s="76"/>
      <c r="X574" s="76"/>
      <c r="AD574" s="76"/>
      <c r="AJ574" s="76"/>
      <c r="AP574" s="76"/>
      <c r="AV574" s="76"/>
      <c r="BB574" s="76"/>
      <c r="BC574" s="38"/>
      <c r="BD574" s="38"/>
      <c r="BE574" s="38"/>
      <c r="BF574" s="38"/>
      <c r="BG574" s="38"/>
      <c r="BH574" s="38"/>
      <c r="BI574" s="38"/>
      <c r="BJ574" s="38"/>
      <c r="BK574" s="38"/>
    </row>
    <row r="575">
      <c r="L575" s="76"/>
      <c r="R575" s="76"/>
      <c r="X575" s="76"/>
      <c r="AD575" s="76"/>
      <c r="AJ575" s="76"/>
      <c r="AP575" s="76"/>
      <c r="AV575" s="76"/>
      <c r="BB575" s="76"/>
      <c r="BC575" s="38"/>
      <c r="BD575" s="38"/>
      <c r="BE575" s="38"/>
      <c r="BF575" s="38"/>
      <c r="BG575" s="38"/>
      <c r="BH575" s="38"/>
      <c r="BI575" s="38"/>
      <c r="BJ575" s="38"/>
      <c r="BK575" s="38"/>
    </row>
    <row r="576">
      <c r="L576" s="76"/>
      <c r="R576" s="76"/>
      <c r="X576" s="76"/>
      <c r="AD576" s="76"/>
      <c r="AJ576" s="76"/>
      <c r="AP576" s="76"/>
      <c r="AV576" s="76"/>
      <c r="BB576" s="76"/>
      <c r="BC576" s="38"/>
      <c r="BD576" s="38"/>
      <c r="BE576" s="38"/>
      <c r="BF576" s="38"/>
      <c r="BG576" s="38"/>
      <c r="BH576" s="38"/>
      <c r="BI576" s="38"/>
      <c r="BJ576" s="38"/>
      <c r="BK576" s="38"/>
    </row>
    <row r="577">
      <c r="L577" s="76"/>
      <c r="R577" s="76"/>
      <c r="X577" s="76"/>
      <c r="AD577" s="76"/>
      <c r="AJ577" s="76"/>
      <c r="AP577" s="76"/>
      <c r="AV577" s="76"/>
      <c r="BB577" s="76"/>
      <c r="BC577" s="38"/>
      <c r="BD577" s="38"/>
      <c r="BE577" s="38"/>
      <c r="BF577" s="38"/>
      <c r="BG577" s="38"/>
      <c r="BH577" s="38"/>
      <c r="BI577" s="38"/>
      <c r="BJ577" s="38"/>
      <c r="BK577" s="38"/>
    </row>
    <row r="578">
      <c r="L578" s="76"/>
      <c r="R578" s="76"/>
      <c r="X578" s="76"/>
      <c r="AD578" s="76"/>
      <c r="AJ578" s="76"/>
      <c r="AP578" s="76"/>
      <c r="AV578" s="76"/>
      <c r="BB578" s="76"/>
      <c r="BC578" s="38"/>
      <c r="BD578" s="38"/>
      <c r="BE578" s="38"/>
      <c r="BF578" s="38"/>
      <c r="BG578" s="38"/>
      <c r="BH578" s="38"/>
      <c r="BI578" s="38"/>
      <c r="BJ578" s="38"/>
      <c r="BK578" s="38"/>
    </row>
    <row r="579">
      <c r="L579" s="76"/>
      <c r="R579" s="76"/>
      <c r="X579" s="76"/>
      <c r="AD579" s="76"/>
      <c r="AJ579" s="76"/>
      <c r="AP579" s="76"/>
      <c r="AV579" s="76"/>
      <c r="BB579" s="76"/>
      <c r="BC579" s="38"/>
      <c r="BD579" s="38"/>
      <c r="BE579" s="38"/>
      <c r="BF579" s="38"/>
      <c r="BG579" s="38"/>
      <c r="BH579" s="38"/>
      <c r="BI579" s="38"/>
      <c r="BJ579" s="38"/>
      <c r="BK579" s="38"/>
    </row>
    <row r="580">
      <c r="L580" s="76"/>
      <c r="R580" s="76"/>
      <c r="X580" s="76"/>
      <c r="AD580" s="76"/>
      <c r="AJ580" s="76"/>
      <c r="AP580" s="76"/>
      <c r="AV580" s="76"/>
      <c r="BB580" s="76"/>
      <c r="BC580" s="38"/>
      <c r="BD580" s="38"/>
      <c r="BE580" s="38"/>
      <c r="BF580" s="38"/>
      <c r="BG580" s="38"/>
      <c r="BH580" s="38"/>
      <c r="BI580" s="38"/>
      <c r="BJ580" s="38"/>
      <c r="BK580" s="38"/>
    </row>
    <row r="581">
      <c r="L581" s="76"/>
      <c r="R581" s="76"/>
      <c r="X581" s="76"/>
      <c r="AD581" s="76"/>
      <c r="AJ581" s="76"/>
      <c r="AP581" s="76"/>
      <c r="AV581" s="76"/>
      <c r="BB581" s="76"/>
      <c r="BC581" s="38"/>
      <c r="BD581" s="38"/>
      <c r="BE581" s="38"/>
      <c r="BF581" s="38"/>
      <c r="BG581" s="38"/>
      <c r="BH581" s="38"/>
      <c r="BI581" s="38"/>
      <c r="BJ581" s="38"/>
      <c r="BK581" s="38"/>
    </row>
    <row r="582">
      <c r="L582" s="76"/>
      <c r="R582" s="76"/>
      <c r="X582" s="76"/>
      <c r="AD582" s="76"/>
      <c r="AJ582" s="76"/>
      <c r="AP582" s="76"/>
      <c r="AV582" s="76"/>
      <c r="BB582" s="76"/>
      <c r="BC582" s="38"/>
      <c r="BD582" s="38"/>
      <c r="BE582" s="38"/>
      <c r="BF582" s="38"/>
      <c r="BG582" s="38"/>
      <c r="BH582" s="38"/>
      <c r="BI582" s="38"/>
      <c r="BJ582" s="38"/>
      <c r="BK582" s="38"/>
    </row>
    <row r="583">
      <c r="L583" s="76"/>
      <c r="R583" s="76"/>
      <c r="X583" s="76"/>
      <c r="AD583" s="76"/>
      <c r="AJ583" s="76"/>
      <c r="AP583" s="76"/>
      <c r="AV583" s="76"/>
      <c r="BB583" s="76"/>
      <c r="BC583" s="38"/>
      <c r="BD583" s="38"/>
      <c r="BE583" s="38"/>
      <c r="BF583" s="38"/>
      <c r="BG583" s="38"/>
      <c r="BH583" s="38"/>
      <c r="BI583" s="38"/>
      <c r="BJ583" s="38"/>
      <c r="BK583" s="38"/>
    </row>
    <row r="584">
      <c r="L584" s="76"/>
      <c r="R584" s="76"/>
      <c r="X584" s="76"/>
      <c r="AD584" s="76"/>
      <c r="AJ584" s="76"/>
      <c r="AP584" s="76"/>
      <c r="AV584" s="76"/>
      <c r="BB584" s="76"/>
      <c r="BC584" s="38"/>
      <c r="BD584" s="38"/>
      <c r="BE584" s="38"/>
      <c r="BF584" s="38"/>
      <c r="BG584" s="38"/>
      <c r="BH584" s="38"/>
      <c r="BI584" s="38"/>
      <c r="BJ584" s="38"/>
      <c r="BK584" s="38"/>
    </row>
    <row r="585">
      <c r="L585" s="76"/>
      <c r="R585" s="76"/>
      <c r="X585" s="76"/>
      <c r="AD585" s="76"/>
      <c r="AJ585" s="76"/>
      <c r="AP585" s="76"/>
      <c r="AV585" s="76"/>
      <c r="BB585" s="76"/>
      <c r="BC585" s="38"/>
      <c r="BD585" s="38"/>
      <c r="BE585" s="38"/>
      <c r="BF585" s="38"/>
      <c r="BG585" s="38"/>
      <c r="BH585" s="38"/>
      <c r="BI585" s="38"/>
      <c r="BJ585" s="38"/>
      <c r="BK585" s="38"/>
    </row>
    <row r="586">
      <c r="L586" s="76"/>
      <c r="R586" s="76"/>
      <c r="X586" s="76"/>
      <c r="AD586" s="76"/>
      <c r="AJ586" s="76"/>
      <c r="AP586" s="76"/>
      <c r="AV586" s="76"/>
      <c r="BB586" s="76"/>
      <c r="BC586" s="38"/>
      <c r="BD586" s="38"/>
      <c r="BE586" s="38"/>
      <c r="BF586" s="38"/>
      <c r="BG586" s="38"/>
      <c r="BH586" s="38"/>
      <c r="BI586" s="38"/>
      <c r="BJ586" s="38"/>
      <c r="BK586" s="38"/>
    </row>
    <row r="587">
      <c r="L587" s="76"/>
      <c r="R587" s="76"/>
      <c r="X587" s="76"/>
      <c r="AD587" s="76"/>
      <c r="AJ587" s="76"/>
      <c r="AP587" s="76"/>
      <c r="AV587" s="76"/>
      <c r="BB587" s="76"/>
      <c r="BC587" s="38"/>
      <c r="BD587" s="38"/>
      <c r="BE587" s="38"/>
      <c r="BF587" s="38"/>
      <c r="BG587" s="38"/>
      <c r="BH587" s="38"/>
      <c r="BI587" s="38"/>
      <c r="BJ587" s="38"/>
      <c r="BK587" s="38"/>
    </row>
    <row r="588">
      <c r="L588" s="76"/>
      <c r="R588" s="76"/>
      <c r="X588" s="76"/>
      <c r="AD588" s="76"/>
      <c r="AJ588" s="76"/>
      <c r="AP588" s="76"/>
      <c r="AV588" s="76"/>
      <c r="BB588" s="76"/>
      <c r="BC588" s="38"/>
      <c r="BD588" s="38"/>
      <c r="BE588" s="38"/>
      <c r="BF588" s="38"/>
      <c r="BG588" s="38"/>
      <c r="BH588" s="38"/>
      <c r="BI588" s="38"/>
      <c r="BJ588" s="38"/>
      <c r="BK588" s="38"/>
    </row>
    <row r="589">
      <c r="L589" s="76"/>
      <c r="R589" s="76"/>
      <c r="X589" s="76"/>
      <c r="AD589" s="76"/>
      <c r="AJ589" s="76"/>
      <c r="AP589" s="76"/>
      <c r="AV589" s="76"/>
      <c r="BB589" s="76"/>
      <c r="BC589" s="38"/>
      <c r="BD589" s="38"/>
      <c r="BE589" s="38"/>
      <c r="BF589" s="38"/>
      <c r="BG589" s="38"/>
      <c r="BH589" s="38"/>
      <c r="BI589" s="38"/>
      <c r="BJ589" s="38"/>
      <c r="BK589" s="38"/>
    </row>
    <row r="590">
      <c r="L590" s="76"/>
      <c r="R590" s="76"/>
      <c r="X590" s="76"/>
      <c r="AD590" s="76"/>
      <c r="AJ590" s="76"/>
      <c r="AP590" s="76"/>
      <c r="AV590" s="76"/>
      <c r="BB590" s="76"/>
      <c r="BC590" s="38"/>
      <c r="BD590" s="38"/>
      <c r="BE590" s="38"/>
      <c r="BF590" s="38"/>
      <c r="BG590" s="38"/>
      <c r="BH590" s="38"/>
      <c r="BI590" s="38"/>
      <c r="BJ590" s="38"/>
      <c r="BK590" s="38"/>
    </row>
    <row r="591">
      <c r="L591" s="76"/>
      <c r="R591" s="76"/>
      <c r="X591" s="76"/>
      <c r="AD591" s="76"/>
      <c r="AJ591" s="76"/>
      <c r="AP591" s="76"/>
      <c r="AV591" s="76"/>
      <c r="BB591" s="76"/>
      <c r="BC591" s="38"/>
      <c r="BD591" s="38"/>
      <c r="BE591" s="38"/>
      <c r="BF591" s="38"/>
      <c r="BG591" s="38"/>
      <c r="BH591" s="38"/>
      <c r="BI591" s="38"/>
      <c r="BJ591" s="38"/>
      <c r="BK591" s="38"/>
    </row>
    <row r="592">
      <c r="L592" s="76"/>
      <c r="R592" s="76"/>
      <c r="X592" s="76"/>
      <c r="AD592" s="76"/>
      <c r="AJ592" s="76"/>
      <c r="AP592" s="76"/>
      <c r="AV592" s="76"/>
      <c r="BB592" s="76"/>
      <c r="BC592" s="38"/>
      <c r="BD592" s="38"/>
      <c r="BE592" s="38"/>
      <c r="BF592" s="38"/>
      <c r="BG592" s="38"/>
      <c r="BH592" s="38"/>
      <c r="BI592" s="38"/>
      <c r="BJ592" s="38"/>
      <c r="BK592" s="38"/>
    </row>
    <row r="593">
      <c r="L593" s="76"/>
      <c r="R593" s="76"/>
      <c r="X593" s="76"/>
      <c r="AD593" s="76"/>
      <c r="AJ593" s="76"/>
      <c r="AP593" s="76"/>
      <c r="AV593" s="76"/>
      <c r="BB593" s="76"/>
      <c r="BC593" s="38"/>
      <c r="BD593" s="38"/>
      <c r="BE593" s="38"/>
      <c r="BF593" s="38"/>
      <c r="BG593" s="38"/>
      <c r="BH593" s="38"/>
      <c r="BI593" s="38"/>
      <c r="BJ593" s="38"/>
      <c r="BK593" s="38"/>
    </row>
    <row r="594">
      <c r="L594" s="76"/>
      <c r="R594" s="76"/>
      <c r="X594" s="76"/>
      <c r="AD594" s="76"/>
      <c r="AJ594" s="76"/>
      <c r="AP594" s="76"/>
      <c r="AV594" s="76"/>
      <c r="BB594" s="76"/>
      <c r="BC594" s="38"/>
      <c r="BD594" s="38"/>
      <c r="BE594" s="38"/>
      <c r="BF594" s="38"/>
      <c r="BG594" s="38"/>
      <c r="BH594" s="38"/>
      <c r="BI594" s="38"/>
      <c r="BJ594" s="38"/>
      <c r="BK594" s="38"/>
    </row>
    <row r="595">
      <c r="L595" s="76"/>
      <c r="R595" s="76"/>
      <c r="X595" s="76"/>
      <c r="AD595" s="76"/>
      <c r="AJ595" s="76"/>
      <c r="AP595" s="76"/>
      <c r="AV595" s="76"/>
      <c r="BB595" s="76"/>
      <c r="BC595" s="38"/>
      <c r="BD595" s="38"/>
      <c r="BE595" s="38"/>
      <c r="BF595" s="38"/>
      <c r="BG595" s="38"/>
      <c r="BH595" s="38"/>
      <c r="BI595" s="38"/>
      <c r="BJ595" s="38"/>
      <c r="BK595" s="38"/>
    </row>
    <row r="596">
      <c r="L596" s="76"/>
      <c r="R596" s="76"/>
      <c r="X596" s="76"/>
      <c r="AD596" s="76"/>
      <c r="AJ596" s="76"/>
      <c r="AP596" s="76"/>
      <c r="AV596" s="76"/>
      <c r="BB596" s="76"/>
      <c r="BC596" s="38"/>
      <c r="BD596" s="38"/>
      <c r="BE596" s="38"/>
      <c r="BF596" s="38"/>
      <c r="BG596" s="38"/>
      <c r="BH596" s="38"/>
      <c r="BI596" s="38"/>
      <c r="BJ596" s="38"/>
      <c r="BK596" s="38"/>
    </row>
    <row r="597">
      <c r="L597" s="76"/>
      <c r="R597" s="76"/>
      <c r="X597" s="76"/>
      <c r="AD597" s="76"/>
      <c r="AJ597" s="76"/>
      <c r="AP597" s="76"/>
      <c r="AV597" s="76"/>
      <c r="BB597" s="76"/>
      <c r="BC597" s="38"/>
      <c r="BD597" s="38"/>
      <c r="BE597" s="38"/>
      <c r="BF597" s="38"/>
      <c r="BG597" s="38"/>
      <c r="BH597" s="38"/>
      <c r="BI597" s="38"/>
      <c r="BJ597" s="38"/>
      <c r="BK597" s="38"/>
    </row>
    <row r="598">
      <c r="L598" s="76"/>
      <c r="R598" s="76"/>
      <c r="X598" s="76"/>
      <c r="AD598" s="76"/>
      <c r="AJ598" s="76"/>
      <c r="AP598" s="76"/>
      <c r="AV598" s="76"/>
      <c r="BB598" s="76"/>
      <c r="BC598" s="38"/>
      <c r="BD598" s="38"/>
      <c r="BE598" s="38"/>
      <c r="BF598" s="38"/>
      <c r="BG598" s="38"/>
      <c r="BH598" s="38"/>
      <c r="BI598" s="38"/>
      <c r="BJ598" s="38"/>
      <c r="BK598" s="38"/>
    </row>
    <row r="599">
      <c r="L599" s="76"/>
      <c r="R599" s="76"/>
      <c r="X599" s="76"/>
      <c r="AD599" s="76"/>
      <c r="AJ599" s="76"/>
      <c r="AP599" s="76"/>
      <c r="AV599" s="76"/>
      <c r="BB599" s="76"/>
      <c r="BC599" s="38"/>
      <c r="BD599" s="38"/>
      <c r="BE599" s="38"/>
      <c r="BF599" s="38"/>
      <c r="BG599" s="38"/>
      <c r="BH599" s="38"/>
      <c r="BI599" s="38"/>
      <c r="BJ599" s="38"/>
      <c r="BK599" s="38"/>
    </row>
    <row r="600">
      <c r="L600" s="76"/>
      <c r="R600" s="76"/>
      <c r="X600" s="76"/>
      <c r="AD600" s="76"/>
      <c r="AJ600" s="76"/>
      <c r="AP600" s="76"/>
      <c r="AV600" s="76"/>
      <c r="BB600" s="76"/>
      <c r="BC600" s="38"/>
      <c r="BD600" s="38"/>
      <c r="BE600" s="38"/>
      <c r="BF600" s="38"/>
      <c r="BG600" s="38"/>
      <c r="BH600" s="38"/>
      <c r="BI600" s="38"/>
      <c r="BJ600" s="38"/>
      <c r="BK600" s="38"/>
    </row>
    <row r="601">
      <c r="L601" s="76"/>
      <c r="R601" s="76"/>
      <c r="X601" s="76"/>
      <c r="AD601" s="76"/>
      <c r="AJ601" s="76"/>
      <c r="AP601" s="76"/>
      <c r="AV601" s="76"/>
      <c r="BB601" s="76"/>
      <c r="BC601" s="38"/>
      <c r="BD601" s="38"/>
      <c r="BE601" s="38"/>
      <c r="BF601" s="38"/>
      <c r="BG601" s="38"/>
      <c r="BH601" s="38"/>
      <c r="BI601" s="38"/>
      <c r="BJ601" s="38"/>
      <c r="BK601" s="38"/>
    </row>
    <row r="602">
      <c r="L602" s="76"/>
      <c r="R602" s="76"/>
      <c r="X602" s="76"/>
      <c r="AD602" s="76"/>
      <c r="AJ602" s="76"/>
      <c r="AP602" s="76"/>
      <c r="AV602" s="76"/>
      <c r="BB602" s="76"/>
      <c r="BC602" s="38"/>
      <c r="BD602" s="38"/>
      <c r="BE602" s="38"/>
      <c r="BF602" s="38"/>
      <c r="BG602" s="38"/>
      <c r="BH602" s="38"/>
      <c r="BI602" s="38"/>
      <c r="BJ602" s="38"/>
      <c r="BK602" s="38"/>
    </row>
    <row r="603">
      <c r="L603" s="76"/>
      <c r="R603" s="76"/>
      <c r="X603" s="76"/>
      <c r="AD603" s="76"/>
      <c r="AJ603" s="76"/>
      <c r="AP603" s="76"/>
      <c r="AV603" s="76"/>
      <c r="BB603" s="76"/>
      <c r="BC603" s="38"/>
      <c r="BD603" s="38"/>
      <c r="BE603" s="38"/>
      <c r="BF603" s="38"/>
      <c r="BG603" s="38"/>
      <c r="BH603" s="38"/>
      <c r="BI603" s="38"/>
      <c r="BJ603" s="38"/>
      <c r="BK603" s="38"/>
    </row>
    <row r="604">
      <c r="L604" s="76"/>
      <c r="R604" s="76"/>
      <c r="X604" s="76"/>
      <c r="AD604" s="76"/>
      <c r="AJ604" s="76"/>
      <c r="AP604" s="76"/>
      <c r="AV604" s="76"/>
      <c r="BB604" s="76"/>
      <c r="BC604" s="38"/>
      <c r="BD604" s="38"/>
      <c r="BE604" s="38"/>
      <c r="BF604" s="38"/>
      <c r="BG604" s="38"/>
      <c r="BH604" s="38"/>
      <c r="BI604" s="38"/>
      <c r="BJ604" s="38"/>
      <c r="BK604" s="38"/>
    </row>
    <row r="605">
      <c r="L605" s="76"/>
      <c r="R605" s="76"/>
      <c r="X605" s="76"/>
      <c r="AD605" s="76"/>
      <c r="AJ605" s="76"/>
      <c r="AP605" s="76"/>
      <c r="AV605" s="76"/>
      <c r="BB605" s="76"/>
      <c r="BC605" s="38"/>
      <c r="BD605" s="38"/>
      <c r="BE605" s="38"/>
      <c r="BF605" s="38"/>
      <c r="BG605" s="38"/>
      <c r="BH605" s="38"/>
      <c r="BI605" s="38"/>
      <c r="BJ605" s="38"/>
      <c r="BK605" s="38"/>
    </row>
    <row r="606">
      <c r="L606" s="76"/>
      <c r="R606" s="76"/>
      <c r="X606" s="76"/>
      <c r="AD606" s="76"/>
      <c r="AJ606" s="76"/>
      <c r="AP606" s="76"/>
      <c r="AV606" s="76"/>
      <c r="BB606" s="76"/>
      <c r="BC606" s="38"/>
      <c r="BD606" s="38"/>
      <c r="BE606" s="38"/>
      <c r="BF606" s="38"/>
      <c r="BG606" s="38"/>
      <c r="BH606" s="38"/>
      <c r="BI606" s="38"/>
      <c r="BJ606" s="38"/>
      <c r="BK606" s="38"/>
    </row>
    <row r="607">
      <c r="L607" s="76"/>
      <c r="R607" s="76"/>
      <c r="X607" s="76"/>
      <c r="AD607" s="76"/>
      <c r="AJ607" s="76"/>
      <c r="AP607" s="76"/>
      <c r="AV607" s="76"/>
      <c r="BB607" s="76"/>
      <c r="BC607" s="38"/>
      <c r="BD607" s="38"/>
      <c r="BE607" s="38"/>
      <c r="BF607" s="38"/>
      <c r="BG607" s="38"/>
      <c r="BH607" s="38"/>
      <c r="BI607" s="38"/>
      <c r="BJ607" s="38"/>
      <c r="BK607" s="38"/>
    </row>
    <row r="608">
      <c r="L608" s="76"/>
      <c r="R608" s="76"/>
      <c r="X608" s="76"/>
      <c r="AD608" s="76"/>
      <c r="AJ608" s="76"/>
      <c r="AP608" s="76"/>
      <c r="AV608" s="76"/>
      <c r="BB608" s="76"/>
      <c r="BC608" s="38"/>
      <c r="BD608" s="38"/>
      <c r="BE608" s="38"/>
      <c r="BF608" s="38"/>
      <c r="BG608" s="38"/>
      <c r="BH608" s="38"/>
      <c r="BI608" s="38"/>
      <c r="BJ608" s="38"/>
      <c r="BK608" s="38"/>
    </row>
    <row r="609">
      <c r="L609" s="76"/>
      <c r="R609" s="76"/>
      <c r="X609" s="76"/>
      <c r="AD609" s="76"/>
      <c r="AJ609" s="76"/>
      <c r="AP609" s="76"/>
      <c r="AV609" s="76"/>
      <c r="BB609" s="76"/>
      <c r="BC609" s="38"/>
      <c r="BD609" s="38"/>
      <c r="BE609" s="38"/>
      <c r="BF609" s="38"/>
      <c r="BG609" s="38"/>
      <c r="BH609" s="38"/>
      <c r="BI609" s="38"/>
      <c r="BJ609" s="38"/>
      <c r="BK609" s="38"/>
    </row>
    <row r="610">
      <c r="L610" s="76"/>
      <c r="R610" s="76"/>
      <c r="X610" s="76"/>
      <c r="AD610" s="76"/>
      <c r="AJ610" s="76"/>
      <c r="AP610" s="76"/>
      <c r="AV610" s="76"/>
      <c r="BB610" s="76"/>
      <c r="BC610" s="38"/>
      <c r="BD610" s="38"/>
      <c r="BE610" s="38"/>
      <c r="BF610" s="38"/>
      <c r="BG610" s="38"/>
      <c r="BH610" s="38"/>
      <c r="BI610" s="38"/>
      <c r="BJ610" s="38"/>
      <c r="BK610" s="38"/>
    </row>
    <row r="611">
      <c r="L611" s="76"/>
      <c r="R611" s="76"/>
      <c r="X611" s="76"/>
      <c r="AD611" s="76"/>
      <c r="AJ611" s="76"/>
      <c r="AP611" s="76"/>
      <c r="AV611" s="76"/>
      <c r="BB611" s="76"/>
      <c r="BC611" s="38"/>
      <c r="BD611" s="38"/>
      <c r="BE611" s="38"/>
      <c r="BF611" s="38"/>
      <c r="BG611" s="38"/>
      <c r="BH611" s="38"/>
      <c r="BI611" s="38"/>
      <c r="BJ611" s="38"/>
      <c r="BK611" s="38"/>
    </row>
    <row r="612">
      <c r="L612" s="76"/>
      <c r="R612" s="76"/>
      <c r="X612" s="76"/>
      <c r="AD612" s="76"/>
      <c r="AJ612" s="76"/>
      <c r="AP612" s="76"/>
      <c r="AV612" s="76"/>
      <c r="BB612" s="76"/>
      <c r="BC612" s="38"/>
      <c r="BD612" s="38"/>
      <c r="BE612" s="38"/>
      <c r="BF612" s="38"/>
      <c r="BG612" s="38"/>
      <c r="BH612" s="38"/>
      <c r="BI612" s="38"/>
      <c r="BJ612" s="38"/>
      <c r="BK612" s="38"/>
    </row>
    <row r="613">
      <c r="L613" s="76"/>
      <c r="R613" s="76"/>
      <c r="X613" s="76"/>
      <c r="AD613" s="76"/>
      <c r="AJ613" s="76"/>
      <c r="AP613" s="76"/>
      <c r="AV613" s="76"/>
      <c r="BB613" s="76"/>
      <c r="BC613" s="38"/>
      <c r="BD613" s="38"/>
      <c r="BE613" s="38"/>
      <c r="BF613" s="38"/>
      <c r="BG613" s="38"/>
      <c r="BH613" s="38"/>
      <c r="BI613" s="38"/>
      <c r="BJ613" s="38"/>
      <c r="BK613" s="38"/>
    </row>
    <row r="614">
      <c r="L614" s="76"/>
      <c r="R614" s="76"/>
      <c r="X614" s="76"/>
      <c r="AD614" s="76"/>
      <c r="AJ614" s="76"/>
      <c r="AP614" s="76"/>
      <c r="AV614" s="76"/>
      <c r="BB614" s="76"/>
      <c r="BC614" s="38"/>
      <c r="BD614" s="38"/>
      <c r="BE614" s="38"/>
      <c r="BF614" s="38"/>
      <c r="BG614" s="38"/>
      <c r="BH614" s="38"/>
      <c r="BI614" s="38"/>
      <c r="BJ614" s="38"/>
      <c r="BK614" s="38"/>
    </row>
    <row r="615">
      <c r="L615" s="76"/>
      <c r="R615" s="76"/>
      <c r="X615" s="76"/>
      <c r="AD615" s="76"/>
      <c r="AJ615" s="76"/>
      <c r="AP615" s="76"/>
      <c r="AV615" s="76"/>
      <c r="BB615" s="76"/>
      <c r="BC615" s="38"/>
      <c r="BD615" s="38"/>
      <c r="BE615" s="38"/>
      <c r="BF615" s="38"/>
      <c r="BG615" s="38"/>
      <c r="BH615" s="38"/>
      <c r="BI615" s="38"/>
      <c r="BJ615" s="38"/>
      <c r="BK615" s="38"/>
    </row>
    <row r="616">
      <c r="L616" s="76"/>
      <c r="R616" s="76"/>
      <c r="X616" s="76"/>
      <c r="AD616" s="76"/>
      <c r="AJ616" s="76"/>
      <c r="AP616" s="76"/>
      <c r="AV616" s="76"/>
      <c r="BB616" s="76"/>
      <c r="BC616" s="38"/>
      <c r="BD616" s="38"/>
      <c r="BE616" s="38"/>
      <c r="BF616" s="38"/>
      <c r="BG616" s="38"/>
      <c r="BH616" s="38"/>
      <c r="BI616" s="38"/>
      <c r="BJ616" s="38"/>
      <c r="BK616" s="38"/>
    </row>
    <row r="617">
      <c r="L617" s="76"/>
      <c r="R617" s="76"/>
      <c r="X617" s="76"/>
      <c r="AD617" s="76"/>
      <c r="AJ617" s="76"/>
      <c r="AP617" s="76"/>
      <c r="AV617" s="76"/>
      <c r="BB617" s="76"/>
      <c r="BC617" s="38"/>
      <c r="BD617" s="38"/>
      <c r="BE617" s="38"/>
      <c r="BF617" s="38"/>
      <c r="BG617" s="38"/>
      <c r="BH617" s="38"/>
      <c r="BI617" s="38"/>
      <c r="BJ617" s="38"/>
      <c r="BK617" s="38"/>
    </row>
    <row r="618">
      <c r="L618" s="76"/>
      <c r="R618" s="76"/>
      <c r="X618" s="76"/>
      <c r="AD618" s="76"/>
      <c r="AJ618" s="76"/>
      <c r="AP618" s="76"/>
      <c r="AV618" s="76"/>
      <c r="BB618" s="76"/>
      <c r="BC618" s="38"/>
      <c r="BD618" s="38"/>
      <c r="BE618" s="38"/>
      <c r="BF618" s="38"/>
      <c r="BG618" s="38"/>
      <c r="BH618" s="38"/>
      <c r="BI618" s="38"/>
      <c r="BJ618" s="38"/>
      <c r="BK618" s="38"/>
    </row>
    <row r="619">
      <c r="L619" s="76"/>
      <c r="R619" s="76"/>
      <c r="X619" s="76"/>
      <c r="AD619" s="76"/>
      <c r="AJ619" s="76"/>
      <c r="AP619" s="76"/>
      <c r="AV619" s="76"/>
      <c r="BB619" s="76"/>
      <c r="BC619" s="38"/>
      <c r="BD619" s="38"/>
      <c r="BE619" s="38"/>
      <c r="BF619" s="38"/>
      <c r="BG619" s="38"/>
      <c r="BH619" s="38"/>
      <c r="BI619" s="38"/>
      <c r="BJ619" s="38"/>
      <c r="BK619" s="38"/>
    </row>
    <row r="620">
      <c r="L620" s="76"/>
      <c r="R620" s="76"/>
      <c r="X620" s="76"/>
      <c r="AD620" s="76"/>
      <c r="AJ620" s="76"/>
      <c r="AP620" s="76"/>
      <c r="AV620" s="76"/>
      <c r="BB620" s="76"/>
      <c r="BC620" s="38"/>
      <c r="BD620" s="38"/>
      <c r="BE620" s="38"/>
      <c r="BF620" s="38"/>
      <c r="BG620" s="38"/>
      <c r="BH620" s="38"/>
      <c r="BI620" s="38"/>
      <c r="BJ620" s="38"/>
      <c r="BK620" s="38"/>
    </row>
    <row r="621">
      <c r="L621" s="76"/>
      <c r="R621" s="76"/>
      <c r="X621" s="76"/>
      <c r="AD621" s="76"/>
      <c r="AJ621" s="76"/>
      <c r="AP621" s="76"/>
      <c r="AV621" s="76"/>
      <c r="BB621" s="76"/>
      <c r="BC621" s="38"/>
      <c r="BD621" s="38"/>
      <c r="BE621" s="38"/>
      <c r="BF621" s="38"/>
      <c r="BG621" s="38"/>
      <c r="BH621" s="38"/>
      <c r="BI621" s="38"/>
      <c r="BJ621" s="38"/>
      <c r="BK621" s="38"/>
    </row>
    <row r="622">
      <c r="L622" s="76"/>
      <c r="R622" s="76"/>
      <c r="X622" s="76"/>
      <c r="AD622" s="76"/>
      <c r="AJ622" s="76"/>
      <c r="AP622" s="76"/>
      <c r="AV622" s="76"/>
      <c r="BB622" s="76"/>
      <c r="BC622" s="38"/>
      <c r="BD622" s="38"/>
      <c r="BE622" s="38"/>
      <c r="BF622" s="38"/>
      <c r="BG622" s="38"/>
      <c r="BH622" s="38"/>
      <c r="BI622" s="38"/>
      <c r="BJ622" s="38"/>
      <c r="BK622" s="38"/>
    </row>
    <row r="623">
      <c r="L623" s="76"/>
      <c r="R623" s="76"/>
      <c r="X623" s="76"/>
      <c r="AD623" s="76"/>
      <c r="AJ623" s="76"/>
      <c r="AP623" s="76"/>
      <c r="AV623" s="76"/>
      <c r="BB623" s="76"/>
      <c r="BC623" s="38"/>
      <c r="BD623" s="38"/>
      <c r="BE623" s="38"/>
      <c r="BF623" s="38"/>
      <c r="BG623" s="38"/>
      <c r="BH623" s="38"/>
      <c r="BI623" s="38"/>
      <c r="BJ623" s="38"/>
      <c r="BK623" s="38"/>
    </row>
    <row r="624">
      <c r="L624" s="76"/>
      <c r="R624" s="76"/>
      <c r="X624" s="76"/>
      <c r="AD624" s="76"/>
      <c r="AJ624" s="76"/>
      <c r="AP624" s="76"/>
      <c r="AV624" s="76"/>
      <c r="BB624" s="76"/>
      <c r="BC624" s="38"/>
      <c r="BD624" s="38"/>
      <c r="BE624" s="38"/>
      <c r="BF624" s="38"/>
      <c r="BG624" s="38"/>
      <c r="BH624" s="38"/>
      <c r="BI624" s="38"/>
      <c r="BJ624" s="38"/>
      <c r="BK624" s="38"/>
    </row>
    <row r="625">
      <c r="L625" s="76"/>
      <c r="R625" s="76"/>
      <c r="X625" s="76"/>
      <c r="AD625" s="76"/>
      <c r="AJ625" s="76"/>
      <c r="AP625" s="76"/>
      <c r="AV625" s="76"/>
      <c r="BB625" s="76"/>
      <c r="BC625" s="38"/>
      <c r="BD625" s="38"/>
      <c r="BE625" s="38"/>
      <c r="BF625" s="38"/>
      <c r="BG625" s="38"/>
      <c r="BH625" s="38"/>
      <c r="BI625" s="38"/>
      <c r="BJ625" s="38"/>
      <c r="BK625" s="38"/>
    </row>
    <row r="626">
      <c r="L626" s="76"/>
      <c r="R626" s="76"/>
      <c r="X626" s="76"/>
      <c r="AD626" s="76"/>
      <c r="AJ626" s="76"/>
      <c r="AP626" s="76"/>
      <c r="AV626" s="76"/>
      <c r="BB626" s="76"/>
      <c r="BC626" s="38"/>
      <c r="BD626" s="38"/>
      <c r="BE626" s="38"/>
      <c r="BF626" s="38"/>
      <c r="BG626" s="38"/>
      <c r="BH626" s="38"/>
      <c r="BI626" s="38"/>
      <c r="BJ626" s="38"/>
      <c r="BK626" s="38"/>
    </row>
    <row r="627">
      <c r="L627" s="76"/>
      <c r="R627" s="76"/>
      <c r="X627" s="76"/>
      <c r="AD627" s="76"/>
      <c r="AJ627" s="76"/>
      <c r="AP627" s="76"/>
      <c r="AV627" s="76"/>
      <c r="BB627" s="76"/>
      <c r="BC627" s="38"/>
      <c r="BD627" s="38"/>
      <c r="BE627" s="38"/>
      <c r="BF627" s="38"/>
      <c r="BG627" s="38"/>
      <c r="BH627" s="38"/>
      <c r="BI627" s="38"/>
      <c r="BJ627" s="38"/>
      <c r="BK627" s="38"/>
    </row>
    <row r="628">
      <c r="L628" s="76"/>
      <c r="R628" s="76"/>
      <c r="X628" s="76"/>
      <c r="AD628" s="76"/>
      <c r="AJ628" s="76"/>
      <c r="AP628" s="76"/>
      <c r="AV628" s="76"/>
      <c r="BB628" s="76"/>
      <c r="BC628" s="38"/>
      <c r="BD628" s="38"/>
      <c r="BE628" s="38"/>
      <c r="BF628" s="38"/>
      <c r="BG628" s="38"/>
      <c r="BH628" s="38"/>
      <c r="BI628" s="38"/>
      <c r="BJ628" s="38"/>
      <c r="BK628" s="38"/>
    </row>
    <row r="629">
      <c r="L629" s="76"/>
      <c r="R629" s="76"/>
      <c r="X629" s="76"/>
      <c r="AD629" s="76"/>
      <c r="AJ629" s="76"/>
      <c r="AP629" s="76"/>
      <c r="AV629" s="76"/>
      <c r="BB629" s="76"/>
      <c r="BC629" s="38"/>
      <c r="BD629" s="38"/>
      <c r="BE629" s="38"/>
      <c r="BF629" s="38"/>
      <c r="BG629" s="38"/>
      <c r="BH629" s="38"/>
      <c r="BI629" s="38"/>
      <c r="BJ629" s="38"/>
      <c r="BK629" s="38"/>
    </row>
    <row r="630">
      <c r="L630" s="76"/>
      <c r="R630" s="76"/>
      <c r="X630" s="76"/>
      <c r="AD630" s="76"/>
      <c r="AJ630" s="76"/>
      <c r="AP630" s="76"/>
      <c r="AV630" s="76"/>
      <c r="BB630" s="76"/>
      <c r="BC630" s="38"/>
      <c r="BD630" s="38"/>
      <c r="BE630" s="38"/>
      <c r="BF630" s="38"/>
      <c r="BG630" s="38"/>
      <c r="BH630" s="38"/>
      <c r="BI630" s="38"/>
      <c r="BJ630" s="38"/>
      <c r="BK630" s="38"/>
    </row>
    <row r="631">
      <c r="L631" s="76"/>
      <c r="R631" s="76"/>
      <c r="X631" s="76"/>
      <c r="AD631" s="76"/>
      <c r="AJ631" s="76"/>
      <c r="AP631" s="76"/>
      <c r="AV631" s="76"/>
      <c r="BB631" s="76"/>
      <c r="BC631" s="38"/>
      <c r="BD631" s="38"/>
      <c r="BE631" s="38"/>
      <c r="BF631" s="38"/>
      <c r="BG631" s="38"/>
      <c r="BH631" s="38"/>
      <c r="BI631" s="38"/>
      <c r="BJ631" s="38"/>
      <c r="BK631" s="38"/>
    </row>
    <row r="632">
      <c r="L632" s="76"/>
      <c r="R632" s="76"/>
      <c r="X632" s="76"/>
      <c r="AD632" s="76"/>
      <c r="AJ632" s="76"/>
      <c r="AP632" s="76"/>
      <c r="AV632" s="76"/>
      <c r="BB632" s="76"/>
      <c r="BC632" s="38"/>
      <c r="BD632" s="38"/>
      <c r="BE632" s="38"/>
      <c r="BF632" s="38"/>
      <c r="BG632" s="38"/>
      <c r="BH632" s="38"/>
      <c r="BI632" s="38"/>
      <c r="BJ632" s="38"/>
      <c r="BK632" s="38"/>
    </row>
    <row r="633">
      <c r="L633" s="76"/>
      <c r="R633" s="76"/>
      <c r="X633" s="76"/>
      <c r="AD633" s="76"/>
      <c r="AJ633" s="76"/>
      <c r="AP633" s="76"/>
      <c r="AV633" s="76"/>
      <c r="BB633" s="76"/>
      <c r="BC633" s="38"/>
      <c r="BD633" s="38"/>
      <c r="BE633" s="38"/>
      <c r="BF633" s="38"/>
      <c r="BG633" s="38"/>
      <c r="BH633" s="38"/>
      <c r="BI633" s="38"/>
      <c r="BJ633" s="38"/>
      <c r="BK633" s="38"/>
    </row>
    <row r="634">
      <c r="L634" s="76"/>
      <c r="R634" s="76"/>
      <c r="X634" s="76"/>
      <c r="AD634" s="76"/>
      <c r="AJ634" s="76"/>
      <c r="AP634" s="76"/>
      <c r="AV634" s="76"/>
      <c r="BB634" s="76"/>
      <c r="BC634" s="38"/>
      <c r="BD634" s="38"/>
      <c r="BE634" s="38"/>
      <c r="BF634" s="38"/>
      <c r="BG634" s="38"/>
      <c r="BH634" s="38"/>
      <c r="BI634" s="38"/>
      <c r="BJ634" s="38"/>
      <c r="BK634" s="38"/>
    </row>
    <row r="635">
      <c r="L635" s="76"/>
      <c r="R635" s="76"/>
      <c r="X635" s="76"/>
      <c r="AD635" s="76"/>
      <c r="AJ635" s="76"/>
      <c r="AP635" s="76"/>
      <c r="AV635" s="76"/>
      <c r="BB635" s="76"/>
      <c r="BC635" s="38"/>
      <c r="BD635" s="38"/>
      <c r="BE635" s="38"/>
      <c r="BF635" s="38"/>
      <c r="BG635" s="38"/>
      <c r="BH635" s="38"/>
      <c r="BI635" s="38"/>
      <c r="BJ635" s="38"/>
      <c r="BK635" s="38"/>
    </row>
    <row r="636">
      <c r="L636" s="76"/>
      <c r="R636" s="76"/>
      <c r="X636" s="76"/>
      <c r="AD636" s="76"/>
      <c r="AJ636" s="76"/>
      <c r="AP636" s="76"/>
      <c r="AV636" s="76"/>
      <c r="BB636" s="76"/>
      <c r="BC636" s="38"/>
      <c r="BD636" s="38"/>
      <c r="BE636" s="38"/>
      <c r="BF636" s="38"/>
      <c r="BG636" s="38"/>
      <c r="BH636" s="38"/>
      <c r="BI636" s="38"/>
      <c r="BJ636" s="38"/>
      <c r="BK636" s="38"/>
    </row>
    <row r="637">
      <c r="L637" s="76"/>
      <c r="R637" s="76"/>
      <c r="X637" s="76"/>
      <c r="AD637" s="76"/>
      <c r="AJ637" s="76"/>
      <c r="AP637" s="76"/>
      <c r="AV637" s="76"/>
      <c r="BB637" s="76"/>
      <c r="BC637" s="38"/>
      <c r="BD637" s="38"/>
      <c r="BE637" s="38"/>
      <c r="BF637" s="38"/>
      <c r="BG637" s="38"/>
      <c r="BH637" s="38"/>
      <c r="BI637" s="38"/>
      <c r="BJ637" s="38"/>
      <c r="BK637" s="38"/>
    </row>
    <row r="638">
      <c r="L638" s="76"/>
      <c r="R638" s="76"/>
      <c r="X638" s="76"/>
      <c r="AD638" s="76"/>
      <c r="AJ638" s="76"/>
      <c r="AP638" s="76"/>
      <c r="AV638" s="76"/>
      <c r="BB638" s="76"/>
      <c r="BC638" s="38"/>
      <c r="BD638" s="38"/>
      <c r="BE638" s="38"/>
      <c r="BF638" s="38"/>
      <c r="BG638" s="38"/>
      <c r="BH638" s="38"/>
      <c r="BI638" s="38"/>
      <c r="BJ638" s="38"/>
      <c r="BK638" s="38"/>
    </row>
    <row r="639">
      <c r="L639" s="76"/>
      <c r="R639" s="76"/>
      <c r="X639" s="76"/>
      <c r="AD639" s="76"/>
      <c r="AJ639" s="76"/>
      <c r="AP639" s="76"/>
      <c r="AV639" s="76"/>
      <c r="BB639" s="76"/>
      <c r="BC639" s="38"/>
      <c r="BD639" s="38"/>
      <c r="BE639" s="38"/>
      <c r="BF639" s="38"/>
      <c r="BG639" s="38"/>
      <c r="BH639" s="38"/>
      <c r="BI639" s="38"/>
      <c r="BJ639" s="38"/>
      <c r="BK639" s="38"/>
    </row>
    <row r="640">
      <c r="L640" s="76"/>
      <c r="R640" s="76"/>
      <c r="X640" s="76"/>
      <c r="AD640" s="76"/>
      <c r="AJ640" s="76"/>
      <c r="AP640" s="76"/>
      <c r="AV640" s="76"/>
      <c r="BB640" s="76"/>
      <c r="BC640" s="38"/>
      <c r="BD640" s="38"/>
      <c r="BE640" s="38"/>
      <c r="BF640" s="38"/>
      <c r="BG640" s="38"/>
      <c r="BH640" s="38"/>
      <c r="BI640" s="38"/>
      <c r="BJ640" s="38"/>
      <c r="BK640" s="38"/>
    </row>
    <row r="641">
      <c r="L641" s="76"/>
      <c r="R641" s="76"/>
      <c r="X641" s="76"/>
      <c r="AD641" s="76"/>
      <c r="AJ641" s="76"/>
      <c r="AP641" s="76"/>
      <c r="AV641" s="76"/>
      <c r="BB641" s="76"/>
      <c r="BC641" s="38"/>
      <c r="BD641" s="38"/>
      <c r="BE641" s="38"/>
      <c r="BF641" s="38"/>
      <c r="BG641" s="38"/>
      <c r="BH641" s="38"/>
      <c r="BI641" s="38"/>
      <c r="BJ641" s="38"/>
      <c r="BK641" s="38"/>
    </row>
    <row r="642">
      <c r="L642" s="76"/>
      <c r="R642" s="76"/>
      <c r="X642" s="76"/>
      <c r="AD642" s="76"/>
      <c r="AJ642" s="76"/>
      <c r="AP642" s="76"/>
      <c r="AV642" s="76"/>
      <c r="BB642" s="76"/>
      <c r="BC642" s="38"/>
      <c r="BD642" s="38"/>
      <c r="BE642" s="38"/>
      <c r="BF642" s="38"/>
      <c r="BG642" s="38"/>
      <c r="BH642" s="38"/>
      <c r="BI642" s="38"/>
      <c r="BJ642" s="38"/>
      <c r="BK642" s="38"/>
    </row>
    <row r="643">
      <c r="L643" s="76"/>
      <c r="R643" s="76"/>
      <c r="X643" s="76"/>
      <c r="AD643" s="76"/>
      <c r="AJ643" s="76"/>
      <c r="AP643" s="76"/>
      <c r="AV643" s="76"/>
      <c r="BB643" s="76"/>
      <c r="BC643" s="38"/>
      <c r="BD643" s="38"/>
      <c r="BE643" s="38"/>
      <c r="BF643" s="38"/>
      <c r="BG643" s="38"/>
      <c r="BH643" s="38"/>
      <c r="BI643" s="38"/>
      <c r="BJ643" s="38"/>
      <c r="BK643" s="38"/>
    </row>
    <row r="644">
      <c r="L644" s="76"/>
      <c r="R644" s="76"/>
      <c r="X644" s="76"/>
      <c r="AD644" s="76"/>
      <c r="AJ644" s="76"/>
      <c r="AP644" s="76"/>
      <c r="AV644" s="76"/>
      <c r="BB644" s="76"/>
      <c r="BC644" s="38"/>
      <c r="BD644" s="38"/>
      <c r="BE644" s="38"/>
      <c r="BF644" s="38"/>
      <c r="BG644" s="38"/>
      <c r="BH644" s="38"/>
      <c r="BI644" s="38"/>
      <c r="BJ644" s="38"/>
      <c r="BK644" s="38"/>
    </row>
    <row r="645">
      <c r="L645" s="76"/>
      <c r="R645" s="76"/>
      <c r="X645" s="76"/>
      <c r="AD645" s="76"/>
      <c r="AJ645" s="76"/>
      <c r="AP645" s="76"/>
      <c r="AV645" s="76"/>
      <c r="BB645" s="76"/>
      <c r="BC645" s="38"/>
      <c r="BD645" s="38"/>
      <c r="BE645" s="38"/>
      <c r="BF645" s="38"/>
      <c r="BG645" s="38"/>
      <c r="BH645" s="38"/>
      <c r="BI645" s="38"/>
      <c r="BJ645" s="38"/>
      <c r="BK645" s="38"/>
    </row>
    <row r="646">
      <c r="L646" s="76"/>
      <c r="R646" s="76"/>
      <c r="X646" s="76"/>
      <c r="AD646" s="76"/>
      <c r="AJ646" s="76"/>
      <c r="AP646" s="76"/>
      <c r="AV646" s="76"/>
      <c r="BB646" s="76"/>
      <c r="BC646" s="38"/>
      <c r="BD646" s="38"/>
      <c r="BE646" s="38"/>
      <c r="BF646" s="38"/>
      <c r="BG646" s="38"/>
      <c r="BH646" s="38"/>
      <c r="BI646" s="38"/>
      <c r="BJ646" s="38"/>
      <c r="BK646" s="38"/>
    </row>
    <row r="647">
      <c r="L647" s="76"/>
      <c r="R647" s="76"/>
      <c r="X647" s="76"/>
      <c r="AD647" s="76"/>
      <c r="AJ647" s="76"/>
      <c r="AP647" s="76"/>
      <c r="AV647" s="76"/>
      <c r="BB647" s="76"/>
      <c r="BC647" s="38"/>
      <c r="BD647" s="38"/>
      <c r="BE647" s="38"/>
      <c r="BF647" s="38"/>
      <c r="BG647" s="38"/>
      <c r="BH647" s="38"/>
      <c r="BI647" s="38"/>
      <c r="BJ647" s="38"/>
      <c r="BK647" s="38"/>
    </row>
    <row r="648">
      <c r="L648" s="76"/>
      <c r="R648" s="76"/>
      <c r="X648" s="76"/>
      <c r="AD648" s="76"/>
      <c r="AJ648" s="76"/>
      <c r="AP648" s="76"/>
      <c r="AV648" s="76"/>
      <c r="BB648" s="76"/>
      <c r="BC648" s="38"/>
      <c r="BD648" s="38"/>
      <c r="BE648" s="38"/>
      <c r="BF648" s="38"/>
      <c r="BG648" s="38"/>
      <c r="BH648" s="38"/>
      <c r="BI648" s="38"/>
      <c r="BJ648" s="38"/>
      <c r="BK648" s="38"/>
    </row>
    <row r="649">
      <c r="L649" s="76"/>
      <c r="R649" s="76"/>
      <c r="X649" s="76"/>
      <c r="AD649" s="76"/>
      <c r="AJ649" s="76"/>
      <c r="AP649" s="76"/>
      <c r="AV649" s="76"/>
      <c r="BB649" s="76"/>
      <c r="BC649" s="38"/>
      <c r="BD649" s="38"/>
      <c r="BE649" s="38"/>
      <c r="BF649" s="38"/>
      <c r="BG649" s="38"/>
      <c r="BH649" s="38"/>
      <c r="BI649" s="38"/>
      <c r="BJ649" s="38"/>
      <c r="BK649" s="38"/>
    </row>
    <row r="650">
      <c r="L650" s="76"/>
      <c r="R650" s="76"/>
      <c r="X650" s="76"/>
      <c r="AD650" s="76"/>
      <c r="AJ650" s="76"/>
      <c r="AP650" s="76"/>
      <c r="AV650" s="76"/>
      <c r="BB650" s="76"/>
      <c r="BC650" s="38"/>
      <c r="BD650" s="38"/>
      <c r="BE650" s="38"/>
      <c r="BF650" s="38"/>
      <c r="BG650" s="38"/>
      <c r="BH650" s="38"/>
      <c r="BI650" s="38"/>
      <c r="BJ650" s="38"/>
      <c r="BK650" s="38"/>
    </row>
    <row r="651">
      <c r="L651" s="76"/>
      <c r="R651" s="76"/>
      <c r="X651" s="76"/>
      <c r="AD651" s="76"/>
      <c r="AJ651" s="76"/>
      <c r="AP651" s="76"/>
      <c r="AV651" s="76"/>
      <c r="BB651" s="76"/>
      <c r="BC651" s="38"/>
      <c r="BD651" s="38"/>
      <c r="BE651" s="38"/>
      <c r="BF651" s="38"/>
      <c r="BG651" s="38"/>
      <c r="BH651" s="38"/>
      <c r="BI651" s="38"/>
      <c r="BJ651" s="38"/>
      <c r="BK651" s="38"/>
    </row>
    <row r="652">
      <c r="L652" s="76"/>
      <c r="R652" s="76"/>
      <c r="X652" s="76"/>
      <c r="AD652" s="76"/>
      <c r="AJ652" s="76"/>
      <c r="AP652" s="76"/>
      <c r="AV652" s="76"/>
      <c r="BB652" s="76"/>
      <c r="BC652" s="38"/>
      <c r="BD652" s="38"/>
      <c r="BE652" s="38"/>
      <c r="BF652" s="38"/>
      <c r="BG652" s="38"/>
      <c r="BH652" s="38"/>
      <c r="BI652" s="38"/>
      <c r="BJ652" s="38"/>
      <c r="BK652" s="38"/>
    </row>
    <row r="653">
      <c r="L653" s="76"/>
      <c r="R653" s="76"/>
      <c r="X653" s="76"/>
      <c r="AD653" s="76"/>
      <c r="AJ653" s="76"/>
      <c r="AP653" s="76"/>
      <c r="AV653" s="76"/>
      <c r="BB653" s="76"/>
      <c r="BC653" s="38"/>
      <c r="BD653" s="38"/>
      <c r="BE653" s="38"/>
      <c r="BF653" s="38"/>
      <c r="BG653" s="38"/>
      <c r="BH653" s="38"/>
      <c r="BI653" s="38"/>
      <c r="BJ653" s="38"/>
      <c r="BK653" s="38"/>
    </row>
    <row r="654">
      <c r="L654" s="76"/>
      <c r="R654" s="76"/>
      <c r="X654" s="76"/>
      <c r="AD654" s="76"/>
      <c r="AJ654" s="76"/>
      <c r="AP654" s="76"/>
      <c r="AV654" s="76"/>
      <c r="BB654" s="76"/>
      <c r="BC654" s="38"/>
      <c r="BD654" s="38"/>
      <c r="BE654" s="38"/>
      <c r="BF654" s="38"/>
      <c r="BG654" s="38"/>
      <c r="BH654" s="38"/>
      <c r="BI654" s="38"/>
      <c r="BJ654" s="38"/>
      <c r="BK654" s="38"/>
    </row>
    <row r="655">
      <c r="L655" s="76"/>
      <c r="R655" s="76"/>
      <c r="X655" s="76"/>
      <c r="AD655" s="76"/>
      <c r="AJ655" s="76"/>
      <c r="AP655" s="76"/>
      <c r="AV655" s="76"/>
      <c r="BB655" s="76"/>
      <c r="BC655" s="38"/>
      <c r="BD655" s="38"/>
      <c r="BE655" s="38"/>
      <c r="BF655" s="38"/>
      <c r="BG655" s="38"/>
      <c r="BH655" s="38"/>
      <c r="BI655" s="38"/>
      <c r="BJ655" s="38"/>
      <c r="BK655" s="38"/>
    </row>
    <row r="656">
      <c r="L656" s="76"/>
      <c r="R656" s="76"/>
      <c r="X656" s="76"/>
      <c r="AD656" s="76"/>
      <c r="AJ656" s="76"/>
      <c r="AP656" s="76"/>
      <c r="AV656" s="76"/>
      <c r="BB656" s="76"/>
      <c r="BC656" s="38"/>
      <c r="BD656" s="38"/>
      <c r="BE656" s="38"/>
      <c r="BF656" s="38"/>
      <c r="BG656" s="38"/>
      <c r="BH656" s="38"/>
      <c r="BI656" s="38"/>
      <c r="BJ656" s="38"/>
      <c r="BK656" s="38"/>
    </row>
    <row r="657">
      <c r="L657" s="76"/>
      <c r="R657" s="76"/>
      <c r="X657" s="76"/>
      <c r="AD657" s="76"/>
      <c r="AJ657" s="76"/>
      <c r="AP657" s="76"/>
      <c r="AV657" s="76"/>
      <c r="BB657" s="76"/>
      <c r="BC657" s="38"/>
      <c r="BD657" s="38"/>
      <c r="BE657" s="38"/>
      <c r="BF657" s="38"/>
      <c r="BG657" s="38"/>
      <c r="BH657" s="38"/>
      <c r="BI657" s="38"/>
      <c r="BJ657" s="38"/>
      <c r="BK657" s="38"/>
    </row>
    <row r="658">
      <c r="L658" s="76"/>
      <c r="R658" s="76"/>
      <c r="X658" s="76"/>
      <c r="AD658" s="76"/>
      <c r="AJ658" s="76"/>
      <c r="AP658" s="76"/>
      <c r="AV658" s="76"/>
      <c r="BB658" s="76"/>
      <c r="BC658" s="38"/>
      <c r="BD658" s="38"/>
      <c r="BE658" s="38"/>
      <c r="BF658" s="38"/>
      <c r="BG658" s="38"/>
      <c r="BH658" s="38"/>
      <c r="BI658" s="38"/>
      <c r="BJ658" s="38"/>
      <c r="BK658" s="38"/>
    </row>
    <row r="659">
      <c r="L659" s="76"/>
      <c r="R659" s="76"/>
      <c r="X659" s="76"/>
      <c r="AD659" s="76"/>
      <c r="AJ659" s="76"/>
      <c r="AP659" s="76"/>
      <c r="AV659" s="76"/>
      <c r="BB659" s="76"/>
      <c r="BC659" s="38"/>
      <c r="BD659" s="38"/>
      <c r="BE659" s="38"/>
      <c r="BF659" s="38"/>
      <c r="BG659" s="38"/>
      <c r="BH659" s="38"/>
      <c r="BI659" s="38"/>
      <c r="BJ659" s="38"/>
      <c r="BK659" s="38"/>
    </row>
    <row r="660">
      <c r="L660" s="76"/>
      <c r="R660" s="76"/>
      <c r="X660" s="76"/>
      <c r="AD660" s="76"/>
      <c r="AJ660" s="76"/>
      <c r="AP660" s="76"/>
      <c r="AV660" s="76"/>
      <c r="BB660" s="76"/>
      <c r="BC660" s="38"/>
      <c r="BD660" s="38"/>
      <c r="BE660" s="38"/>
      <c r="BF660" s="38"/>
      <c r="BG660" s="38"/>
      <c r="BH660" s="38"/>
      <c r="BI660" s="38"/>
      <c r="BJ660" s="38"/>
      <c r="BK660" s="38"/>
    </row>
    <row r="661">
      <c r="L661" s="76"/>
      <c r="R661" s="76"/>
      <c r="X661" s="76"/>
      <c r="AD661" s="76"/>
      <c r="AJ661" s="76"/>
      <c r="AP661" s="76"/>
      <c r="AV661" s="76"/>
      <c r="BB661" s="76"/>
      <c r="BC661" s="38"/>
      <c r="BD661" s="38"/>
      <c r="BE661" s="38"/>
      <c r="BF661" s="38"/>
      <c r="BG661" s="38"/>
      <c r="BH661" s="38"/>
      <c r="BI661" s="38"/>
      <c r="BJ661" s="38"/>
      <c r="BK661" s="38"/>
    </row>
    <row r="662">
      <c r="L662" s="76"/>
      <c r="R662" s="76"/>
      <c r="X662" s="76"/>
      <c r="AD662" s="76"/>
      <c r="AJ662" s="76"/>
      <c r="AP662" s="76"/>
      <c r="AV662" s="76"/>
      <c r="BB662" s="76"/>
      <c r="BC662" s="38"/>
      <c r="BD662" s="38"/>
      <c r="BE662" s="38"/>
      <c r="BF662" s="38"/>
      <c r="BG662" s="38"/>
      <c r="BH662" s="38"/>
      <c r="BI662" s="38"/>
      <c r="BJ662" s="38"/>
      <c r="BK662" s="38"/>
    </row>
    <row r="663">
      <c r="L663" s="76"/>
      <c r="R663" s="76"/>
      <c r="X663" s="76"/>
      <c r="AD663" s="76"/>
      <c r="AJ663" s="76"/>
      <c r="AP663" s="76"/>
      <c r="AV663" s="76"/>
      <c r="BB663" s="76"/>
      <c r="BC663" s="38"/>
      <c r="BD663" s="38"/>
      <c r="BE663" s="38"/>
      <c r="BF663" s="38"/>
      <c r="BG663" s="38"/>
      <c r="BH663" s="38"/>
      <c r="BI663" s="38"/>
      <c r="BJ663" s="38"/>
      <c r="BK663" s="38"/>
    </row>
    <row r="664">
      <c r="L664" s="76"/>
      <c r="R664" s="76"/>
      <c r="X664" s="76"/>
      <c r="AD664" s="76"/>
      <c r="AJ664" s="76"/>
      <c r="AP664" s="76"/>
      <c r="AV664" s="76"/>
      <c r="BB664" s="76"/>
      <c r="BC664" s="38"/>
      <c r="BD664" s="38"/>
      <c r="BE664" s="38"/>
      <c r="BF664" s="38"/>
      <c r="BG664" s="38"/>
      <c r="BH664" s="38"/>
      <c r="BI664" s="38"/>
      <c r="BJ664" s="38"/>
      <c r="BK664" s="38"/>
    </row>
    <row r="665">
      <c r="L665" s="76"/>
      <c r="R665" s="76"/>
      <c r="X665" s="76"/>
      <c r="AD665" s="76"/>
      <c r="AJ665" s="76"/>
      <c r="AP665" s="76"/>
      <c r="AV665" s="76"/>
      <c r="BB665" s="76"/>
      <c r="BC665" s="38"/>
      <c r="BD665" s="38"/>
      <c r="BE665" s="38"/>
      <c r="BF665" s="38"/>
      <c r="BG665" s="38"/>
      <c r="BH665" s="38"/>
      <c r="BI665" s="38"/>
      <c r="BJ665" s="38"/>
      <c r="BK665" s="38"/>
    </row>
    <row r="666">
      <c r="L666" s="76"/>
      <c r="R666" s="76"/>
      <c r="X666" s="76"/>
      <c r="AD666" s="76"/>
      <c r="AJ666" s="76"/>
      <c r="AP666" s="76"/>
      <c r="AV666" s="76"/>
      <c r="BB666" s="76"/>
      <c r="BC666" s="38"/>
      <c r="BD666" s="38"/>
      <c r="BE666" s="38"/>
      <c r="BF666" s="38"/>
      <c r="BG666" s="38"/>
      <c r="BH666" s="38"/>
      <c r="BI666" s="38"/>
      <c r="BJ666" s="38"/>
      <c r="BK666" s="38"/>
    </row>
    <row r="667">
      <c r="L667" s="76"/>
      <c r="R667" s="76"/>
      <c r="X667" s="76"/>
      <c r="AD667" s="76"/>
      <c r="AJ667" s="76"/>
      <c r="AP667" s="76"/>
      <c r="AV667" s="76"/>
      <c r="BB667" s="76"/>
      <c r="BC667" s="38"/>
      <c r="BD667" s="38"/>
      <c r="BE667" s="38"/>
      <c r="BF667" s="38"/>
      <c r="BG667" s="38"/>
      <c r="BH667" s="38"/>
      <c r="BI667" s="38"/>
      <c r="BJ667" s="38"/>
      <c r="BK667" s="38"/>
    </row>
    <row r="668">
      <c r="L668" s="76"/>
      <c r="R668" s="76"/>
      <c r="X668" s="76"/>
      <c r="AD668" s="76"/>
      <c r="AJ668" s="76"/>
      <c r="AP668" s="76"/>
      <c r="AV668" s="76"/>
      <c r="BB668" s="76"/>
      <c r="BC668" s="38"/>
      <c r="BD668" s="38"/>
      <c r="BE668" s="38"/>
      <c r="BF668" s="38"/>
      <c r="BG668" s="38"/>
      <c r="BH668" s="38"/>
      <c r="BI668" s="38"/>
      <c r="BJ668" s="38"/>
      <c r="BK668" s="38"/>
    </row>
    <row r="669">
      <c r="L669" s="76"/>
      <c r="R669" s="76"/>
      <c r="X669" s="76"/>
      <c r="AD669" s="76"/>
      <c r="AJ669" s="76"/>
      <c r="AP669" s="76"/>
      <c r="AV669" s="76"/>
      <c r="BB669" s="76"/>
      <c r="BC669" s="38"/>
      <c r="BD669" s="38"/>
      <c r="BE669" s="38"/>
      <c r="BF669" s="38"/>
      <c r="BG669" s="38"/>
      <c r="BH669" s="38"/>
      <c r="BI669" s="38"/>
      <c r="BJ669" s="38"/>
      <c r="BK669" s="38"/>
    </row>
    <row r="670">
      <c r="L670" s="76"/>
      <c r="R670" s="76"/>
      <c r="X670" s="76"/>
      <c r="AD670" s="76"/>
      <c r="AJ670" s="76"/>
      <c r="AP670" s="76"/>
      <c r="AV670" s="76"/>
      <c r="BB670" s="76"/>
      <c r="BC670" s="38"/>
      <c r="BD670" s="38"/>
      <c r="BE670" s="38"/>
      <c r="BF670" s="38"/>
      <c r="BG670" s="38"/>
      <c r="BH670" s="38"/>
      <c r="BI670" s="38"/>
      <c r="BJ670" s="38"/>
      <c r="BK670" s="38"/>
    </row>
    <row r="671">
      <c r="L671" s="76"/>
      <c r="R671" s="76"/>
      <c r="X671" s="76"/>
      <c r="AD671" s="76"/>
      <c r="AJ671" s="76"/>
      <c r="AP671" s="76"/>
      <c r="AV671" s="76"/>
      <c r="BB671" s="76"/>
      <c r="BC671" s="38"/>
      <c r="BD671" s="38"/>
      <c r="BE671" s="38"/>
      <c r="BF671" s="38"/>
      <c r="BG671" s="38"/>
      <c r="BH671" s="38"/>
      <c r="BI671" s="38"/>
      <c r="BJ671" s="38"/>
      <c r="BK671" s="38"/>
    </row>
    <row r="672">
      <c r="L672" s="76"/>
      <c r="R672" s="76"/>
      <c r="X672" s="76"/>
      <c r="AD672" s="76"/>
      <c r="AJ672" s="76"/>
      <c r="AP672" s="76"/>
      <c r="AV672" s="76"/>
      <c r="BB672" s="76"/>
      <c r="BC672" s="38"/>
      <c r="BD672" s="38"/>
      <c r="BE672" s="38"/>
      <c r="BF672" s="38"/>
      <c r="BG672" s="38"/>
      <c r="BH672" s="38"/>
      <c r="BI672" s="38"/>
      <c r="BJ672" s="38"/>
      <c r="BK672" s="38"/>
    </row>
    <row r="673">
      <c r="L673" s="76"/>
      <c r="R673" s="76"/>
      <c r="X673" s="76"/>
      <c r="AD673" s="76"/>
      <c r="AJ673" s="76"/>
      <c r="AP673" s="76"/>
      <c r="AV673" s="76"/>
      <c r="BB673" s="76"/>
      <c r="BC673" s="38"/>
      <c r="BD673" s="38"/>
      <c r="BE673" s="38"/>
      <c r="BF673" s="38"/>
      <c r="BG673" s="38"/>
      <c r="BH673" s="38"/>
      <c r="BI673" s="38"/>
      <c r="BJ673" s="38"/>
      <c r="BK673" s="38"/>
    </row>
    <row r="674">
      <c r="L674" s="76"/>
      <c r="R674" s="76"/>
      <c r="X674" s="76"/>
      <c r="AD674" s="76"/>
      <c r="AJ674" s="76"/>
      <c r="AP674" s="76"/>
      <c r="AV674" s="76"/>
      <c r="BB674" s="76"/>
      <c r="BC674" s="38"/>
      <c r="BD674" s="38"/>
      <c r="BE674" s="38"/>
      <c r="BF674" s="38"/>
      <c r="BG674" s="38"/>
      <c r="BH674" s="38"/>
      <c r="BI674" s="38"/>
      <c r="BJ674" s="38"/>
      <c r="BK674" s="38"/>
    </row>
    <row r="675">
      <c r="L675" s="76"/>
      <c r="R675" s="76"/>
      <c r="X675" s="76"/>
      <c r="AD675" s="76"/>
      <c r="AJ675" s="76"/>
      <c r="AP675" s="76"/>
      <c r="AV675" s="76"/>
      <c r="BB675" s="76"/>
      <c r="BC675" s="38"/>
      <c r="BD675" s="38"/>
      <c r="BE675" s="38"/>
      <c r="BF675" s="38"/>
      <c r="BG675" s="38"/>
      <c r="BH675" s="38"/>
      <c r="BI675" s="38"/>
      <c r="BJ675" s="38"/>
      <c r="BK675" s="38"/>
    </row>
    <row r="676">
      <c r="L676" s="76"/>
      <c r="R676" s="76"/>
      <c r="X676" s="76"/>
      <c r="AD676" s="76"/>
      <c r="AJ676" s="76"/>
      <c r="AP676" s="76"/>
      <c r="AV676" s="76"/>
      <c r="BB676" s="76"/>
      <c r="BC676" s="38"/>
      <c r="BD676" s="38"/>
      <c r="BE676" s="38"/>
      <c r="BF676" s="38"/>
      <c r="BG676" s="38"/>
      <c r="BH676" s="38"/>
      <c r="BI676" s="38"/>
      <c r="BJ676" s="38"/>
      <c r="BK676" s="38"/>
    </row>
    <row r="677">
      <c r="L677" s="76"/>
      <c r="R677" s="76"/>
      <c r="X677" s="76"/>
      <c r="AD677" s="76"/>
      <c r="AJ677" s="76"/>
      <c r="AP677" s="76"/>
      <c r="AV677" s="76"/>
      <c r="BB677" s="76"/>
      <c r="BC677" s="38"/>
      <c r="BD677" s="38"/>
      <c r="BE677" s="38"/>
      <c r="BF677" s="38"/>
      <c r="BG677" s="38"/>
      <c r="BH677" s="38"/>
      <c r="BI677" s="38"/>
      <c r="BJ677" s="38"/>
      <c r="BK677" s="38"/>
    </row>
    <row r="678">
      <c r="L678" s="76"/>
      <c r="R678" s="76"/>
      <c r="X678" s="76"/>
      <c r="AD678" s="76"/>
      <c r="AJ678" s="76"/>
      <c r="AP678" s="76"/>
      <c r="AV678" s="76"/>
      <c r="BB678" s="76"/>
      <c r="BC678" s="38"/>
      <c r="BD678" s="38"/>
      <c r="BE678" s="38"/>
      <c r="BF678" s="38"/>
      <c r="BG678" s="38"/>
      <c r="BH678" s="38"/>
      <c r="BI678" s="38"/>
      <c r="BJ678" s="38"/>
      <c r="BK678" s="38"/>
    </row>
    <row r="679">
      <c r="L679" s="76"/>
      <c r="R679" s="76"/>
      <c r="X679" s="76"/>
      <c r="AD679" s="76"/>
      <c r="AJ679" s="76"/>
      <c r="AP679" s="76"/>
      <c r="AV679" s="76"/>
      <c r="BB679" s="76"/>
      <c r="BC679" s="38"/>
      <c r="BD679" s="38"/>
      <c r="BE679" s="38"/>
      <c r="BF679" s="38"/>
      <c r="BG679" s="38"/>
      <c r="BH679" s="38"/>
      <c r="BI679" s="38"/>
      <c r="BJ679" s="38"/>
      <c r="BK679" s="38"/>
    </row>
    <row r="680">
      <c r="L680" s="76"/>
      <c r="R680" s="76"/>
      <c r="X680" s="76"/>
      <c r="AD680" s="76"/>
      <c r="AJ680" s="76"/>
      <c r="AP680" s="76"/>
      <c r="AV680" s="76"/>
      <c r="BB680" s="76"/>
      <c r="BC680" s="38"/>
      <c r="BD680" s="38"/>
      <c r="BE680" s="38"/>
      <c r="BF680" s="38"/>
      <c r="BG680" s="38"/>
      <c r="BH680" s="38"/>
      <c r="BI680" s="38"/>
      <c r="BJ680" s="38"/>
      <c r="BK680" s="38"/>
    </row>
    <row r="681">
      <c r="L681" s="76"/>
      <c r="R681" s="76"/>
      <c r="X681" s="76"/>
      <c r="AD681" s="76"/>
      <c r="AJ681" s="76"/>
      <c r="AP681" s="76"/>
      <c r="AV681" s="76"/>
      <c r="BB681" s="76"/>
      <c r="BC681" s="38"/>
      <c r="BD681" s="38"/>
      <c r="BE681" s="38"/>
      <c r="BF681" s="38"/>
      <c r="BG681" s="38"/>
      <c r="BH681" s="38"/>
      <c r="BI681" s="38"/>
      <c r="BJ681" s="38"/>
      <c r="BK681" s="38"/>
    </row>
    <row r="682">
      <c r="L682" s="76"/>
      <c r="R682" s="76"/>
      <c r="X682" s="76"/>
      <c r="AD682" s="76"/>
      <c r="AJ682" s="76"/>
      <c r="AP682" s="76"/>
      <c r="AV682" s="76"/>
      <c r="BB682" s="76"/>
      <c r="BC682" s="38"/>
      <c r="BD682" s="38"/>
      <c r="BE682" s="38"/>
      <c r="BF682" s="38"/>
      <c r="BG682" s="38"/>
      <c r="BH682" s="38"/>
      <c r="BI682" s="38"/>
      <c r="BJ682" s="38"/>
      <c r="BK682" s="38"/>
    </row>
    <row r="683">
      <c r="L683" s="76"/>
      <c r="R683" s="76"/>
      <c r="X683" s="76"/>
      <c r="AD683" s="76"/>
      <c r="AJ683" s="76"/>
      <c r="AP683" s="76"/>
      <c r="AV683" s="76"/>
      <c r="BB683" s="76"/>
      <c r="BC683" s="38"/>
      <c r="BD683" s="38"/>
      <c r="BE683" s="38"/>
      <c r="BF683" s="38"/>
      <c r="BG683" s="38"/>
      <c r="BH683" s="38"/>
      <c r="BI683" s="38"/>
      <c r="BJ683" s="38"/>
      <c r="BK683" s="38"/>
    </row>
    <row r="684">
      <c r="L684" s="76"/>
      <c r="R684" s="76"/>
      <c r="X684" s="76"/>
      <c r="AD684" s="76"/>
      <c r="AJ684" s="76"/>
      <c r="AP684" s="76"/>
      <c r="AV684" s="76"/>
      <c r="BB684" s="76"/>
      <c r="BC684" s="38"/>
      <c r="BD684" s="38"/>
      <c r="BE684" s="38"/>
      <c r="BF684" s="38"/>
      <c r="BG684" s="38"/>
      <c r="BH684" s="38"/>
      <c r="BI684" s="38"/>
      <c r="BJ684" s="38"/>
      <c r="BK684" s="38"/>
    </row>
    <row r="685">
      <c r="L685" s="76"/>
      <c r="R685" s="76"/>
      <c r="X685" s="76"/>
      <c r="AD685" s="76"/>
      <c r="AJ685" s="76"/>
      <c r="AP685" s="76"/>
      <c r="AV685" s="76"/>
      <c r="BB685" s="76"/>
      <c r="BC685" s="38"/>
      <c r="BD685" s="38"/>
      <c r="BE685" s="38"/>
      <c r="BF685" s="38"/>
      <c r="BG685" s="38"/>
      <c r="BH685" s="38"/>
      <c r="BI685" s="38"/>
      <c r="BJ685" s="38"/>
      <c r="BK685" s="38"/>
    </row>
    <row r="686">
      <c r="L686" s="76"/>
      <c r="R686" s="76"/>
      <c r="X686" s="76"/>
      <c r="AD686" s="76"/>
      <c r="AJ686" s="76"/>
      <c r="AP686" s="76"/>
      <c r="AV686" s="76"/>
      <c r="BB686" s="76"/>
      <c r="BC686" s="38"/>
      <c r="BD686" s="38"/>
      <c r="BE686" s="38"/>
      <c r="BF686" s="38"/>
      <c r="BG686" s="38"/>
      <c r="BH686" s="38"/>
      <c r="BI686" s="38"/>
      <c r="BJ686" s="38"/>
      <c r="BK686" s="38"/>
    </row>
    <row r="687">
      <c r="L687" s="76"/>
      <c r="R687" s="76"/>
      <c r="X687" s="76"/>
      <c r="AD687" s="76"/>
      <c r="AJ687" s="76"/>
      <c r="AP687" s="76"/>
      <c r="AV687" s="76"/>
      <c r="BB687" s="76"/>
      <c r="BC687" s="38"/>
      <c r="BD687" s="38"/>
      <c r="BE687" s="38"/>
      <c r="BF687" s="38"/>
      <c r="BG687" s="38"/>
      <c r="BH687" s="38"/>
      <c r="BI687" s="38"/>
      <c r="BJ687" s="38"/>
      <c r="BK687" s="38"/>
    </row>
    <row r="688">
      <c r="L688" s="76"/>
      <c r="R688" s="76"/>
      <c r="X688" s="76"/>
      <c r="AD688" s="76"/>
      <c r="AJ688" s="76"/>
      <c r="AP688" s="76"/>
      <c r="AV688" s="76"/>
      <c r="BB688" s="76"/>
      <c r="BC688" s="38"/>
      <c r="BD688" s="38"/>
      <c r="BE688" s="38"/>
      <c r="BF688" s="38"/>
      <c r="BG688" s="38"/>
      <c r="BH688" s="38"/>
      <c r="BI688" s="38"/>
      <c r="BJ688" s="38"/>
      <c r="BK688" s="38"/>
    </row>
    <row r="689">
      <c r="L689" s="76"/>
      <c r="R689" s="76"/>
      <c r="X689" s="76"/>
      <c r="AD689" s="76"/>
      <c r="AJ689" s="76"/>
      <c r="AP689" s="76"/>
      <c r="AV689" s="76"/>
      <c r="BB689" s="76"/>
      <c r="BC689" s="38"/>
      <c r="BD689" s="38"/>
      <c r="BE689" s="38"/>
      <c r="BF689" s="38"/>
      <c r="BG689" s="38"/>
      <c r="BH689" s="38"/>
      <c r="BI689" s="38"/>
      <c r="BJ689" s="38"/>
      <c r="BK689" s="38"/>
    </row>
    <row r="690">
      <c r="L690" s="76"/>
      <c r="R690" s="76"/>
      <c r="X690" s="76"/>
      <c r="AD690" s="76"/>
      <c r="AJ690" s="76"/>
      <c r="AP690" s="76"/>
      <c r="AV690" s="76"/>
      <c r="BB690" s="76"/>
      <c r="BC690" s="38"/>
      <c r="BD690" s="38"/>
      <c r="BE690" s="38"/>
      <c r="BF690" s="38"/>
      <c r="BG690" s="38"/>
      <c r="BH690" s="38"/>
      <c r="BI690" s="38"/>
      <c r="BJ690" s="38"/>
      <c r="BK690" s="38"/>
    </row>
    <row r="691">
      <c r="L691" s="76"/>
      <c r="R691" s="76"/>
      <c r="X691" s="76"/>
      <c r="AD691" s="76"/>
      <c r="AJ691" s="76"/>
      <c r="AP691" s="76"/>
      <c r="AV691" s="76"/>
      <c r="BB691" s="76"/>
      <c r="BC691" s="38"/>
      <c r="BD691" s="38"/>
      <c r="BE691" s="38"/>
      <c r="BF691" s="38"/>
      <c r="BG691" s="38"/>
      <c r="BH691" s="38"/>
      <c r="BI691" s="38"/>
      <c r="BJ691" s="38"/>
      <c r="BK691" s="38"/>
    </row>
    <row r="692">
      <c r="L692" s="76"/>
      <c r="R692" s="76"/>
      <c r="X692" s="76"/>
      <c r="AD692" s="76"/>
      <c r="AJ692" s="76"/>
      <c r="AP692" s="76"/>
      <c r="AV692" s="76"/>
      <c r="BB692" s="76"/>
      <c r="BC692" s="38"/>
      <c r="BD692" s="38"/>
      <c r="BE692" s="38"/>
      <c r="BF692" s="38"/>
      <c r="BG692" s="38"/>
      <c r="BH692" s="38"/>
      <c r="BI692" s="38"/>
      <c r="BJ692" s="38"/>
      <c r="BK692" s="38"/>
    </row>
    <row r="693">
      <c r="L693" s="76"/>
      <c r="R693" s="76"/>
      <c r="X693" s="76"/>
      <c r="AD693" s="76"/>
      <c r="AJ693" s="76"/>
      <c r="AP693" s="76"/>
      <c r="AV693" s="76"/>
      <c r="BB693" s="76"/>
      <c r="BC693" s="38"/>
      <c r="BD693" s="38"/>
      <c r="BE693" s="38"/>
      <c r="BF693" s="38"/>
      <c r="BG693" s="38"/>
      <c r="BH693" s="38"/>
      <c r="BI693" s="38"/>
      <c r="BJ693" s="38"/>
      <c r="BK693" s="38"/>
    </row>
    <row r="694">
      <c r="L694" s="76"/>
      <c r="R694" s="76"/>
      <c r="X694" s="76"/>
      <c r="AD694" s="76"/>
      <c r="AJ694" s="76"/>
      <c r="AP694" s="76"/>
      <c r="AV694" s="76"/>
      <c r="BB694" s="76"/>
      <c r="BC694" s="38"/>
      <c r="BD694" s="38"/>
      <c r="BE694" s="38"/>
      <c r="BF694" s="38"/>
      <c r="BG694" s="38"/>
      <c r="BH694" s="38"/>
      <c r="BI694" s="38"/>
      <c r="BJ694" s="38"/>
      <c r="BK694" s="38"/>
    </row>
    <row r="695">
      <c r="L695" s="76"/>
      <c r="R695" s="76"/>
      <c r="X695" s="76"/>
      <c r="AD695" s="76"/>
      <c r="AJ695" s="76"/>
      <c r="AP695" s="76"/>
      <c r="AV695" s="76"/>
      <c r="BB695" s="76"/>
      <c r="BC695" s="38"/>
      <c r="BD695" s="38"/>
      <c r="BE695" s="38"/>
      <c r="BF695" s="38"/>
      <c r="BG695" s="38"/>
      <c r="BH695" s="38"/>
      <c r="BI695" s="38"/>
      <c r="BJ695" s="38"/>
      <c r="BK695" s="38"/>
    </row>
    <row r="696">
      <c r="L696" s="76"/>
      <c r="R696" s="76"/>
      <c r="X696" s="76"/>
      <c r="AD696" s="76"/>
      <c r="AJ696" s="76"/>
      <c r="AP696" s="76"/>
      <c r="AV696" s="76"/>
      <c r="BB696" s="76"/>
      <c r="BC696" s="38"/>
      <c r="BD696" s="38"/>
      <c r="BE696" s="38"/>
      <c r="BF696" s="38"/>
      <c r="BG696" s="38"/>
      <c r="BH696" s="38"/>
      <c r="BI696" s="38"/>
      <c r="BJ696" s="38"/>
      <c r="BK696" s="38"/>
    </row>
    <row r="697">
      <c r="L697" s="76"/>
      <c r="R697" s="76"/>
      <c r="X697" s="76"/>
      <c r="AD697" s="76"/>
      <c r="AJ697" s="76"/>
      <c r="AP697" s="76"/>
      <c r="AV697" s="76"/>
      <c r="BB697" s="76"/>
      <c r="BC697" s="38"/>
      <c r="BD697" s="38"/>
      <c r="BE697" s="38"/>
      <c r="BF697" s="38"/>
      <c r="BG697" s="38"/>
      <c r="BH697" s="38"/>
      <c r="BI697" s="38"/>
      <c r="BJ697" s="38"/>
      <c r="BK697" s="38"/>
    </row>
    <row r="698">
      <c r="L698" s="76"/>
      <c r="R698" s="76"/>
      <c r="X698" s="76"/>
      <c r="AD698" s="76"/>
      <c r="AJ698" s="76"/>
      <c r="AP698" s="76"/>
      <c r="AV698" s="76"/>
      <c r="BB698" s="76"/>
      <c r="BC698" s="38"/>
      <c r="BD698" s="38"/>
      <c r="BE698" s="38"/>
      <c r="BF698" s="38"/>
      <c r="BG698" s="38"/>
      <c r="BH698" s="38"/>
      <c r="BI698" s="38"/>
      <c r="BJ698" s="38"/>
      <c r="BK698" s="38"/>
    </row>
    <row r="699">
      <c r="L699" s="76"/>
      <c r="R699" s="76"/>
      <c r="X699" s="76"/>
      <c r="AD699" s="76"/>
      <c r="AJ699" s="76"/>
      <c r="AP699" s="76"/>
      <c r="AV699" s="76"/>
      <c r="BB699" s="76"/>
      <c r="BC699" s="38"/>
      <c r="BD699" s="38"/>
      <c r="BE699" s="38"/>
      <c r="BF699" s="38"/>
      <c r="BG699" s="38"/>
      <c r="BH699" s="38"/>
      <c r="BI699" s="38"/>
      <c r="BJ699" s="38"/>
      <c r="BK699" s="38"/>
    </row>
    <row r="700">
      <c r="L700" s="76"/>
      <c r="R700" s="76"/>
      <c r="X700" s="76"/>
      <c r="AD700" s="76"/>
      <c r="AJ700" s="76"/>
      <c r="AP700" s="76"/>
      <c r="AV700" s="76"/>
      <c r="BB700" s="76"/>
      <c r="BC700" s="38"/>
      <c r="BD700" s="38"/>
      <c r="BE700" s="38"/>
      <c r="BF700" s="38"/>
      <c r="BG700" s="38"/>
      <c r="BH700" s="38"/>
      <c r="BI700" s="38"/>
      <c r="BJ700" s="38"/>
      <c r="BK700" s="38"/>
    </row>
    <row r="701">
      <c r="L701" s="76"/>
      <c r="R701" s="76"/>
      <c r="X701" s="76"/>
      <c r="AD701" s="76"/>
      <c r="AJ701" s="76"/>
      <c r="AP701" s="76"/>
      <c r="AV701" s="76"/>
      <c r="BB701" s="76"/>
      <c r="BC701" s="38"/>
      <c r="BD701" s="38"/>
      <c r="BE701" s="38"/>
      <c r="BF701" s="38"/>
      <c r="BG701" s="38"/>
      <c r="BH701" s="38"/>
      <c r="BI701" s="38"/>
      <c r="BJ701" s="38"/>
      <c r="BK701" s="38"/>
    </row>
    <row r="702">
      <c r="L702" s="76"/>
      <c r="R702" s="76"/>
      <c r="X702" s="76"/>
      <c r="AD702" s="76"/>
      <c r="AJ702" s="76"/>
      <c r="AP702" s="76"/>
      <c r="AV702" s="76"/>
      <c r="BB702" s="76"/>
      <c r="BC702" s="38"/>
      <c r="BD702" s="38"/>
      <c r="BE702" s="38"/>
      <c r="BF702" s="38"/>
      <c r="BG702" s="38"/>
      <c r="BH702" s="38"/>
      <c r="BI702" s="38"/>
      <c r="BJ702" s="38"/>
      <c r="BK702" s="38"/>
    </row>
    <row r="703">
      <c r="L703" s="76"/>
      <c r="R703" s="76"/>
      <c r="X703" s="76"/>
      <c r="AD703" s="76"/>
      <c r="AJ703" s="76"/>
      <c r="AP703" s="76"/>
      <c r="AV703" s="76"/>
      <c r="BB703" s="76"/>
      <c r="BC703" s="38"/>
      <c r="BD703" s="38"/>
      <c r="BE703" s="38"/>
      <c r="BF703" s="38"/>
      <c r="BG703" s="38"/>
      <c r="BH703" s="38"/>
      <c r="BI703" s="38"/>
      <c r="BJ703" s="38"/>
      <c r="BK703" s="38"/>
    </row>
    <row r="704">
      <c r="L704" s="76"/>
      <c r="R704" s="76"/>
      <c r="X704" s="76"/>
      <c r="AD704" s="76"/>
      <c r="AJ704" s="76"/>
      <c r="AP704" s="76"/>
      <c r="AV704" s="76"/>
      <c r="BB704" s="76"/>
      <c r="BC704" s="38"/>
      <c r="BD704" s="38"/>
      <c r="BE704" s="38"/>
      <c r="BF704" s="38"/>
      <c r="BG704" s="38"/>
      <c r="BH704" s="38"/>
      <c r="BI704" s="38"/>
      <c r="BJ704" s="38"/>
      <c r="BK704" s="38"/>
    </row>
    <row r="705">
      <c r="L705" s="76"/>
      <c r="R705" s="76"/>
      <c r="X705" s="76"/>
      <c r="AD705" s="76"/>
      <c r="AJ705" s="76"/>
      <c r="AP705" s="76"/>
      <c r="AV705" s="76"/>
      <c r="BB705" s="76"/>
      <c r="BC705" s="38"/>
      <c r="BD705" s="38"/>
      <c r="BE705" s="38"/>
      <c r="BF705" s="38"/>
      <c r="BG705" s="38"/>
      <c r="BH705" s="38"/>
      <c r="BI705" s="38"/>
      <c r="BJ705" s="38"/>
      <c r="BK705" s="38"/>
    </row>
    <row r="706">
      <c r="L706" s="76"/>
      <c r="R706" s="76"/>
      <c r="X706" s="76"/>
      <c r="AD706" s="76"/>
      <c r="AJ706" s="76"/>
      <c r="AP706" s="76"/>
      <c r="AV706" s="76"/>
      <c r="BB706" s="76"/>
      <c r="BC706" s="38"/>
      <c r="BD706" s="38"/>
      <c r="BE706" s="38"/>
      <c r="BF706" s="38"/>
      <c r="BG706" s="38"/>
      <c r="BH706" s="38"/>
      <c r="BI706" s="38"/>
      <c r="BJ706" s="38"/>
      <c r="BK706" s="38"/>
    </row>
    <row r="707">
      <c r="L707" s="76"/>
      <c r="R707" s="76"/>
      <c r="X707" s="76"/>
      <c r="AD707" s="76"/>
      <c r="AJ707" s="76"/>
      <c r="AP707" s="76"/>
      <c r="AV707" s="76"/>
      <c r="BB707" s="76"/>
      <c r="BC707" s="38"/>
      <c r="BD707" s="38"/>
      <c r="BE707" s="38"/>
      <c r="BF707" s="38"/>
      <c r="BG707" s="38"/>
      <c r="BH707" s="38"/>
      <c r="BI707" s="38"/>
      <c r="BJ707" s="38"/>
      <c r="BK707" s="38"/>
    </row>
    <row r="708">
      <c r="L708" s="76"/>
      <c r="R708" s="76"/>
      <c r="X708" s="76"/>
      <c r="AD708" s="76"/>
      <c r="AJ708" s="76"/>
      <c r="AP708" s="76"/>
      <c r="AV708" s="76"/>
      <c r="BB708" s="76"/>
      <c r="BC708" s="38"/>
      <c r="BD708" s="38"/>
      <c r="BE708" s="38"/>
      <c r="BF708" s="38"/>
      <c r="BG708" s="38"/>
      <c r="BH708" s="38"/>
      <c r="BI708" s="38"/>
      <c r="BJ708" s="38"/>
      <c r="BK708" s="38"/>
    </row>
    <row r="709">
      <c r="L709" s="76"/>
      <c r="R709" s="76"/>
      <c r="X709" s="76"/>
      <c r="AD709" s="76"/>
      <c r="AJ709" s="76"/>
      <c r="AP709" s="76"/>
      <c r="AV709" s="76"/>
      <c r="BB709" s="76"/>
      <c r="BC709" s="38"/>
      <c r="BD709" s="38"/>
      <c r="BE709" s="38"/>
      <c r="BF709" s="38"/>
      <c r="BG709" s="38"/>
      <c r="BH709" s="38"/>
      <c r="BI709" s="38"/>
      <c r="BJ709" s="38"/>
      <c r="BK709" s="38"/>
    </row>
    <row r="710">
      <c r="L710" s="76"/>
      <c r="R710" s="76"/>
      <c r="X710" s="76"/>
      <c r="AD710" s="76"/>
      <c r="AJ710" s="76"/>
      <c r="AP710" s="76"/>
      <c r="AV710" s="76"/>
      <c r="BB710" s="76"/>
      <c r="BC710" s="38"/>
      <c r="BD710" s="38"/>
      <c r="BE710" s="38"/>
      <c r="BF710" s="38"/>
      <c r="BG710" s="38"/>
      <c r="BH710" s="38"/>
      <c r="BI710" s="38"/>
      <c r="BJ710" s="38"/>
      <c r="BK710" s="38"/>
    </row>
    <row r="711">
      <c r="L711" s="76"/>
      <c r="R711" s="76"/>
      <c r="X711" s="76"/>
      <c r="AD711" s="76"/>
      <c r="AJ711" s="76"/>
      <c r="AP711" s="76"/>
      <c r="AV711" s="76"/>
      <c r="BB711" s="76"/>
      <c r="BC711" s="38"/>
      <c r="BD711" s="38"/>
      <c r="BE711" s="38"/>
      <c r="BF711" s="38"/>
      <c r="BG711" s="38"/>
      <c r="BH711" s="38"/>
      <c r="BI711" s="38"/>
      <c r="BJ711" s="38"/>
      <c r="BK711" s="38"/>
    </row>
    <row r="712">
      <c r="L712" s="76"/>
      <c r="R712" s="76"/>
      <c r="X712" s="76"/>
      <c r="AD712" s="76"/>
      <c r="AJ712" s="76"/>
      <c r="AP712" s="76"/>
      <c r="AV712" s="76"/>
      <c r="BB712" s="76"/>
      <c r="BC712" s="38"/>
      <c r="BD712" s="38"/>
      <c r="BE712" s="38"/>
      <c r="BF712" s="38"/>
      <c r="BG712" s="38"/>
      <c r="BH712" s="38"/>
      <c r="BI712" s="38"/>
      <c r="BJ712" s="38"/>
      <c r="BK712" s="38"/>
    </row>
    <row r="713">
      <c r="L713" s="76"/>
      <c r="R713" s="76"/>
      <c r="X713" s="76"/>
      <c r="AD713" s="76"/>
      <c r="AJ713" s="76"/>
      <c r="AP713" s="76"/>
      <c r="AV713" s="76"/>
      <c r="BB713" s="76"/>
      <c r="BC713" s="38"/>
      <c r="BD713" s="38"/>
      <c r="BE713" s="38"/>
      <c r="BF713" s="38"/>
      <c r="BG713" s="38"/>
      <c r="BH713" s="38"/>
      <c r="BI713" s="38"/>
      <c r="BJ713" s="38"/>
      <c r="BK713" s="38"/>
    </row>
    <row r="714">
      <c r="L714" s="76"/>
      <c r="R714" s="76"/>
      <c r="X714" s="76"/>
      <c r="AD714" s="76"/>
      <c r="AJ714" s="76"/>
      <c r="AP714" s="76"/>
      <c r="AV714" s="76"/>
      <c r="BB714" s="76"/>
      <c r="BC714" s="38"/>
      <c r="BD714" s="38"/>
      <c r="BE714" s="38"/>
      <c r="BF714" s="38"/>
      <c r="BG714" s="38"/>
      <c r="BH714" s="38"/>
      <c r="BI714" s="38"/>
      <c r="BJ714" s="38"/>
      <c r="BK714" s="38"/>
    </row>
    <row r="715">
      <c r="L715" s="76"/>
      <c r="R715" s="76"/>
      <c r="X715" s="76"/>
      <c r="AD715" s="76"/>
      <c r="AJ715" s="76"/>
      <c r="AP715" s="76"/>
      <c r="AV715" s="76"/>
      <c r="BB715" s="76"/>
      <c r="BC715" s="38"/>
      <c r="BD715" s="38"/>
      <c r="BE715" s="38"/>
      <c r="BF715" s="38"/>
      <c r="BG715" s="38"/>
      <c r="BH715" s="38"/>
      <c r="BI715" s="38"/>
      <c r="BJ715" s="38"/>
      <c r="BK715" s="38"/>
    </row>
    <row r="716">
      <c r="L716" s="76"/>
      <c r="R716" s="76"/>
      <c r="X716" s="76"/>
      <c r="AD716" s="76"/>
      <c r="AJ716" s="76"/>
      <c r="AP716" s="76"/>
      <c r="AV716" s="76"/>
      <c r="BB716" s="76"/>
      <c r="BC716" s="38"/>
      <c r="BD716" s="38"/>
      <c r="BE716" s="38"/>
      <c r="BF716" s="38"/>
      <c r="BG716" s="38"/>
      <c r="BH716" s="38"/>
      <c r="BI716" s="38"/>
      <c r="BJ716" s="38"/>
      <c r="BK716" s="38"/>
    </row>
    <row r="717">
      <c r="L717" s="76"/>
      <c r="R717" s="76"/>
      <c r="X717" s="76"/>
      <c r="AD717" s="76"/>
      <c r="AJ717" s="76"/>
      <c r="AP717" s="76"/>
      <c r="AV717" s="76"/>
      <c r="BB717" s="76"/>
      <c r="BC717" s="38"/>
      <c r="BD717" s="38"/>
      <c r="BE717" s="38"/>
      <c r="BF717" s="38"/>
      <c r="BG717" s="38"/>
      <c r="BH717" s="38"/>
      <c r="BI717" s="38"/>
      <c r="BJ717" s="38"/>
      <c r="BK717" s="38"/>
    </row>
    <row r="718">
      <c r="L718" s="76"/>
      <c r="R718" s="76"/>
      <c r="X718" s="76"/>
      <c r="AD718" s="76"/>
      <c r="AJ718" s="76"/>
      <c r="AP718" s="76"/>
      <c r="AV718" s="76"/>
      <c r="BB718" s="76"/>
      <c r="BC718" s="38"/>
      <c r="BD718" s="38"/>
      <c r="BE718" s="38"/>
      <c r="BF718" s="38"/>
      <c r="BG718" s="38"/>
      <c r="BH718" s="38"/>
      <c r="BI718" s="38"/>
      <c r="BJ718" s="38"/>
      <c r="BK718" s="38"/>
    </row>
    <row r="719">
      <c r="L719" s="76"/>
      <c r="R719" s="76"/>
      <c r="X719" s="76"/>
      <c r="AD719" s="76"/>
      <c r="AJ719" s="76"/>
      <c r="AP719" s="76"/>
      <c r="AV719" s="76"/>
      <c r="BB719" s="76"/>
      <c r="BC719" s="38"/>
      <c r="BD719" s="38"/>
      <c r="BE719" s="38"/>
      <c r="BF719" s="38"/>
      <c r="BG719" s="38"/>
      <c r="BH719" s="38"/>
      <c r="BI719" s="38"/>
      <c r="BJ719" s="38"/>
      <c r="BK719" s="38"/>
    </row>
    <row r="720">
      <c r="L720" s="76"/>
      <c r="R720" s="76"/>
      <c r="X720" s="76"/>
      <c r="AD720" s="76"/>
      <c r="AJ720" s="76"/>
      <c r="AP720" s="76"/>
      <c r="AV720" s="76"/>
      <c r="BB720" s="76"/>
      <c r="BC720" s="38"/>
      <c r="BD720" s="38"/>
      <c r="BE720" s="38"/>
      <c r="BF720" s="38"/>
      <c r="BG720" s="38"/>
      <c r="BH720" s="38"/>
      <c r="BI720" s="38"/>
      <c r="BJ720" s="38"/>
      <c r="BK720" s="38"/>
    </row>
    <row r="721">
      <c r="L721" s="76"/>
      <c r="R721" s="76"/>
      <c r="X721" s="76"/>
      <c r="AD721" s="76"/>
      <c r="AJ721" s="76"/>
      <c r="AP721" s="76"/>
      <c r="AV721" s="76"/>
      <c r="BB721" s="76"/>
      <c r="BC721" s="38"/>
      <c r="BD721" s="38"/>
      <c r="BE721" s="38"/>
      <c r="BF721" s="38"/>
      <c r="BG721" s="38"/>
      <c r="BH721" s="38"/>
      <c r="BI721" s="38"/>
      <c r="BJ721" s="38"/>
      <c r="BK721" s="38"/>
    </row>
    <row r="722">
      <c r="L722" s="76"/>
      <c r="R722" s="76"/>
      <c r="X722" s="76"/>
      <c r="AD722" s="76"/>
      <c r="AJ722" s="76"/>
      <c r="AP722" s="76"/>
      <c r="AV722" s="76"/>
      <c r="BB722" s="76"/>
      <c r="BC722" s="38"/>
      <c r="BD722" s="38"/>
      <c r="BE722" s="38"/>
      <c r="BF722" s="38"/>
      <c r="BG722" s="38"/>
      <c r="BH722" s="38"/>
      <c r="BI722" s="38"/>
      <c r="BJ722" s="38"/>
      <c r="BK722" s="38"/>
    </row>
    <row r="723">
      <c r="L723" s="76"/>
      <c r="R723" s="76"/>
      <c r="X723" s="76"/>
      <c r="AD723" s="76"/>
      <c r="AJ723" s="76"/>
      <c r="AP723" s="76"/>
      <c r="AV723" s="76"/>
      <c r="BB723" s="76"/>
      <c r="BC723" s="38"/>
      <c r="BD723" s="38"/>
      <c r="BE723" s="38"/>
      <c r="BF723" s="38"/>
      <c r="BG723" s="38"/>
      <c r="BH723" s="38"/>
      <c r="BI723" s="38"/>
      <c r="BJ723" s="38"/>
      <c r="BK723" s="38"/>
    </row>
    <row r="724">
      <c r="L724" s="76"/>
      <c r="R724" s="76"/>
      <c r="X724" s="76"/>
      <c r="AD724" s="76"/>
      <c r="AJ724" s="76"/>
      <c r="AP724" s="76"/>
      <c r="AV724" s="76"/>
      <c r="BB724" s="76"/>
      <c r="BC724" s="38"/>
      <c r="BD724" s="38"/>
      <c r="BE724" s="38"/>
      <c r="BF724" s="38"/>
      <c r="BG724" s="38"/>
      <c r="BH724" s="38"/>
      <c r="BI724" s="38"/>
      <c r="BJ724" s="38"/>
      <c r="BK724" s="38"/>
    </row>
    <row r="725">
      <c r="L725" s="76"/>
      <c r="R725" s="76"/>
      <c r="X725" s="76"/>
      <c r="AD725" s="76"/>
      <c r="AJ725" s="76"/>
      <c r="AP725" s="76"/>
      <c r="AV725" s="76"/>
      <c r="BB725" s="76"/>
      <c r="BC725" s="38"/>
      <c r="BD725" s="38"/>
      <c r="BE725" s="38"/>
      <c r="BF725" s="38"/>
      <c r="BG725" s="38"/>
      <c r="BH725" s="38"/>
      <c r="BI725" s="38"/>
      <c r="BJ725" s="38"/>
      <c r="BK725" s="38"/>
    </row>
    <row r="726">
      <c r="L726" s="76"/>
      <c r="R726" s="76"/>
      <c r="X726" s="76"/>
      <c r="AD726" s="76"/>
      <c r="AJ726" s="76"/>
      <c r="AP726" s="76"/>
      <c r="AV726" s="76"/>
      <c r="BB726" s="76"/>
      <c r="BC726" s="38"/>
      <c r="BD726" s="38"/>
      <c r="BE726" s="38"/>
      <c r="BF726" s="38"/>
      <c r="BG726" s="38"/>
      <c r="BH726" s="38"/>
      <c r="BI726" s="38"/>
      <c r="BJ726" s="38"/>
      <c r="BK726" s="38"/>
    </row>
    <row r="727">
      <c r="L727" s="76"/>
      <c r="R727" s="76"/>
      <c r="X727" s="76"/>
      <c r="AD727" s="76"/>
      <c r="AJ727" s="76"/>
      <c r="AP727" s="76"/>
      <c r="AV727" s="76"/>
      <c r="BB727" s="76"/>
      <c r="BC727" s="38"/>
      <c r="BD727" s="38"/>
      <c r="BE727" s="38"/>
      <c r="BF727" s="38"/>
      <c r="BG727" s="38"/>
      <c r="BH727" s="38"/>
      <c r="BI727" s="38"/>
      <c r="BJ727" s="38"/>
      <c r="BK727" s="38"/>
    </row>
    <row r="728">
      <c r="L728" s="76"/>
      <c r="R728" s="76"/>
      <c r="X728" s="76"/>
      <c r="AD728" s="76"/>
      <c r="AJ728" s="76"/>
      <c r="AP728" s="76"/>
      <c r="AV728" s="76"/>
      <c r="BB728" s="76"/>
      <c r="BC728" s="38"/>
      <c r="BD728" s="38"/>
      <c r="BE728" s="38"/>
      <c r="BF728" s="38"/>
      <c r="BG728" s="38"/>
      <c r="BH728" s="38"/>
      <c r="BI728" s="38"/>
      <c r="BJ728" s="38"/>
      <c r="BK728" s="38"/>
    </row>
    <row r="729">
      <c r="L729" s="76"/>
      <c r="R729" s="76"/>
      <c r="X729" s="76"/>
      <c r="AD729" s="76"/>
      <c r="AJ729" s="76"/>
      <c r="AP729" s="76"/>
      <c r="AV729" s="76"/>
      <c r="BB729" s="76"/>
      <c r="BC729" s="38"/>
      <c r="BD729" s="38"/>
      <c r="BE729" s="38"/>
      <c r="BF729" s="38"/>
      <c r="BG729" s="38"/>
      <c r="BH729" s="38"/>
      <c r="BI729" s="38"/>
      <c r="BJ729" s="38"/>
      <c r="BK729" s="38"/>
    </row>
    <row r="730">
      <c r="L730" s="76"/>
      <c r="R730" s="76"/>
      <c r="X730" s="76"/>
      <c r="AD730" s="76"/>
      <c r="AJ730" s="76"/>
      <c r="AP730" s="76"/>
      <c r="AV730" s="76"/>
      <c r="BB730" s="76"/>
      <c r="BC730" s="38"/>
      <c r="BD730" s="38"/>
      <c r="BE730" s="38"/>
      <c r="BF730" s="38"/>
      <c r="BG730" s="38"/>
      <c r="BH730" s="38"/>
      <c r="BI730" s="38"/>
      <c r="BJ730" s="38"/>
      <c r="BK730" s="38"/>
    </row>
    <row r="731">
      <c r="L731" s="76"/>
      <c r="R731" s="76"/>
      <c r="X731" s="76"/>
      <c r="AD731" s="76"/>
      <c r="AJ731" s="76"/>
      <c r="AP731" s="76"/>
      <c r="AV731" s="76"/>
      <c r="BB731" s="76"/>
      <c r="BC731" s="38"/>
      <c r="BD731" s="38"/>
      <c r="BE731" s="38"/>
      <c r="BF731" s="38"/>
      <c r="BG731" s="38"/>
      <c r="BH731" s="38"/>
      <c r="BI731" s="38"/>
      <c r="BJ731" s="38"/>
      <c r="BK731" s="38"/>
    </row>
    <row r="732">
      <c r="L732" s="76"/>
      <c r="R732" s="76"/>
      <c r="X732" s="76"/>
      <c r="AD732" s="76"/>
      <c r="AJ732" s="76"/>
      <c r="AP732" s="76"/>
      <c r="AV732" s="76"/>
      <c r="BB732" s="76"/>
      <c r="BC732" s="38"/>
      <c r="BD732" s="38"/>
      <c r="BE732" s="38"/>
      <c r="BF732" s="38"/>
      <c r="BG732" s="38"/>
      <c r="BH732" s="38"/>
      <c r="BI732" s="38"/>
      <c r="BJ732" s="38"/>
      <c r="BK732" s="38"/>
    </row>
    <row r="733">
      <c r="L733" s="76"/>
      <c r="R733" s="76"/>
      <c r="X733" s="76"/>
      <c r="AD733" s="76"/>
      <c r="AJ733" s="76"/>
      <c r="AP733" s="76"/>
      <c r="AV733" s="76"/>
      <c r="BB733" s="76"/>
      <c r="BC733" s="38"/>
      <c r="BD733" s="38"/>
      <c r="BE733" s="38"/>
      <c r="BF733" s="38"/>
      <c r="BG733" s="38"/>
      <c r="BH733" s="38"/>
      <c r="BI733" s="38"/>
      <c r="BJ733" s="38"/>
      <c r="BK733" s="38"/>
    </row>
    <row r="734">
      <c r="L734" s="76"/>
      <c r="R734" s="76"/>
      <c r="X734" s="76"/>
      <c r="AD734" s="76"/>
      <c r="AJ734" s="76"/>
      <c r="AP734" s="76"/>
      <c r="AV734" s="76"/>
      <c r="BB734" s="76"/>
      <c r="BC734" s="38"/>
      <c r="BD734" s="38"/>
      <c r="BE734" s="38"/>
      <c r="BF734" s="38"/>
      <c r="BG734" s="38"/>
      <c r="BH734" s="38"/>
      <c r="BI734" s="38"/>
      <c r="BJ734" s="38"/>
      <c r="BK734" s="38"/>
    </row>
    <row r="735">
      <c r="L735" s="76"/>
      <c r="R735" s="76"/>
      <c r="X735" s="76"/>
      <c r="AD735" s="76"/>
      <c r="AJ735" s="76"/>
      <c r="AP735" s="76"/>
      <c r="AV735" s="76"/>
      <c r="BB735" s="76"/>
      <c r="BC735" s="38"/>
      <c r="BD735" s="38"/>
      <c r="BE735" s="38"/>
      <c r="BF735" s="38"/>
      <c r="BG735" s="38"/>
      <c r="BH735" s="38"/>
      <c r="BI735" s="38"/>
      <c r="BJ735" s="38"/>
      <c r="BK735" s="38"/>
    </row>
    <row r="736">
      <c r="L736" s="76"/>
      <c r="R736" s="76"/>
      <c r="X736" s="76"/>
      <c r="AD736" s="76"/>
      <c r="AJ736" s="76"/>
      <c r="AP736" s="76"/>
      <c r="AV736" s="76"/>
      <c r="BB736" s="76"/>
      <c r="BC736" s="38"/>
      <c r="BD736" s="38"/>
      <c r="BE736" s="38"/>
      <c r="BF736" s="38"/>
      <c r="BG736" s="38"/>
      <c r="BH736" s="38"/>
      <c r="BI736" s="38"/>
      <c r="BJ736" s="38"/>
      <c r="BK736" s="38"/>
    </row>
    <row r="737">
      <c r="L737" s="76"/>
      <c r="R737" s="76"/>
      <c r="X737" s="76"/>
      <c r="AD737" s="76"/>
      <c r="AJ737" s="76"/>
      <c r="AP737" s="76"/>
      <c r="AV737" s="76"/>
      <c r="BB737" s="76"/>
      <c r="BC737" s="38"/>
      <c r="BD737" s="38"/>
      <c r="BE737" s="38"/>
      <c r="BF737" s="38"/>
      <c r="BG737" s="38"/>
      <c r="BH737" s="38"/>
      <c r="BI737" s="38"/>
      <c r="BJ737" s="38"/>
      <c r="BK737" s="38"/>
    </row>
    <row r="738">
      <c r="L738" s="76"/>
      <c r="R738" s="76"/>
      <c r="X738" s="76"/>
      <c r="AD738" s="76"/>
      <c r="AJ738" s="76"/>
      <c r="AP738" s="76"/>
      <c r="AV738" s="76"/>
      <c r="BB738" s="76"/>
      <c r="BC738" s="38"/>
      <c r="BD738" s="38"/>
      <c r="BE738" s="38"/>
      <c r="BF738" s="38"/>
      <c r="BG738" s="38"/>
      <c r="BH738" s="38"/>
      <c r="BI738" s="38"/>
      <c r="BJ738" s="38"/>
      <c r="BK738" s="38"/>
    </row>
    <row r="739">
      <c r="L739" s="76"/>
      <c r="R739" s="76"/>
      <c r="X739" s="76"/>
      <c r="AD739" s="76"/>
      <c r="AJ739" s="76"/>
      <c r="AP739" s="76"/>
      <c r="AV739" s="76"/>
      <c r="BB739" s="76"/>
      <c r="BC739" s="38"/>
      <c r="BD739" s="38"/>
      <c r="BE739" s="38"/>
      <c r="BF739" s="38"/>
      <c r="BG739" s="38"/>
      <c r="BH739" s="38"/>
      <c r="BI739" s="38"/>
      <c r="BJ739" s="38"/>
      <c r="BK739" s="38"/>
    </row>
    <row r="740">
      <c r="L740" s="76"/>
      <c r="R740" s="76"/>
      <c r="X740" s="76"/>
      <c r="AD740" s="76"/>
      <c r="AJ740" s="76"/>
      <c r="AP740" s="76"/>
      <c r="AV740" s="76"/>
      <c r="BB740" s="76"/>
      <c r="BC740" s="38"/>
      <c r="BD740" s="38"/>
      <c r="BE740" s="38"/>
      <c r="BF740" s="38"/>
      <c r="BG740" s="38"/>
      <c r="BH740" s="38"/>
      <c r="BI740" s="38"/>
      <c r="BJ740" s="38"/>
      <c r="BK740" s="38"/>
    </row>
    <row r="741">
      <c r="L741" s="76"/>
      <c r="R741" s="76"/>
      <c r="X741" s="76"/>
      <c r="AD741" s="76"/>
      <c r="AJ741" s="76"/>
      <c r="AP741" s="76"/>
      <c r="AV741" s="76"/>
      <c r="BB741" s="76"/>
      <c r="BC741" s="38"/>
      <c r="BD741" s="38"/>
      <c r="BE741" s="38"/>
      <c r="BF741" s="38"/>
      <c r="BG741" s="38"/>
      <c r="BH741" s="38"/>
      <c r="BI741" s="38"/>
      <c r="BJ741" s="38"/>
      <c r="BK741" s="38"/>
    </row>
    <row r="742">
      <c r="L742" s="76"/>
      <c r="R742" s="76"/>
      <c r="X742" s="76"/>
      <c r="AD742" s="76"/>
      <c r="AJ742" s="76"/>
      <c r="AP742" s="76"/>
      <c r="AV742" s="76"/>
      <c r="BB742" s="76"/>
      <c r="BC742" s="38"/>
      <c r="BD742" s="38"/>
      <c r="BE742" s="38"/>
      <c r="BF742" s="38"/>
      <c r="BG742" s="38"/>
      <c r="BH742" s="38"/>
      <c r="BI742" s="38"/>
      <c r="BJ742" s="38"/>
      <c r="BK742" s="38"/>
    </row>
    <row r="743">
      <c r="L743" s="76"/>
      <c r="R743" s="76"/>
      <c r="X743" s="76"/>
      <c r="AD743" s="76"/>
      <c r="AJ743" s="76"/>
      <c r="AP743" s="76"/>
      <c r="AV743" s="76"/>
      <c r="BB743" s="76"/>
      <c r="BC743" s="38"/>
      <c r="BD743" s="38"/>
      <c r="BE743" s="38"/>
      <c r="BF743" s="38"/>
      <c r="BG743" s="38"/>
      <c r="BH743" s="38"/>
      <c r="BI743" s="38"/>
      <c r="BJ743" s="38"/>
      <c r="BK743" s="38"/>
    </row>
    <row r="744">
      <c r="L744" s="76"/>
      <c r="R744" s="76"/>
      <c r="X744" s="76"/>
      <c r="AD744" s="76"/>
      <c r="AJ744" s="76"/>
      <c r="AP744" s="76"/>
      <c r="AV744" s="76"/>
      <c r="BB744" s="76"/>
      <c r="BC744" s="38"/>
      <c r="BD744" s="38"/>
      <c r="BE744" s="38"/>
      <c r="BF744" s="38"/>
      <c r="BG744" s="38"/>
      <c r="BH744" s="38"/>
      <c r="BI744" s="38"/>
      <c r="BJ744" s="38"/>
      <c r="BK744" s="38"/>
    </row>
    <row r="745">
      <c r="L745" s="76"/>
      <c r="R745" s="76"/>
      <c r="X745" s="76"/>
      <c r="AD745" s="76"/>
      <c r="AJ745" s="76"/>
      <c r="AP745" s="76"/>
      <c r="AV745" s="76"/>
      <c r="BB745" s="76"/>
      <c r="BC745" s="38"/>
      <c r="BD745" s="38"/>
      <c r="BE745" s="38"/>
      <c r="BF745" s="38"/>
      <c r="BG745" s="38"/>
      <c r="BH745" s="38"/>
      <c r="BI745" s="38"/>
      <c r="BJ745" s="38"/>
      <c r="BK745" s="38"/>
    </row>
    <row r="746">
      <c r="L746" s="76"/>
      <c r="R746" s="76"/>
      <c r="X746" s="76"/>
      <c r="AD746" s="76"/>
      <c r="AJ746" s="76"/>
      <c r="AP746" s="76"/>
      <c r="AV746" s="76"/>
      <c r="BB746" s="76"/>
      <c r="BC746" s="38"/>
      <c r="BD746" s="38"/>
      <c r="BE746" s="38"/>
      <c r="BF746" s="38"/>
      <c r="BG746" s="38"/>
      <c r="BH746" s="38"/>
      <c r="BI746" s="38"/>
      <c r="BJ746" s="38"/>
      <c r="BK746" s="38"/>
    </row>
    <row r="747">
      <c r="L747" s="76"/>
      <c r="R747" s="76"/>
      <c r="X747" s="76"/>
      <c r="AD747" s="76"/>
      <c r="AJ747" s="76"/>
      <c r="AP747" s="76"/>
      <c r="AV747" s="76"/>
      <c r="BB747" s="76"/>
      <c r="BC747" s="38"/>
      <c r="BD747" s="38"/>
      <c r="BE747" s="38"/>
      <c r="BF747" s="38"/>
      <c r="BG747" s="38"/>
      <c r="BH747" s="38"/>
      <c r="BI747" s="38"/>
      <c r="BJ747" s="38"/>
      <c r="BK747" s="38"/>
    </row>
    <row r="748">
      <c r="L748" s="76"/>
      <c r="R748" s="76"/>
      <c r="X748" s="76"/>
      <c r="AD748" s="76"/>
      <c r="AJ748" s="76"/>
      <c r="AP748" s="76"/>
      <c r="AV748" s="76"/>
      <c r="BB748" s="76"/>
      <c r="BC748" s="38"/>
      <c r="BD748" s="38"/>
      <c r="BE748" s="38"/>
      <c r="BF748" s="38"/>
      <c r="BG748" s="38"/>
      <c r="BH748" s="38"/>
      <c r="BI748" s="38"/>
      <c r="BJ748" s="38"/>
      <c r="BK748" s="38"/>
    </row>
    <row r="749">
      <c r="L749" s="76"/>
      <c r="R749" s="76"/>
      <c r="X749" s="76"/>
      <c r="AD749" s="76"/>
      <c r="AJ749" s="76"/>
      <c r="AP749" s="76"/>
      <c r="AV749" s="76"/>
      <c r="BB749" s="76"/>
      <c r="BC749" s="38"/>
      <c r="BD749" s="38"/>
      <c r="BE749" s="38"/>
      <c r="BF749" s="38"/>
      <c r="BG749" s="38"/>
      <c r="BH749" s="38"/>
      <c r="BI749" s="38"/>
      <c r="BJ749" s="38"/>
      <c r="BK749" s="38"/>
    </row>
    <row r="750">
      <c r="L750" s="76"/>
      <c r="R750" s="76"/>
      <c r="X750" s="76"/>
      <c r="AD750" s="76"/>
      <c r="AJ750" s="76"/>
      <c r="AP750" s="76"/>
      <c r="AV750" s="76"/>
      <c r="BB750" s="76"/>
      <c r="BC750" s="38"/>
      <c r="BD750" s="38"/>
      <c r="BE750" s="38"/>
      <c r="BF750" s="38"/>
      <c r="BG750" s="38"/>
      <c r="BH750" s="38"/>
      <c r="BI750" s="38"/>
      <c r="BJ750" s="38"/>
      <c r="BK750" s="38"/>
    </row>
    <row r="751">
      <c r="L751" s="76"/>
      <c r="R751" s="76"/>
      <c r="X751" s="76"/>
      <c r="AD751" s="76"/>
      <c r="AJ751" s="76"/>
      <c r="AP751" s="76"/>
      <c r="AV751" s="76"/>
      <c r="BB751" s="76"/>
      <c r="BC751" s="38"/>
      <c r="BD751" s="38"/>
      <c r="BE751" s="38"/>
      <c r="BF751" s="38"/>
      <c r="BG751" s="38"/>
      <c r="BH751" s="38"/>
      <c r="BI751" s="38"/>
      <c r="BJ751" s="38"/>
      <c r="BK751" s="38"/>
    </row>
    <row r="752">
      <c r="L752" s="76"/>
      <c r="R752" s="76"/>
      <c r="X752" s="76"/>
      <c r="AD752" s="76"/>
      <c r="AJ752" s="76"/>
      <c r="AP752" s="76"/>
      <c r="AV752" s="76"/>
      <c r="BB752" s="76"/>
      <c r="BC752" s="38"/>
      <c r="BD752" s="38"/>
      <c r="BE752" s="38"/>
      <c r="BF752" s="38"/>
      <c r="BG752" s="38"/>
      <c r="BH752" s="38"/>
      <c r="BI752" s="38"/>
      <c r="BJ752" s="38"/>
      <c r="BK752" s="38"/>
    </row>
    <row r="753">
      <c r="L753" s="76"/>
      <c r="R753" s="76"/>
      <c r="X753" s="76"/>
      <c r="AD753" s="76"/>
      <c r="AJ753" s="76"/>
      <c r="AP753" s="76"/>
      <c r="AV753" s="76"/>
      <c r="BB753" s="76"/>
      <c r="BC753" s="38"/>
      <c r="BD753" s="38"/>
      <c r="BE753" s="38"/>
      <c r="BF753" s="38"/>
      <c r="BG753" s="38"/>
      <c r="BH753" s="38"/>
      <c r="BI753" s="38"/>
      <c r="BJ753" s="38"/>
      <c r="BK753" s="38"/>
    </row>
    <row r="754">
      <c r="L754" s="76"/>
      <c r="R754" s="76"/>
      <c r="X754" s="76"/>
      <c r="AD754" s="76"/>
      <c r="AJ754" s="76"/>
      <c r="AP754" s="76"/>
      <c r="AV754" s="76"/>
      <c r="BB754" s="76"/>
      <c r="BC754" s="38"/>
      <c r="BD754" s="38"/>
      <c r="BE754" s="38"/>
      <c r="BF754" s="38"/>
      <c r="BG754" s="38"/>
      <c r="BH754" s="38"/>
      <c r="BI754" s="38"/>
      <c r="BJ754" s="38"/>
      <c r="BK754" s="38"/>
    </row>
    <row r="755">
      <c r="L755" s="76"/>
      <c r="R755" s="76"/>
      <c r="X755" s="76"/>
      <c r="AD755" s="76"/>
      <c r="AJ755" s="76"/>
      <c r="AP755" s="76"/>
      <c r="AV755" s="76"/>
      <c r="BB755" s="76"/>
      <c r="BC755" s="38"/>
      <c r="BD755" s="38"/>
      <c r="BE755" s="38"/>
      <c r="BF755" s="38"/>
      <c r="BG755" s="38"/>
      <c r="BH755" s="38"/>
      <c r="BI755" s="38"/>
      <c r="BJ755" s="38"/>
      <c r="BK755" s="38"/>
    </row>
    <row r="756">
      <c r="L756" s="76"/>
      <c r="R756" s="76"/>
      <c r="X756" s="76"/>
      <c r="AD756" s="76"/>
      <c r="AJ756" s="76"/>
      <c r="AP756" s="76"/>
      <c r="AV756" s="76"/>
      <c r="BB756" s="76"/>
      <c r="BC756" s="38"/>
      <c r="BD756" s="38"/>
      <c r="BE756" s="38"/>
      <c r="BF756" s="38"/>
      <c r="BG756" s="38"/>
      <c r="BH756" s="38"/>
      <c r="BI756" s="38"/>
      <c r="BJ756" s="38"/>
      <c r="BK756" s="38"/>
    </row>
    <row r="757">
      <c r="L757" s="76"/>
      <c r="R757" s="76"/>
      <c r="X757" s="76"/>
      <c r="AD757" s="76"/>
      <c r="AJ757" s="76"/>
      <c r="AP757" s="76"/>
      <c r="AV757" s="76"/>
      <c r="BB757" s="76"/>
      <c r="BC757" s="38"/>
      <c r="BD757" s="38"/>
      <c r="BE757" s="38"/>
      <c r="BF757" s="38"/>
      <c r="BG757" s="38"/>
      <c r="BH757" s="38"/>
      <c r="BI757" s="38"/>
      <c r="BJ757" s="38"/>
      <c r="BK757" s="38"/>
    </row>
    <row r="758">
      <c r="L758" s="76"/>
      <c r="R758" s="76"/>
      <c r="X758" s="76"/>
      <c r="AD758" s="76"/>
      <c r="AJ758" s="76"/>
      <c r="AP758" s="76"/>
      <c r="AV758" s="76"/>
      <c r="BB758" s="76"/>
      <c r="BC758" s="38"/>
      <c r="BD758" s="38"/>
      <c r="BE758" s="38"/>
      <c r="BF758" s="38"/>
      <c r="BG758" s="38"/>
      <c r="BH758" s="38"/>
      <c r="BI758" s="38"/>
      <c r="BJ758" s="38"/>
      <c r="BK758" s="38"/>
    </row>
    <row r="759">
      <c r="L759" s="76"/>
      <c r="R759" s="76"/>
      <c r="X759" s="76"/>
      <c r="AD759" s="76"/>
      <c r="AJ759" s="76"/>
      <c r="AP759" s="76"/>
      <c r="AV759" s="76"/>
      <c r="BB759" s="76"/>
      <c r="BC759" s="38"/>
      <c r="BD759" s="38"/>
      <c r="BE759" s="38"/>
      <c r="BF759" s="38"/>
      <c r="BG759" s="38"/>
      <c r="BH759" s="38"/>
      <c r="BI759" s="38"/>
      <c r="BJ759" s="38"/>
      <c r="BK759" s="38"/>
    </row>
    <row r="760">
      <c r="L760" s="76"/>
      <c r="R760" s="76"/>
      <c r="X760" s="76"/>
      <c r="AD760" s="76"/>
      <c r="AJ760" s="76"/>
      <c r="AP760" s="76"/>
      <c r="AV760" s="76"/>
      <c r="BB760" s="76"/>
      <c r="BC760" s="38"/>
      <c r="BD760" s="38"/>
      <c r="BE760" s="38"/>
      <c r="BF760" s="38"/>
      <c r="BG760" s="38"/>
      <c r="BH760" s="38"/>
      <c r="BI760" s="38"/>
      <c r="BJ760" s="38"/>
      <c r="BK760" s="38"/>
    </row>
    <row r="761">
      <c r="L761" s="76"/>
      <c r="R761" s="76"/>
      <c r="X761" s="76"/>
      <c r="AD761" s="76"/>
      <c r="AJ761" s="76"/>
      <c r="AP761" s="76"/>
      <c r="AV761" s="76"/>
      <c r="BB761" s="76"/>
      <c r="BC761" s="38"/>
      <c r="BD761" s="38"/>
      <c r="BE761" s="38"/>
      <c r="BF761" s="38"/>
      <c r="BG761" s="38"/>
      <c r="BH761" s="38"/>
      <c r="BI761" s="38"/>
      <c r="BJ761" s="38"/>
      <c r="BK761" s="38"/>
    </row>
    <row r="762">
      <c r="L762" s="76"/>
      <c r="R762" s="76"/>
      <c r="X762" s="76"/>
      <c r="AD762" s="76"/>
      <c r="AJ762" s="76"/>
      <c r="AP762" s="76"/>
      <c r="AV762" s="76"/>
      <c r="BB762" s="76"/>
      <c r="BC762" s="38"/>
      <c r="BD762" s="38"/>
      <c r="BE762" s="38"/>
      <c r="BF762" s="38"/>
      <c r="BG762" s="38"/>
      <c r="BH762" s="38"/>
      <c r="BI762" s="38"/>
      <c r="BJ762" s="38"/>
      <c r="BK762" s="38"/>
    </row>
    <row r="763">
      <c r="L763" s="76"/>
      <c r="R763" s="76"/>
      <c r="X763" s="76"/>
      <c r="AD763" s="76"/>
      <c r="AJ763" s="76"/>
      <c r="AP763" s="76"/>
      <c r="AV763" s="76"/>
      <c r="BB763" s="76"/>
      <c r="BC763" s="38"/>
      <c r="BD763" s="38"/>
      <c r="BE763" s="38"/>
      <c r="BF763" s="38"/>
      <c r="BG763" s="38"/>
      <c r="BH763" s="38"/>
      <c r="BI763" s="38"/>
      <c r="BJ763" s="38"/>
      <c r="BK763" s="38"/>
    </row>
    <row r="764">
      <c r="L764" s="76"/>
      <c r="R764" s="76"/>
      <c r="X764" s="76"/>
      <c r="AD764" s="76"/>
      <c r="AJ764" s="76"/>
      <c r="AP764" s="76"/>
      <c r="AV764" s="76"/>
      <c r="BB764" s="76"/>
      <c r="BC764" s="38"/>
      <c r="BD764" s="38"/>
      <c r="BE764" s="38"/>
      <c r="BF764" s="38"/>
      <c r="BG764" s="38"/>
      <c r="BH764" s="38"/>
      <c r="BI764" s="38"/>
      <c r="BJ764" s="38"/>
      <c r="BK764" s="38"/>
    </row>
    <row r="765">
      <c r="L765" s="76"/>
      <c r="R765" s="76"/>
      <c r="X765" s="76"/>
      <c r="AD765" s="76"/>
      <c r="AJ765" s="76"/>
      <c r="AP765" s="76"/>
      <c r="AV765" s="76"/>
      <c r="BB765" s="76"/>
      <c r="BC765" s="38"/>
      <c r="BD765" s="38"/>
      <c r="BE765" s="38"/>
      <c r="BF765" s="38"/>
      <c r="BG765" s="38"/>
      <c r="BH765" s="38"/>
      <c r="BI765" s="38"/>
      <c r="BJ765" s="38"/>
      <c r="BK765" s="38"/>
    </row>
    <row r="766">
      <c r="L766" s="76"/>
      <c r="R766" s="76"/>
      <c r="X766" s="76"/>
      <c r="AD766" s="76"/>
      <c r="AJ766" s="76"/>
      <c r="AP766" s="76"/>
      <c r="AV766" s="76"/>
      <c r="BB766" s="76"/>
      <c r="BC766" s="38"/>
      <c r="BD766" s="38"/>
      <c r="BE766" s="38"/>
      <c r="BF766" s="38"/>
      <c r="BG766" s="38"/>
      <c r="BH766" s="38"/>
      <c r="BI766" s="38"/>
      <c r="BJ766" s="38"/>
      <c r="BK766" s="38"/>
    </row>
    <row r="767">
      <c r="L767" s="76"/>
      <c r="R767" s="76"/>
      <c r="X767" s="76"/>
      <c r="AD767" s="76"/>
      <c r="AJ767" s="76"/>
      <c r="AP767" s="76"/>
      <c r="AV767" s="76"/>
      <c r="BB767" s="76"/>
      <c r="BC767" s="38"/>
      <c r="BD767" s="38"/>
      <c r="BE767" s="38"/>
      <c r="BF767" s="38"/>
      <c r="BG767" s="38"/>
      <c r="BH767" s="38"/>
      <c r="BI767" s="38"/>
      <c r="BJ767" s="38"/>
      <c r="BK767" s="38"/>
    </row>
    <row r="768">
      <c r="L768" s="76"/>
      <c r="R768" s="76"/>
      <c r="X768" s="76"/>
      <c r="AD768" s="76"/>
      <c r="AJ768" s="76"/>
      <c r="AP768" s="76"/>
      <c r="AV768" s="76"/>
      <c r="BB768" s="76"/>
      <c r="BC768" s="38"/>
      <c r="BD768" s="38"/>
      <c r="BE768" s="38"/>
      <c r="BF768" s="38"/>
      <c r="BG768" s="38"/>
      <c r="BH768" s="38"/>
      <c r="BI768" s="38"/>
      <c r="BJ768" s="38"/>
      <c r="BK768" s="38"/>
    </row>
    <row r="769">
      <c r="L769" s="76"/>
      <c r="R769" s="76"/>
      <c r="X769" s="76"/>
      <c r="AD769" s="76"/>
      <c r="AJ769" s="76"/>
      <c r="AP769" s="76"/>
      <c r="AV769" s="76"/>
      <c r="BB769" s="76"/>
      <c r="BC769" s="38"/>
      <c r="BD769" s="38"/>
      <c r="BE769" s="38"/>
      <c r="BF769" s="38"/>
      <c r="BG769" s="38"/>
      <c r="BH769" s="38"/>
      <c r="BI769" s="38"/>
      <c r="BJ769" s="38"/>
      <c r="BK769" s="38"/>
    </row>
    <row r="770">
      <c r="L770" s="76"/>
      <c r="R770" s="76"/>
      <c r="X770" s="76"/>
      <c r="AD770" s="76"/>
      <c r="AJ770" s="76"/>
      <c r="AP770" s="76"/>
      <c r="AV770" s="76"/>
      <c r="BB770" s="76"/>
      <c r="BC770" s="38"/>
      <c r="BD770" s="38"/>
      <c r="BE770" s="38"/>
      <c r="BF770" s="38"/>
      <c r="BG770" s="38"/>
      <c r="BH770" s="38"/>
      <c r="BI770" s="38"/>
      <c r="BJ770" s="38"/>
      <c r="BK770" s="38"/>
    </row>
    <row r="771">
      <c r="L771" s="76"/>
      <c r="R771" s="76"/>
      <c r="X771" s="76"/>
      <c r="AD771" s="76"/>
      <c r="AJ771" s="76"/>
      <c r="AP771" s="76"/>
      <c r="AV771" s="76"/>
      <c r="BB771" s="76"/>
      <c r="BC771" s="38"/>
      <c r="BD771" s="38"/>
      <c r="BE771" s="38"/>
      <c r="BF771" s="38"/>
      <c r="BG771" s="38"/>
      <c r="BH771" s="38"/>
      <c r="BI771" s="38"/>
      <c r="BJ771" s="38"/>
      <c r="BK771" s="38"/>
    </row>
    <row r="772">
      <c r="L772" s="76"/>
      <c r="R772" s="76"/>
      <c r="X772" s="76"/>
      <c r="AD772" s="76"/>
      <c r="AJ772" s="76"/>
      <c r="AP772" s="76"/>
      <c r="AV772" s="76"/>
      <c r="BB772" s="76"/>
      <c r="BC772" s="38"/>
      <c r="BD772" s="38"/>
      <c r="BE772" s="38"/>
      <c r="BF772" s="38"/>
      <c r="BG772" s="38"/>
      <c r="BH772" s="38"/>
      <c r="BI772" s="38"/>
      <c r="BJ772" s="38"/>
      <c r="BK772" s="38"/>
    </row>
    <row r="773">
      <c r="L773" s="76"/>
      <c r="R773" s="76"/>
      <c r="X773" s="76"/>
      <c r="AD773" s="76"/>
      <c r="AJ773" s="76"/>
      <c r="AP773" s="76"/>
      <c r="AV773" s="76"/>
      <c r="BB773" s="76"/>
      <c r="BC773" s="38"/>
      <c r="BD773" s="38"/>
      <c r="BE773" s="38"/>
      <c r="BF773" s="38"/>
      <c r="BG773" s="38"/>
      <c r="BH773" s="38"/>
      <c r="BI773" s="38"/>
      <c r="BJ773" s="38"/>
      <c r="BK773" s="38"/>
    </row>
    <row r="774">
      <c r="L774" s="76"/>
      <c r="R774" s="76"/>
      <c r="X774" s="76"/>
      <c r="AD774" s="76"/>
      <c r="AJ774" s="76"/>
      <c r="AP774" s="76"/>
      <c r="AV774" s="76"/>
      <c r="BB774" s="76"/>
      <c r="BC774" s="38"/>
      <c r="BD774" s="38"/>
      <c r="BE774" s="38"/>
      <c r="BF774" s="38"/>
      <c r="BG774" s="38"/>
      <c r="BH774" s="38"/>
      <c r="BI774" s="38"/>
      <c r="BJ774" s="38"/>
      <c r="BK774" s="38"/>
    </row>
    <row r="775">
      <c r="L775" s="76"/>
      <c r="R775" s="76"/>
      <c r="X775" s="76"/>
      <c r="AD775" s="76"/>
      <c r="AJ775" s="76"/>
      <c r="AP775" s="76"/>
      <c r="AV775" s="76"/>
      <c r="BB775" s="76"/>
      <c r="BC775" s="38"/>
      <c r="BD775" s="38"/>
      <c r="BE775" s="38"/>
      <c r="BF775" s="38"/>
      <c r="BG775" s="38"/>
      <c r="BH775" s="38"/>
      <c r="BI775" s="38"/>
      <c r="BJ775" s="38"/>
      <c r="BK775" s="38"/>
    </row>
    <row r="776">
      <c r="L776" s="76"/>
      <c r="R776" s="76"/>
      <c r="X776" s="76"/>
      <c r="AD776" s="76"/>
      <c r="AJ776" s="76"/>
      <c r="AP776" s="76"/>
      <c r="AV776" s="76"/>
      <c r="BB776" s="76"/>
      <c r="BC776" s="38"/>
      <c r="BD776" s="38"/>
      <c r="BE776" s="38"/>
      <c r="BF776" s="38"/>
      <c r="BG776" s="38"/>
      <c r="BH776" s="38"/>
      <c r="BI776" s="38"/>
      <c r="BJ776" s="38"/>
      <c r="BK776" s="38"/>
    </row>
    <row r="777">
      <c r="L777" s="76"/>
      <c r="R777" s="76"/>
      <c r="X777" s="76"/>
      <c r="AD777" s="76"/>
      <c r="AJ777" s="76"/>
      <c r="AP777" s="76"/>
      <c r="AV777" s="76"/>
      <c r="BB777" s="76"/>
      <c r="BC777" s="38"/>
      <c r="BD777" s="38"/>
      <c r="BE777" s="38"/>
      <c r="BF777" s="38"/>
      <c r="BG777" s="38"/>
      <c r="BH777" s="38"/>
      <c r="BI777" s="38"/>
      <c r="BJ777" s="38"/>
      <c r="BK777" s="38"/>
    </row>
    <row r="778">
      <c r="L778" s="76"/>
      <c r="R778" s="76"/>
      <c r="X778" s="76"/>
      <c r="AD778" s="76"/>
      <c r="AJ778" s="76"/>
      <c r="AP778" s="76"/>
      <c r="AV778" s="76"/>
      <c r="BB778" s="76"/>
      <c r="BC778" s="38"/>
      <c r="BD778" s="38"/>
      <c r="BE778" s="38"/>
      <c r="BF778" s="38"/>
      <c r="BG778" s="38"/>
      <c r="BH778" s="38"/>
      <c r="BI778" s="38"/>
      <c r="BJ778" s="38"/>
      <c r="BK778" s="38"/>
    </row>
    <row r="779">
      <c r="L779" s="76"/>
      <c r="R779" s="76"/>
      <c r="X779" s="76"/>
      <c r="AD779" s="76"/>
      <c r="AJ779" s="76"/>
      <c r="AP779" s="76"/>
      <c r="AV779" s="76"/>
      <c r="BB779" s="76"/>
      <c r="BC779" s="38"/>
      <c r="BD779" s="38"/>
      <c r="BE779" s="38"/>
      <c r="BF779" s="38"/>
      <c r="BG779" s="38"/>
      <c r="BH779" s="38"/>
      <c r="BI779" s="38"/>
      <c r="BJ779" s="38"/>
      <c r="BK779" s="38"/>
    </row>
    <row r="780">
      <c r="L780" s="76"/>
      <c r="R780" s="76"/>
      <c r="X780" s="76"/>
      <c r="AD780" s="76"/>
      <c r="AJ780" s="76"/>
      <c r="AP780" s="76"/>
      <c r="AV780" s="76"/>
      <c r="BB780" s="76"/>
      <c r="BC780" s="38"/>
      <c r="BD780" s="38"/>
      <c r="BE780" s="38"/>
      <c r="BF780" s="38"/>
      <c r="BG780" s="38"/>
      <c r="BH780" s="38"/>
      <c r="BI780" s="38"/>
      <c r="BJ780" s="38"/>
      <c r="BK780" s="38"/>
    </row>
    <row r="781">
      <c r="L781" s="76"/>
      <c r="R781" s="76"/>
      <c r="X781" s="76"/>
      <c r="AD781" s="76"/>
      <c r="AJ781" s="76"/>
      <c r="AP781" s="76"/>
      <c r="AV781" s="76"/>
      <c r="BB781" s="76"/>
      <c r="BC781" s="38"/>
      <c r="BD781" s="38"/>
      <c r="BE781" s="38"/>
      <c r="BF781" s="38"/>
      <c r="BG781" s="38"/>
      <c r="BH781" s="38"/>
      <c r="BI781" s="38"/>
      <c r="BJ781" s="38"/>
      <c r="BK781" s="38"/>
    </row>
    <row r="782">
      <c r="L782" s="76"/>
      <c r="R782" s="76"/>
      <c r="X782" s="76"/>
      <c r="AD782" s="76"/>
      <c r="AJ782" s="76"/>
      <c r="AP782" s="76"/>
      <c r="AV782" s="76"/>
      <c r="BB782" s="76"/>
      <c r="BC782" s="38"/>
      <c r="BD782" s="38"/>
      <c r="BE782" s="38"/>
      <c r="BF782" s="38"/>
      <c r="BG782" s="38"/>
      <c r="BH782" s="38"/>
      <c r="BI782" s="38"/>
      <c r="BJ782" s="38"/>
      <c r="BK782" s="38"/>
    </row>
    <row r="783">
      <c r="L783" s="76"/>
      <c r="R783" s="76"/>
      <c r="X783" s="76"/>
      <c r="AD783" s="76"/>
      <c r="AJ783" s="76"/>
      <c r="AP783" s="76"/>
      <c r="AV783" s="76"/>
      <c r="BB783" s="76"/>
      <c r="BC783" s="38"/>
      <c r="BD783" s="38"/>
      <c r="BE783" s="38"/>
      <c r="BF783" s="38"/>
      <c r="BG783" s="38"/>
      <c r="BH783" s="38"/>
      <c r="BI783" s="38"/>
      <c r="BJ783" s="38"/>
      <c r="BK783" s="38"/>
    </row>
    <row r="784">
      <c r="L784" s="76"/>
      <c r="R784" s="76"/>
      <c r="X784" s="76"/>
      <c r="AD784" s="76"/>
      <c r="AJ784" s="76"/>
      <c r="AP784" s="76"/>
      <c r="AV784" s="76"/>
      <c r="BB784" s="76"/>
      <c r="BC784" s="38"/>
      <c r="BD784" s="38"/>
      <c r="BE784" s="38"/>
      <c r="BF784" s="38"/>
      <c r="BG784" s="38"/>
      <c r="BH784" s="38"/>
      <c r="BI784" s="38"/>
      <c r="BJ784" s="38"/>
      <c r="BK784" s="38"/>
    </row>
    <row r="785">
      <c r="L785" s="76"/>
      <c r="R785" s="76"/>
      <c r="X785" s="76"/>
      <c r="AD785" s="76"/>
      <c r="AJ785" s="76"/>
      <c r="AP785" s="76"/>
      <c r="AV785" s="76"/>
      <c r="BB785" s="76"/>
      <c r="BC785" s="38"/>
      <c r="BD785" s="38"/>
      <c r="BE785" s="38"/>
      <c r="BF785" s="38"/>
      <c r="BG785" s="38"/>
      <c r="BH785" s="38"/>
      <c r="BI785" s="38"/>
      <c r="BJ785" s="38"/>
      <c r="BK785" s="38"/>
    </row>
    <row r="786">
      <c r="L786" s="76"/>
      <c r="R786" s="76"/>
      <c r="X786" s="76"/>
      <c r="AD786" s="76"/>
      <c r="AJ786" s="76"/>
      <c r="AP786" s="76"/>
      <c r="AV786" s="76"/>
      <c r="BB786" s="76"/>
      <c r="BC786" s="38"/>
      <c r="BD786" s="38"/>
      <c r="BE786" s="38"/>
      <c r="BF786" s="38"/>
      <c r="BG786" s="38"/>
      <c r="BH786" s="38"/>
      <c r="BI786" s="38"/>
      <c r="BJ786" s="38"/>
      <c r="BK786" s="38"/>
    </row>
    <row r="787">
      <c r="L787" s="76"/>
      <c r="R787" s="76"/>
      <c r="X787" s="76"/>
      <c r="AD787" s="76"/>
      <c r="AJ787" s="76"/>
      <c r="AP787" s="76"/>
      <c r="AV787" s="76"/>
      <c r="BB787" s="76"/>
      <c r="BC787" s="38"/>
      <c r="BD787" s="38"/>
      <c r="BE787" s="38"/>
      <c r="BF787" s="38"/>
      <c r="BG787" s="38"/>
      <c r="BH787" s="38"/>
      <c r="BI787" s="38"/>
      <c r="BJ787" s="38"/>
      <c r="BK787" s="38"/>
    </row>
    <row r="788">
      <c r="L788" s="76"/>
      <c r="R788" s="76"/>
      <c r="X788" s="76"/>
      <c r="AD788" s="76"/>
      <c r="AJ788" s="76"/>
      <c r="AP788" s="76"/>
      <c r="AV788" s="76"/>
      <c r="BB788" s="76"/>
      <c r="BC788" s="38"/>
      <c r="BD788" s="38"/>
      <c r="BE788" s="38"/>
      <c r="BF788" s="38"/>
      <c r="BG788" s="38"/>
      <c r="BH788" s="38"/>
      <c r="BI788" s="38"/>
      <c r="BJ788" s="38"/>
      <c r="BK788" s="38"/>
    </row>
    <row r="789">
      <c r="L789" s="76"/>
      <c r="R789" s="76"/>
      <c r="X789" s="76"/>
      <c r="AD789" s="76"/>
      <c r="AJ789" s="76"/>
      <c r="AP789" s="76"/>
      <c r="AV789" s="76"/>
      <c r="BB789" s="76"/>
      <c r="BC789" s="38"/>
      <c r="BD789" s="38"/>
      <c r="BE789" s="38"/>
      <c r="BF789" s="38"/>
      <c r="BG789" s="38"/>
      <c r="BH789" s="38"/>
      <c r="BI789" s="38"/>
      <c r="BJ789" s="38"/>
      <c r="BK789" s="38"/>
    </row>
    <row r="790">
      <c r="L790" s="76"/>
      <c r="R790" s="76"/>
      <c r="X790" s="76"/>
      <c r="AD790" s="76"/>
      <c r="AJ790" s="76"/>
      <c r="AP790" s="76"/>
      <c r="AV790" s="76"/>
      <c r="BB790" s="76"/>
      <c r="BC790" s="38"/>
      <c r="BD790" s="38"/>
      <c r="BE790" s="38"/>
      <c r="BF790" s="38"/>
      <c r="BG790" s="38"/>
      <c r="BH790" s="38"/>
      <c r="BI790" s="38"/>
      <c r="BJ790" s="38"/>
      <c r="BK790" s="38"/>
    </row>
    <row r="791">
      <c r="L791" s="76"/>
      <c r="R791" s="76"/>
      <c r="X791" s="76"/>
      <c r="AD791" s="76"/>
      <c r="AJ791" s="76"/>
      <c r="AP791" s="76"/>
      <c r="AV791" s="76"/>
      <c r="BB791" s="76"/>
      <c r="BC791" s="38"/>
      <c r="BD791" s="38"/>
      <c r="BE791" s="38"/>
      <c r="BF791" s="38"/>
      <c r="BG791" s="38"/>
      <c r="BH791" s="38"/>
      <c r="BI791" s="38"/>
      <c r="BJ791" s="38"/>
      <c r="BK791" s="38"/>
    </row>
    <row r="792">
      <c r="L792" s="76"/>
      <c r="R792" s="76"/>
      <c r="X792" s="76"/>
      <c r="AD792" s="76"/>
      <c r="AJ792" s="76"/>
      <c r="AP792" s="76"/>
      <c r="AV792" s="76"/>
      <c r="BB792" s="76"/>
      <c r="BC792" s="38"/>
      <c r="BD792" s="38"/>
      <c r="BE792" s="38"/>
      <c r="BF792" s="38"/>
      <c r="BG792" s="38"/>
      <c r="BH792" s="38"/>
      <c r="BI792" s="38"/>
      <c r="BJ792" s="38"/>
      <c r="BK792" s="38"/>
    </row>
    <row r="793">
      <c r="L793" s="76"/>
      <c r="R793" s="76"/>
      <c r="X793" s="76"/>
      <c r="AD793" s="76"/>
      <c r="AJ793" s="76"/>
      <c r="AP793" s="76"/>
      <c r="AV793" s="76"/>
      <c r="BB793" s="76"/>
      <c r="BC793" s="38"/>
      <c r="BD793" s="38"/>
      <c r="BE793" s="38"/>
      <c r="BF793" s="38"/>
      <c r="BG793" s="38"/>
      <c r="BH793" s="38"/>
      <c r="BI793" s="38"/>
      <c r="BJ793" s="38"/>
      <c r="BK793" s="38"/>
    </row>
    <row r="794">
      <c r="L794" s="76"/>
      <c r="R794" s="76"/>
      <c r="X794" s="76"/>
      <c r="AD794" s="76"/>
      <c r="AJ794" s="76"/>
      <c r="AP794" s="76"/>
      <c r="AV794" s="76"/>
      <c r="BB794" s="76"/>
      <c r="BC794" s="38"/>
      <c r="BD794" s="38"/>
      <c r="BE794" s="38"/>
      <c r="BF794" s="38"/>
      <c r="BG794" s="38"/>
      <c r="BH794" s="38"/>
      <c r="BI794" s="38"/>
      <c r="BJ794" s="38"/>
      <c r="BK794" s="38"/>
    </row>
    <row r="795">
      <c r="L795" s="76"/>
      <c r="R795" s="76"/>
      <c r="X795" s="76"/>
      <c r="AD795" s="76"/>
      <c r="AJ795" s="76"/>
      <c r="AP795" s="76"/>
      <c r="AV795" s="76"/>
      <c r="BB795" s="76"/>
      <c r="BC795" s="38"/>
      <c r="BD795" s="38"/>
      <c r="BE795" s="38"/>
      <c r="BF795" s="38"/>
      <c r="BG795" s="38"/>
      <c r="BH795" s="38"/>
      <c r="BI795" s="38"/>
      <c r="BJ795" s="38"/>
      <c r="BK795" s="38"/>
    </row>
    <row r="796">
      <c r="L796" s="76"/>
      <c r="R796" s="76"/>
      <c r="X796" s="76"/>
      <c r="AD796" s="76"/>
      <c r="AJ796" s="76"/>
      <c r="AP796" s="76"/>
      <c r="AV796" s="76"/>
      <c r="BB796" s="76"/>
      <c r="BC796" s="38"/>
      <c r="BD796" s="38"/>
      <c r="BE796" s="38"/>
      <c r="BF796" s="38"/>
      <c r="BG796" s="38"/>
      <c r="BH796" s="38"/>
      <c r="BI796" s="38"/>
      <c r="BJ796" s="38"/>
      <c r="BK796" s="38"/>
    </row>
    <row r="797">
      <c r="L797" s="76"/>
      <c r="R797" s="76"/>
      <c r="X797" s="76"/>
      <c r="AD797" s="76"/>
      <c r="AJ797" s="76"/>
      <c r="AP797" s="76"/>
      <c r="AV797" s="76"/>
      <c r="BB797" s="76"/>
      <c r="BC797" s="38"/>
      <c r="BD797" s="38"/>
      <c r="BE797" s="38"/>
      <c r="BF797" s="38"/>
      <c r="BG797" s="38"/>
      <c r="BH797" s="38"/>
      <c r="BI797" s="38"/>
      <c r="BJ797" s="38"/>
      <c r="BK797" s="38"/>
    </row>
    <row r="798">
      <c r="L798" s="76"/>
      <c r="R798" s="76"/>
      <c r="X798" s="76"/>
      <c r="AD798" s="76"/>
      <c r="AJ798" s="76"/>
      <c r="AP798" s="76"/>
      <c r="AV798" s="76"/>
      <c r="BB798" s="76"/>
      <c r="BC798" s="38"/>
      <c r="BD798" s="38"/>
      <c r="BE798" s="38"/>
      <c r="BF798" s="38"/>
      <c r="BG798" s="38"/>
      <c r="BH798" s="38"/>
      <c r="BI798" s="38"/>
      <c r="BJ798" s="38"/>
      <c r="BK798" s="38"/>
    </row>
    <row r="799">
      <c r="L799" s="76"/>
      <c r="R799" s="76"/>
      <c r="X799" s="76"/>
      <c r="AD799" s="76"/>
      <c r="AJ799" s="76"/>
      <c r="AP799" s="76"/>
      <c r="AV799" s="76"/>
      <c r="BB799" s="76"/>
      <c r="BC799" s="38"/>
      <c r="BD799" s="38"/>
      <c r="BE799" s="38"/>
      <c r="BF799" s="38"/>
      <c r="BG799" s="38"/>
      <c r="BH799" s="38"/>
      <c r="BI799" s="38"/>
      <c r="BJ799" s="38"/>
      <c r="BK799" s="38"/>
    </row>
    <row r="800">
      <c r="L800" s="76"/>
      <c r="R800" s="76"/>
      <c r="X800" s="76"/>
      <c r="AD800" s="76"/>
      <c r="AJ800" s="76"/>
      <c r="AP800" s="76"/>
      <c r="AV800" s="76"/>
      <c r="BB800" s="76"/>
      <c r="BC800" s="38"/>
      <c r="BD800" s="38"/>
      <c r="BE800" s="38"/>
      <c r="BF800" s="38"/>
      <c r="BG800" s="38"/>
      <c r="BH800" s="38"/>
      <c r="BI800" s="38"/>
      <c r="BJ800" s="38"/>
      <c r="BK800" s="38"/>
    </row>
    <row r="801">
      <c r="L801" s="76"/>
      <c r="R801" s="76"/>
      <c r="X801" s="76"/>
      <c r="AD801" s="76"/>
      <c r="AJ801" s="76"/>
      <c r="AP801" s="76"/>
      <c r="AV801" s="76"/>
      <c r="BB801" s="76"/>
      <c r="BC801" s="38"/>
      <c r="BD801" s="38"/>
      <c r="BE801" s="38"/>
      <c r="BF801" s="38"/>
      <c r="BG801" s="38"/>
      <c r="BH801" s="38"/>
      <c r="BI801" s="38"/>
      <c r="BJ801" s="38"/>
      <c r="BK801" s="38"/>
    </row>
    <row r="802">
      <c r="L802" s="76"/>
      <c r="R802" s="76"/>
      <c r="X802" s="76"/>
      <c r="AD802" s="76"/>
      <c r="AJ802" s="76"/>
      <c r="AP802" s="76"/>
      <c r="AV802" s="76"/>
      <c r="BB802" s="76"/>
      <c r="BC802" s="38"/>
      <c r="BD802" s="38"/>
      <c r="BE802" s="38"/>
      <c r="BF802" s="38"/>
      <c r="BG802" s="38"/>
      <c r="BH802" s="38"/>
      <c r="BI802" s="38"/>
      <c r="BJ802" s="38"/>
      <c r="BK802" s="38"/>
    </row>
    <row r="803">
      <c r="L803" s="76"/>
      <c r="R803" s="76"/>
      <c r="X803" s="76"/>
      <c r="AD803" s="76"/>
      <c r="AJ803" s="76"/>
      <c r="AP803" s="76"/>
      <c r="AV803" s="76"/>
      <c r="BB803" s="76"/>
      <c r="BC803" s="38"/>
      <c r="BD803" s="38"/>
      <c r="BE803" s="38"/>
      <c r="BF803" s="38"/>
      <c r="BG803" s="38"/>
      <c r="BH803" s="38"/>
      <c r="BI803" s="38"/>
      <c r="BJ803" s="38"/>
      <c r="BK803" s="38"/>
    </row>
    <row r="804">
      <c r="L804" s="76"/>
      <c r="R804" s="76"/>
      <c r="X804" s="76"/>
      <c r="AD804" s="76"/>
      <c r="AJ804" s="76"/>
      <c r="AP804" s="76"/>
      <c r="AV804" s="76"/>
      <c r="BB804" s="76"/>
      <c r="BC804" s="38"/>
      <c r="BD804" s="38"/>
      <c r="BE804" s="38"/>
      <c r="BF804" s="38"/>
      <c r="BG804" s="38"/>
      <c r="BH804" s="38"/>
      <c r="BI804" s="38"/>
      <c r="BJ804" s="38"/>
      <c r="BK804" s="38"/>
    </row>
    <row r="805">
      <c r="L805" s="76"/>
      <c r="R805" s="76"/>
      <c r="X805" s="76"/>
      <c r="AD805" s="76"/>
      <c r="AJ805" s="76"/>
      <c r="AP805" s="76"/>
      <c r="AV805" s="76"/>
      <c r="BB805" s="76"/>
      <c r="BC805" s="38"/>
      <c r="BD805" s="38"/>
      <c r="BE805" s="38"/>
      <c r="BF805" s="38"/>
      <c r="BG805" s="38"/>
      <c r="BH805" s="38"/>
      <c r="BI805" s="38"/>
      <c r="BJ805" s="38"/>
      <c r="BK805" s="38"/>
    </row>
    <row r="806">
      <c r="L806" s="76"/>
      <c r="R806" s="76"/>
      <c r="X806" s="76"/>
      <c r="AD806" s="76"/>
      <c r="AJ806" s="76"/>
      <c r="AP806" s="76"/>
      <c r="AV806" s="76"/>
      <c r="BB806" s="76"/>
      <c r="BC806" s="38"/>
      <c r="BD806" s="38"/>
      <c r="BE806" s="38"/>
      <c r="BF806" s="38"/>
      <c r="BG806" s="38"/>
      <c r="BH806" s="38"/>
      <c r="BI806" s="38"/>
      <c r="BJ806" s="38"/>
      <c r="BK806" s="38"/>
    </row>
    <row r="807">
      <c r="L807" s="76"/>
      <c r="R807" s="76"/>
      <c r="X807" s="76"/>
      <c r="AD807" s="76"/>
      <c r="AJ807" s="76"/>
      <c r="AP807" s="76"/>
      <c r="AV807" s="76"/>
      <c r="BB807" s="76"/>
      <c r="BC807" s="38"/>
      <c r="BD807" s="38"/>
      <c r="BE807" s="38"/>
      <c r="BF807" s="38"/>
      <c r="BG807" s="38"/>
      <c r="BH807" s="38"/>
      <c r="BI807" s="38"/>
      <c r="BJ807" s="38"/>
      <c r="BK807" s="38"/>
    </row>
    <row r="808">
      <c r="L808" s="76"/>
      <c r="R808" s="76"/>
      <c r="X808" s="76"/>
      <c r="AD808" s="76"/>
      <c r="AJ808" s="76"/>
      <c r="AP808" s="76"/>
      <c r="AV808" s="76"/>
      <c r="BB808" s="76"/>
      <c r="BC808" s="38"/>
      <c r="BD808" s="38"/>
      <c r="BE808" s="38"/>
      <c r="BF808" s="38"/>
      <c r="BG808" s="38"/>
      <c r="BH808" s="38"/>
      <c r="BI808" s="38"/>
      <c r="BJ808" s="38"/>
      <c r="BK808" s="38"/>
    </row>
    <row r="809">
      <c r="L809" s="76"/>
      <c r="R809" s="76"/>
      <c r="X809" s="76"/>
      <c r="AD809" s="76"/>
      <c r="AJ809" s="76"/>
      <c r="AP809" s="76"/>
      <c r="AV809" s="76"/>
      <c r="BB809" s="76"/>
      <c r="BC809" s="38"/>
      <c r="BD809" s="38"/>
      <c r="BE809" s="38"/>
      <c r="BF809" s="38"/>
      <c r="BG809" s="38"/>
      <c r="BH809" s="38"/>
      <c r="BI809" s="38"/>
      <c r="BJ809" s="38"/>
      <c r="BK809" s="38"/>
    </row>
    <row r="810">
      <c r="L810" s="76"/>
      <c r="R810" s="76"/>
      <c r="X810" s="76"/>
      <c r="AD810" s="76"/>
      <c r="AJ810" s="76"/>
      <c r="AP810" s="76"/>
      <c r="AV810" s="76"/>
      <c r="BB810" s="76"/>
      <c r="BC810" s="38"/>
      <c r="BD810" s="38"/>
      <c r="BE810" s="38"/>
      <c r="BF810" s="38"/>
      <c r="BG810" s="38"/>
      <c r="BH810" s="38"/>
      <c r="BI810" s="38"/>
      <c r="BJ810" s="38"/>
      <c r="BK810" s="38"/>
    </row>
    <row r="811">
      <c r="L811" s="76"/>
      <c r="R811" s="76"/>
      <c r="X811" s="76"/>
      <c r="AD811" s="76"/>
      <c r="AJ811" s="76"/>
      <c r="AP811" s="76"/>
      <c r="AV811" s="76"/>
      <c r="BB811" s="76"/>
      <c r="BC811" s="38"/>
      <c r="BD811" s="38"/>
      <c r="BE811" s="38"/>
      <c r="BF811" s="38"/>
      <c r="BG811" s="38"/>
      <c r="BH811" s="38"/>
      <c r="BI811" s="38"/>
      <c r="BJ811" s="38"/>
      <c r="BK811" s="38"/>
    </row>
    <row r="812">
      <c r="L812" s="76"/>
      <c r="R812" s="76"/>
      <c r="X812" s="76"/>
      <c r="AD812" s="76"/>
      <c r="AJ812" s="76"/>
      <c r="AP812" s="76"/>
      <c r="AV812" s="76"/>
      <c r="BB812" s="76"/>
      <c r="BC812" s="38"/>
      <c r="BD812" s="38"/>
      <c r="BE812" s="38"/>
      <c r="BF812" s="38"/>
      <c r="BG812" s="38"/>
      <c r="BH812" s="38"/>
      <c r="BI812" s="38"/>
      <c r="BJ812" s="38"/>
      <c r="BK812" s="38"/>
    </row>
    <row r="813">
      <c r="L813" s="76"/>
      <c r="R813" s="76"/>
      <c r="X813" s="76"/>
      <c r="AD813" s="76"/>
      <c r="AJ813" s="76"/>
      <c r="AP813" s="76"/>
      <c r="AV813" s="76"/>
      <c r="BB813" s="76"/>
      <c r="BC813" s="38"/>
      <c r="BD813" s="38"/>
      <c r="BE813" s="38"/>
      <c r="BF813" s="38"/>
      <c r="BG813" s="38"/>
      <c r="BH813" s="38"/>
      <c r="BI813" s="38"/>
      <c r="BJ813" s="38"/>
      <c r="BK813" s="38"/>
    </row>
    <row r="814">
      <c r="L814" s="76"/>
      <c r="R814" s="76"/>
      <c r="X814" s="76"/>
      <c r="AD814" s="76"/>
      <c r="AJ814" s="76"/>
      <c r="AP814" s="76"/>
      <c r="AV814" s="76"/>
      <c r="BB814" s="76"/>
      <c r="BC814" s="38"/>
      <c r="BD814" s="38"/>
      <c r="BE814" s="38"/>
      <c r="BF814" s="38"/>
      <c r="BG814" s="38"/>
      <c r="BH814" s="38"/>
      <c r="BI814" s="38"/>
      <c r="BJ814" s="38"/>
      <c r="BK814" s="38"/>
    </row>
    <row r="815">
      <c r="L815" s="76"/>
      <c r="R815" s="76"/>
      <c r="X815" s="76"/>
      <c r="AD815" s="76"/>
      <c r="AJ815" s="76"/>
      <c r="AP815" s="76"/>
      <c r="AV815" s="76"/>
      <c r="BB815" s="76"/>
      <c r="BC815" s="38"/>
      <c r="BD815" s="38"/>
      <c r="BE815" s="38"/>
      <c r="BF815" s="38"/>
      <c r="BG815" s="38"/>
      <c r="BH815" s="38"/>
      <c r="BI815" s="38"/>
      <c r="BJ815" s="38"/>
      <c r="BK815" s="38"/>
    </row>
    <row r="816">
      <c r="L816" s="76"/>
      <c r="R816" s="76"/>
      <c r="X816" s="76"/>
      <c r="AD816" s="76"/>
      <c r="AJ816" s="76"/>
      <c r="AP816" s="76"/>
      <c r="AV816" s="76"/>
      <c r="BB816" s="76"/>
      <c r="BC816" s="38"/>
      <c r="BD816" s="38"/>
      <c r="BE816" s="38"/>
      <c r="BF816" s="38"/>
      <c r="BG816" s="38"/>
      <c r="BH816" s="38"/>
      <c r="BI816" s="38"/>
      <c r="BJ816" s="38"/>
      <c r="BK816" s="38"/>
    </row>
    <row r="817">
      <c r="L817" s="76"/>
      <c r="R817" s="76"/>
      <c r="X817" s="76"/>
      <c r="AD817" s="76"/>
      <c r="AJ817" s="76"/>
      <c r="AP817" s="76"/>
      <c r="AV817" s="76"/>
      <c r="BB817" s="76"/>
      <c r="BC817" s="38"/>
      <c r="BD817" s="38"/>
      <c r="BE817" s="38"/>
      <c r="BF817" s="38"/>
      <c r="BG817" s="38"/>
      <c r="BH817" s="38"/>
      <c r="BI817" s="38"/>
      <c r="BJ817" s="38"/>
      <c r="BK817" s="38"/>
    </row>
    <row r="818">
      <c r="L818" s="76"/>
      <c r="R818" s="76"/>
      <c r="X818" s="76"/>
      <c r="AD818" s="76"/>
      <c r="AJ818" s="76"/>
      <c r="AP818" s="76"/>
      <c r="AV818" s="76"/>
      <c r="BB818" s="76"/>
      <c r="BC818" s="38"/>
      <c r="BD818" s="38"/>
      <c r="BE818" s="38"/>
      <c r="BF818" s="38"/>
      <c r="BG818" s="38"/>
      <c r="BH818" s="38"/>
      <c r="BI818" s="38"/>
      <c r="BJ818" s="38"/>
      <c r="BK818" s="38"/>
    </row>
    <row r="819">
      <c r="L819" s="76"/>
      <c r="R819" s="76"/>
      <c r="X819" s="76"/>
      <c r="AD819" s="76"/>
      <c r="AJ819" s="76"/>
      <c r="AP819" s="76"/>
      <c r="AV819" s="76"/>
      <c r="BB819" s="76"/>
      <c r="BC819" s="38"/>
      <c r="BD819" s="38"/>
      <c r="BE819" s="38"/>
      <c r="BF819" s="38"/>
      <c r="BG819" s="38"/>
      <c r="BH819" s="38"/>
      <c r="BI819" s="38"/>
      <c r="BJ819" s="38"/>
      <c r="BK819" s="38"/>
    </row>
    <row r="820">
      <c r="L820" s="76"/>
      <c r="R820" s="76"/>
      <c r="X820" s="76"/>
      <c r="AD820" s="76"/>
      <c r="AJ820" s="76"/>
      <c r="AP820" s="76"/>
      <c r="AV820" s="76"/>
      <c r="BB820" s="76"/>
      <c r="BC820" s="38"/>
      <c r="BD820" s="38"/>
      <c r="BE820" s="38"/>
      <c r="BF820" s="38"/>
      <c r="BG820" s="38"/>
      <c r="BH820" s="38"/>
      <c r="BI820" s="38"/>
      <c r="BJ820" s="38"/>
      <c r="BK820" s="38"/>
    </row>
    <row r="821">
      <c r="L821" s="76"/>
      <c r="R821" s="76"/>
      <c r="X821" s="76"/>
      <c r="AD821" s="76"/>
      <c r="AJ821" s="76"/>
      <c r="AP821" s="76"/>
      <c r="AV821" s="76"/>
      <c r="BB821" s="76"/>
      <c r="BC821" s="38"/>
      <c r="BD821" s="38"/>
      <c r="BE821" s="38"/>
      <c r="BF821" s="38"/>
      <c r="BG821" s="38"/>
      <c r="BH821" s="38"/>
      <c r="BI821" s="38"/>
      <c r="BJ821" s="38"/>
      <c r="BK821" s="38"/>
    </row>
    <row r="822">
      <c r="L822" s="76"/>
      <c r="R822" s="76"/>
      <c r="X822" s="76"/>
      <c r="AD822" s="76"/>
      <c r="AJ822" s="76"/>
      <c r="AP822" s="76"/>
      <c r="AV822" s="76"/>
      <c r="BB822" s="76"/>
      <c r="BC822" s="38"/>
      <c r="BD822" s="38"/>
      <c r="BE822" s="38"/>
      <c r="BF822" s="38"/>
      <c r="BG822" s="38"/>
      <c r="BH822" s="38"/>
      <c r="BI822" s="38"/>
      <c r="BJ822" s="38"/>
      <c r="BK822" s="38"/>
    </row>
    <row r="823">
      <c r="L823" s="76"/>
      <c r="R823" s="76"/>
      <c r="X823" s="76"/>
      <c r="AD823" s="76"/>
      <c r="AJ823" s="76"/>
      <c r="AP823" s="76"/>
      <c r="AV823" s="76"/>
      <c r="BB823" s="76"/>
      <c r="BC823" s="38"/>
      <c r="BD823" s="38"/>
      <c r="BE823" s="38"/>
      <c r="BF823" s="38"/>
      <c r="BG823" s="38"/>
      <c r="BH823" s="38"/>
      <c r="BI823" s="38"/>
      <c r="BJ823" s="38"/>
      <c r="BK823" s="38"/>
    </row>
    <row r="824">
      <c r="L824" s="76"/>
      <c r="R824" s="76"/>
      <c r="X824" s="76"/>
      <c r="AD824" s="76"/>
      <c r="AJ824" s="76"/>
      <c r="AP824" s="76"/>
      <c r="AV824" s="76"/>
      <c r="BB824" s="76"/>
      <c r="BC824" s="38"/>
      <c r="BD824" s="38"/>
      <c r="BE824" s="38"/>
      <c r="BF824" s="38"/>
      <c r="BG824" s="38"/>
      <c r="BH824" s="38"/>
      <c r="BI824" s="38"/>
      <c r="BJ824" s="38"/>
      <c r="BK824" s="38"/>
    </row>
    <row r="825">
      <c r="L825" s="76"/>
      <c r="R825" s="76"/>
      <c r="X825" s="76"/>
      <c r="AD825" s="76"/>
      <c r="AJ825" s="76"/>
      <c r="AP825" s="76"/>
      <c r="AV825" s="76"/>
      <c r="BB825" s="76"/>
      <c r="BC825" s="38"/>
      <c r="BD825" s="38"/>
      <c r="BE825" s="38"/>
      <c r="BF825" s="38"/>
      <c r="BG825" s="38"/>
      <c r="BH825" s="38"/>
      <c r="BI825" s="38"/>
      <c r="BJ825" s="38"/>
      <c r="BK825" s="38"/>
    </row>
    <row r="826">
      <c r="L826" s="76"/>
      <c r="R826" s="76"/>
      <c r="X826" s="76"/>
      <c r="AD826" s="76"/>
      <c r="AJ826" s="76"/>
      <c r="AP826" s="76"/>
      <c r="AV826" s="76"/>
      <c r="BB826" s="76"/>
      <c r="BC826" s="38"/>
      <c r="BD826" s="38"/>
      <c r="BE826" s="38"/>
      <c r="BF826" s="38"/>
      <c r="BG826" s="38"/>
      <c r="BH826" s="38"/>
      <c r="BI826" s="38"/>
      <c r="BJ826" s="38"/>
      <c r="BK826" s="38"/>
    </row>
    <row r="827">
      <c r="L827" s="76"/>
      <c r="R827" s="76"/>
      <c r="X827" s="76"/>
      <c r="AD827" s="76"/>
      <c r="AJ827" s="76"/>
      <c r="AP827" s="76"/>
      <c r="AV827" s="76"/>
      <c r="BB827" s="76"/>
      <c r="BC827" s="38"/>
      <c r="BD827" s="38"/>
      <c r="BE827" s="38"/>
      <c r="BF827" s="38"/>
      <c r="BG827" s="38"/>
      <c r="BH827" s="38"/>
      <c r="BI827" s="38"/>
      <c r="BJ827" s="38"/>
      <c r="BK827" s="38"/>
    </row>
    <row r="828">
      <c r="L828" s="76"/>
      <c r="R828" s="76"/>
      <c r="X828" s="76"/>
      <c r="AD828" s="76"/>
      <c r="AJ828" s="76"/>
      <c r="AP828" s="76"/>
      <c r="AV828" s="76"/>
      <c r="BB828" s="76"/>
      <c r="BC828" s="38"/>
      <c r="BD828" s="38"/>
      <c r="BE828" s="38"/>
      <c r="BF828" s="38"/>
      <c r="BG828" s="38"/>
      <c r="BH828" s="38"/>
      <c r="BI828" s="38"/>
      <c r="BJ828" s="38"/>
      <c r="BK828" s="38"/>
    </row>
    <row r="829">
      <c r="L829" s="76"/>
      <c r="R829" s="76"/>
      <c r="X829" s="76"/>
      <c r="AD829" s="76"/>
      <c r="AJ829" s="76"/>
      <c r="AP829" s="76"/>
      <c r="AV829" s="76"/>
      <c r="BB829" s="76"/>
      <c r="BC829" s="38"/>
      <c r="BD829" s="38"/>
      <c r="BE829" s="38"/>
      <c r="BF829" s="38"/>
      <c r="BG829" s="38"/>
      <c r="BH829" s="38"/>
      <c r="BI829" s="38"/>
      <c r="BJ829" s="38"/>
      <c r="BK829" s="38"/>
    </row>
    <row r="830">
      <c r="L830" s="76"/>
      <c r="R830" s="76"/>
      <c r="X830" s="76"/>
      <c r="AD830" s="76"/>
      <c r="AJ830" s="76"/>
      <c r="AP830" s="76"/>
      <c r="AV830" s="76"/>
      <c r="BB830" s="76"/>
      <c r="BC830" s="38"/>
      <c r="BD830" s="38"/>
      <c r="BE830" s="38"/>
      <c r="BF830" s="38"/>
      <c r="BG830" s="38"/>
      <c r="BH830" s="38"/>
      <c r="BI830" s="38"/>
      <c r="BJ830" s="38"/>
      <c r="BK830" s="38"/>
    </row>
    <row r="831">
      <c r="L831" s="76"/>
      <c r="R831" s="76"/>
      <c r="X831" s="76"/>
      <c r="AD831" s="76"/>
      <c r="AJ831" s="76"/>
      <c r="AP831" s="76"/>
      <c r="AV831" s="76"/>
      <c r="BB831" s="76"/>
      <c r="BC831" s="38"/>
      <c r="BD831" s="38"/>
      <c r="BE831" s="38"/>
      <c r="BF831" s="38"/>
      <c r="BG831" s="38"/>
      <c r="BH831" s="38"/>
      <c r="BI831" s="38"/>
      <c r="BJ831" s="38"/>
      <c r="BK831" s="38"/>
    </row>
    <row r="832">
      <c r="L832" s="76"/>
      <c r="R832" s="76"/>
      <c r="X832" s="76"/>
      <c r="AD832" s="76"/>
      <c r="AJ832" s="76"/>
      <c r="AP832" s="76"/>
      <c r="AV832" s="76"/>
      <c r="BB832" s="76"/>
      <c r="BC832" s="38"/>
      <c r="BD832" s="38"/>
      <c r="BE832" s="38"/>
      <c r="BF832" s="38"/>
      <c r="BG832" s="38"/>
      <c r="BH832" s="38"/>
      <c r="BI832" s="38"/>
      <c r="BJ832" s="38"/>
      <c r="BK832" s="38"/>
    </row>
    <row r="833">
      <c r="L833" s="76"/>
      <c r="R833" s="76"/>
      <c r="X833" s="76"/>
      <c r="AD833" s="76"/>
      <c r="AJ833" s="76"/>
      <c r="AP833" s="76"/>
      <c r="AV833" s="76"/>
      <c r="BB833" s="76"/>
      <c r="BC833" s="38"/>
      <c r="BD833" s="38"/>
      <c r="BE833" s="38"/>
      <c r="BF833" s="38"/>
      <c r="BG833" s="38"/>
      <c r="BH833" s="38"/>
      <c r="BI833" s="38"/>
      <c r="BJ833" s="38"/>
      <c r="BK833" s="38"/>
    </row>
    <row r="834">
      <c r="L834" s="76"/>
      <c r="R834" s="76"/>
      <c r="X834" s="76"/>
      <c r="AD834" s="76"/>
      <c r="AJ834" s="76"/>
      <c r="AP834" s="76"/>
      <c r="AV834" s="76"/>
      <c r="BB834" s="76"/>
      <c r="BC834" s="38"/>
      <c r="BD834" s="38"/>
      <c r="BE834" s="38"/>
      <c r="BF834" s="38"/>
      <c r="BG834" s="38"/>
      <c r="BH834" s="38"/>
      <c r="BI834" s="38"/>
      <c r="BJ834" s="38"/>
      <c r="BK834" s="38"/>
    </row>
    <row r="835">
      <c r="L835" s="76"/>
      <c r="R835" s="76"/>
      <c r="X835" s="76"/>
      <c r="AD835" s="76"/>
      <c r="AJ835" s="76"/>
      <c r="AP835" s="76"/>
      <c r="AV835" s="76"/>
      <c r="BB835" s="76"/>
      <c r="BC835" s="38"/>
      <c r="BD835" s="38"/>
      <c r="BE835" s="38"/>
      <c r="BF835" s="38"/>
      <c r="BG835" s="38"/>
      <c r="BH835" s="38"/>
      <c r="BI835" s="38"/>
      <c r="BJ835" s="38"/>
      <c r="BK835" s="38"/>
    </row>
    <row r="836">
      <c r="L836" s="76"/>
      <c r="R836" s="76"/>
      <c r="X836" s="76"/>
      <c r="AD836" s="76"/>
      <c r="AJ836" s="76"/>
      <c r="AP836" s="76"/>
      <c r="AV836" s="76"/>
      <c r="BB836" s="76"/>
      <c r="BC836" s="38"/>
      <c r="BD836" s="38"/>
      <c r="BE836" s="38"/>
      <c r="BF836" s="38"/>
      <c r="BG836" s="38"/>
      <c r="BH836" s="38"/>
      <c r="BI836" s="38"/>
      <c r="BJ836" s="38"/>
      <c r="BK836" s="38"/>
    </row>
    <row r="837">
      <c r="L837" s="76"/>
      <c r="R837" s="76"/>
      <c r="X837" s="76"/>
      <c r="AD837" s="76"/>
      <c r="AJ837" s="76"/>
      <c r="AP837" s="76"/>
      <c r="AV837" s="76"/>
      <c r="BB837" s="76"/>
      <c r="BC837" s="38"/>
      <c r="BD837" s="38"/>
      <c r="BE837" s="38"/>
      <c r="BF837" s="38"/>
      <c r="BG837" s="38"/>
      <c r="BH837" s="38"/>
      <c r="BI837" s="38"/>
      <c r="BJ837" s="38"/>
      <c r="BK837" s="38"/>
    </row>
    <row r="838">
      <c r="L838" s="76"/>
      <c r="R838" s="76"/>
      <c r="X838" s="76"/>
      <c r="AD838" s="76"/>
      <c r="AJ838" s="76"/>
      <c r="AP838" s="76"/>
      <c r="AV838" s="76"/>
      <c r="BB838" s="76"/>
      <c r="BC838" s="38"/>
      <c r="BD838" s="38"/>
      <c r="BE838" s="38"/>
      <c r="BF838" s="38"/>
      <c r="BG838" s="38"/>
      <c r="BH838" s="38"/>
      <c r="BI838" s="38"/>
      <c r="BJ838" s="38"/>
      <c r="BK838" s="38"/>
    </row>
    <row r="839">
      <c r="L839" s="76"/>
      <c r="R839" s="76"/>
      <c r="X839" s="76"/>
      <c r="AD839" s="76"/>
      <c r="AJ839" s="76"/>
      <c r="AP839" s="76"/>
      <c r="AV839" s="76"/>
      <c r="BB839" s="76"/>
      <c r="BC839" s="38"/>
      <c r="BD839" s="38"/>
      <c r="BE839" s="38"/>
      <c r="BF839" s="38"/>
      <c r="BG839" s="38"/>
      <c r="BH839" s="38"/>
      <c r="BI839" s="38"/>
      <c r="BJ839" s="38"/>
      <c r="BK839" s="38"/>
    </row>
    <row r="840">
      <c r="L840" s="76"/>
      <c r="R840" s="76"/>
      <c r="X840" s="76"/>
      <c r="AD840" s="76"/>
      <c r="AJ840" s="76"/>
      <c r="AP840" s="76"/>
      <c r="AV840" s="76"/>
      <c r="BB840" s="76"/>
      <c r="BC840" s="38"/>
      <c r="BD840" s="38"/>
      <c r="BE840" s="38"/>
      <c r="BF840" s="38"/>
      <c r="BG840" s="38"/>
      <c r="BH840" s="38"/>
      <c r="BI840" s="38"/>
      <c r="BJ840" s="38"/>
      <c r="BK840" s="38"/>
    </row>
    <row r="841">
      <c r="L841" s="76"/>
      <c r="R841" s="76"/>
      <c r="X841" s="76"/>
      <c r="AD841" s="76"/>
      <c r="AJ841" s="76"/>
      <c r="AP841" s="76"/>
      <c r="AV841" s="76"/>
      <c r="BB841" s="76"/>
      <c r="BC841" s="38"/>
      <c r="BD841" s="38"/>
      <c r="BE841" s="38"/>
      <c r="BF841" s="38"/>
      <c r="BG841" s="38"/>
      <c r="BH841" s="38"/>
      <c r="BI841" s="38"/>
      <c r="BJ841" s="38"/>
      <c r="BK841" s="38"/>
    </row>
    <row r="842">
      <c r="L842" s="76"/>
      <c r="R842" s="76"/>
      <c r="X842" s="76"/>
      <c r="AD842" s="76"/>
      <c r="AJ842" s="76"/>
      <c r="AP842" s="76"/>
      <c r="AV842" s="76"/>
      <c r="BB842" s="76"/>
      <c r="BC842" s="38"/>
      <c r="BD842" s="38"/>
      <c r="BE842" s="38"/>
      <c r="BF842" s="38"/>
      <c r="BG842" s="38"/>
      <c r="BH842" s="38"/>
      <c r="BI842" s="38"/>
      <c r="BJ842" s="38"/>
      <c r="BK842" s="38"/>
    </row>
    <row r="843">
      <c r="L843" s="76"/>
      <c r="R843" s="76"/>
      <c r="X843" s="76"/>
      <c r="AD843" s="76"/>
      <c r="AJ843" s="76"/>
      <c r="AP843" s="76"/>
      <c r="AV843" s="76"/>
      <c r="BB843" s="76"/>
      <c r="BC843" s="38"/>
      <c r="BD843" s="38"/>
      <c r="BE843" s="38"/>
      <c r="BF843" s="38"/>
      <c r="BG843" s="38"/>
      <c r="BH843" s="38"/>
      <c r="BI843" s="38"/>
      <c r="BJ843" s="38"/>
      <c r="BK843" s="38"/>
    </row>
    <row r="844">
      <c r="L844" s="76"/>
      <c r="R844" s="76"/>
      <c r="X844" s="76"/>
      <c r="AD844" s="76"/>
      <c r="AJ844" s="76"/>
      <c r="AP844" s="76"/>
      <c r="AV844" s="76"/>
      <c r="BB844" s="76"/>
      <c r="BC844" s="38"/>
      <c r="BD844" s="38"/>
      <c r="BE844" s="38"/>
      <c r="BF844" s="38"/>
      <c r="BG844" s="38"/>
      <c r="BH844" s="38"/>
      <c r="BI844" s="38"/>
      <c r="BJ844" s="38"/>
      <c r="BK844" s="38"/>
    </row>
    <row r="845">
      <c r="L845" s="76"/>
      <c r="R845" s="76"/>
      <c r="X845" s="76"/>
      <c r="AD845" s="76"/>
      <c r="AJ845" s="76"/>
      <c r="AP845" s="76"/>
      <c r="AV845" s="76"/>
      <c r="BB845" s="76"/>
      <c r="BC845" s="38"/>
      <c r="BD845" s="38"/>
      <c r="BE845" s="38"/>
      <c r="BF845" s="38"/>
      <c r="BG845" s="38"/>
      <c r="BH845" s="38"/>
      <c r="BI845" s="38"/>
      <c r="BJ845" s="38"/>
      <c r="BK845" s="38"/>
    </row>
    <row r="846">
      <c r="L846" s="76"/>
      <c r="R846" s="76"/>
      <c r="X846" s="76"/>
      <c r="AD846" s="76"/>
      <c r="AJ846" s="76"/>
      <c r="AP846" s="76"/>
      <c r="AV846" s="76"/>
      <c r="BB846" s="76"/>
      <c r="BC846" s="38"/>
      <c r="BD846" s="38"/>
      <c r="BE846" s="38"/>
      <c r="BF846" s="38"/>
      <c r="BG846" s="38"/>
      <c r="BH846" s="38"/>
      <c r="BI846" s="38"/>
      <c r="BJ846" s="38"/>
      <c r="BK846" s="38"/>
    </row>
    <row r="847">
      <c r="L847" s="76"/>
      <c r="R847" s="76"/>
      <c r="X847" s="76"/>
      <c r="AD847" s="76"/>
      <c r="AJ847" s="76"/>
      <c r="AP847" s="76"/>
      <c r="AV847" s="76"/>
      <c r="BB847" s="76"/>
      <c r="BC847" s="38"/>
      <c r="BD847" s="38"/>
      <c r="BE847" s="38"/>
      <c r="BF847" s="38"/>
      <c r="BG847" s="38"/>
      <c r="BH847" s="38"/>
      <c r="BI847" s="38"/>
      <c r="BJ847" s="38"/>
      <c r="BK847" s="38"/>
    </row>
    <row r="848">
      <c r="L848" s="76"/>
      <c r="R848" s="76"/>
      <c r="X848" s="76"/>
      <c r="AD848" s="76"/>
      <c r="AJ848" s="76"/>
      <c r="AP848" s="76"/>
      <c r="AV848" s="76"/>
      <c r="BB848" s="76"/>
      <c r="BC848" s="38"/>
      <c r="BD848" s="38"/>
      <c r="BE848" s="38"/>
      <c r="BF848" s="38"/>
      <c r="BG848" s="38"/>
      <c r="BH848" s="38"/>
      <c r="BI848" s="38"/>
      <c r="BJ848" s="38"/>
      <c r="BK848" s="38"/>
    </row>
    <row r="849">
      <c r="L849" s="76"/>
      <c r="R849" s="76"/>
      <c r="X849" s="76"/>
      <c r="AD849" s="76"/>
      <c r="AJ849" s="76"/>
      <c r="AP849" s="76"/>
      <c r="AV849" s="76"/>
      <c r="BB849" s="76"/>
      <c r="BC849" s="38"/>
      <c r="BD849" s="38"/>
      <c r="BE849" s="38"/>
      <c r="BF849" s="38"/>
      <c r="BG849" s="38"/>
      <c r="BH849" s="38"/>
      <c r="BI849" s="38"/>
      <c r="BJ849" s="38"/>
      <c r="BK849" s="38"/>
    </row>
    <row r="850">
      <c r="L850" s="76"/>
      <c r="R850" s="76"/>
      <c r="X850" s="76"/>
      <c r="AD850" s="76"/>
      <c r="AJ850" s="76"/>
      <c r="AP850" s="76"/>
      <c r="AV850" s="76"/>
      <c r="BB850" s="76"/>
      <c r="BC850" s="38"/>
      <c r="BD850" s="38"/>
      <c r="BE850" s="38"/>
      <c r="BF850" s="38"/>
      <c r="BG850" s="38"/>
      <c r="BH850" s="38"/>
      <c r="BI850" s="38"/>
      <c r="BJ850" s="38"/>
      <c r="BK850" s="38"/>
    </row>
    <row r="851">
      <c r="L851" s="76"/>
      <c r="R851" s="76"/>
      <c r="X851" s="76"/>
      <c r="AD851" s="76"/>
      <c r="AJ851" s="76"/>
      <c r="AP851" s="76"/>
      <c r="AV851" s="76"/>
      <c r="BB851" s="76"/>
      <c r="BC851" s="38"/>
      <c r="BD851" s="38"/>
      <c r="BE851" s="38"/>
      <c r="BF851" s="38"/>
      <c r="BG851" s="38"/>
      <c r="BH851" s="38"/>
      <c r="BI851" s="38"/>
      <c r="BJ851" s="38"/>
      <c r="BK851" s="38"/>
    </row>
    <row r="852">
      <c r="L852" s="76"/>
      <c r="R852" s="76"/>
      <c r="X852" s="76"/>
      <c r="AD852" s="76"/>
      <c r="AJ852" s="76"/>
      <c r="AP852" s="76"/>
      <c r="AV852" s="76"/>
      <c r="BB852" s="76"/>
      <c r="BC852" s="38"/>
      <c r="BD852" s="38"/>
      <c r="BE852" s="38"/>
      <c r="BF852" s="38"/>
      <c r="BG852" s="38"/>
      <c r="BH852" s="38"/>
      <c r="BI852" s="38"/>
      <c r="BJ852" s="38"/>
      <c r="BK852" s="38"/>
    </row>
    <row r="853">
      <c r="L853" s="76"/>
      <c r="R853" s="76"/>
      <c r="X853" s="76"/>
      <c r="AD853" s="76"/>
      <c r="AJ853" s="76"/>
      <c r="AP853" s="76"/>
      <c r="AV853" s="76"/>
      <c r="BB853" s="76"/>
      <c r="BC853" s="38"/>
      <c r="BD853" s="38"/>
      <c r="BE853" s="38"/>
      <c r="BF853" s="38"/>
      <c r="BG853" s="38"/>
      <c r="BH853" s="38"/>
      <c r="BI853" s="38"/>
      <c r="BJ853" s="38"/>
      <c r="BK853" s="38"/>
    </row>
    <row r="854">
      <c r="L854" s="76"/>
      <c r="R854" s="76"/>
      <c r="X854" s="76"/>
      <c r="AD854" s="76"/>
      <c r="AJ854" s="76"/>
      <c r="AP854" s="76"/>
      <c r="AV854" s="76"/>
      <c r="BB854" s="76"/>
      <c r="BC854" s="38"/>
      <c r="BD854" s="38"/>
      <c r="BE854" s="38"/>
      <c r="BF854" s="38"/>
      <c r="BG854" s="38"/>
      <c r="BH854" s="38"/>
      <c r="BI854" s="38"/>
      <c r="BJ854" s="38"/>
      <c r="BK854" s="38"/>
    </row>
    <row r="855">
      <c r="L855" s="76"/>
      <c r="R855" s="76"/>
      <c r="X855" s="76"/>
      <c r="AD855" s="76"/>
      <c r="AJ855" s="76"/>
      <c r="AP855" s="76"/>
      <c r="AV855" s="76"/>
      <c r="BB855" s="76"/>
      <c r="BC855" s="38"/>
      <c r="BD855" s="38"/>
      <c r="BE855" s="38"/>
      <c r="BF855" s="38"/>
      <c r="BG855" s="38"/>
      <c r="BH855" s="38"/>
      <c r="BI855" s="38"/>
      <c r="BJ855" s="38"/>
      <c r="BK855" s="38"/>
    </row>
    <row r="856">
      <c r="L856" s="76"/>
      <c r="R856" s="76"/>
      <c r="X856" s="76"/>
      <c r="AD856" s="76"/>
      <c r="AJ856" s="76"/>
      <c r="AP856" s="76"/>
      <c r="AV856" s="76"/>
      <c r="BB856" s="76"/>
      <c r="BC856" s="38"/>
      <c r="BD856" s="38"/>
      <c r="BE856" s="38"/>
      <c r="BF856" s="38"/>
      <c r="BG856" s="38"/>
      <c r="BH856" s="38"/>
      <c r="BI856" s="38"/>
      <c r="BJ856" s="38"/>
      <c r="BK856" s="38"/>
    </row>
    <row r="857">
      <c r="L857" s="76"/>
      <c r="R857" s="76"/>
      <c r="X857" s="76"/>
      <c r="AD857" s="76"/>
      <c r="AJ857" s="76"/>
      <c r="AP857" s="76"/>
      <c r="AV857" s="76"/>
      <c r="BB857" s="76"/>
      <c r="BC857" s="38"/>
      <c r="BD857" s="38"/>
      <c r="BE857" s="38"/>
      <c r="BF857" s="38"/>
      <c r="BG857" s="38"/>
      <c r="BH857" s="38"/>
      <c r="BI857" s="38"/>
      <c r="BJ857" s="38"/>
      <c r="BK857" s="38"/>
    </row>
    <row r="858">
      <c r="L858" s="76"/>
      <c r="R858" s="76"/>
      <c r="X858" s="76"/>
      <c r="AD858" s="76"/>
      <c r="AJ858" s="76"/>
      <c r="AP858" s="76"/>
      <c r="AV858" s="76"/>
      <c r="BB858" s="76"/>
      <c r="BC858" s="38"/>
      <c r="BD858" s="38"/>
      <c r="BE858" s="38"/>
      <c r="BF858" s="38"/>
      <c r="BG858" s="38"/>
      <c r="BH858" s="38"/>
      <c r="BI858" s="38"/>
      <c r="BJ858" s="38"/>
      <c r="BK858" s="38"/>
    </row>
    <row r="859">
      <c r="L859" s="76"/>
      <c r="R859" s="76"/>
      <c r="X859" s="76"/>
      <c r="AD859" s="76"/>
      <c r="AJ859" s="76"/>
      <c r="AP859" s="76"/>
      <c r="AV859" s="76"/>
      <c r="BB859" s="76"/>
      <c r="BC859" s="38"/>
      <c r="BD859" s="38"/>
      <c r="BE859" s="38"/>
      <c r="BF859" s="38"/>
      <c r="BG859" s="38"/>
      <c r="BH859" s="38"/>
      <c r="BI859" s="38"/>
      <c r="BJ859" s="38"/>
      <c r="BK859" s="38"/>
    </row>
    <row r="860">
      <c r="L860" s="76"/>
      <c r="R860" s="76"/>
      <c r="X860" s="76"/>
      <c r="AD860" s="76"/>
      <c r="AJ860" s="76"/>
      <c r="AP860" s="76"/>
      <c r="AV860" s="76"/>
      <c r="BB860" s="76"/>
      <c r="BC860" s="38"/>
      <c r="BD860" s="38"/>
      <c r="BE860" s="38"/>
      <c r="BF860" s="38"/>
      <c r="BG860" s="38"/>
      <c r="BH860" s="38"/>
      <c r="BI860" s="38"/>
      <c r="BJ860" s="38"/>
      <c r="BK860" s="38"/>
    </row>
    <row r="861">
      <c r="L861" s="76"/>
      <c r="R861" s="76"/>
      <c r="X861" s="76"/>
      <c r="AD861" s="76"/>
      <c r="AJ861" s="76"/>
      <c r="AP861" s="76"/>
      <c r="AV861" s="76"/>
      <c r="BB861" s="76"/>
      <c r="BC861" s="38"/>
      <c r="BD861" s="38"/>
      <c r="BE861" s="38"/>
      <c r="BF861" s="38"/>
      <c r="BG861" s="38"/>
      <c r="BH861" s="38"/>
      <c r="BI861" s="38"/>
      <c r="BJ861" s="38"/>
      <c r="BK861" s="38"/>
    </row>
    <row r="862">
      <c r="L862" s="76"/>
      <c r="R862" s="76"/>
      <c r="X862" s="76"/>
      <c r="AD862" s="76"/>
      <c r="AJ862" s="76"/>
      <c r="AP862" s="76"/>
      <c r="AV862" s="76"/>
      <c r="BB862" s="76"/>
      <c r="BC862" s="38"/>
      <c r="BD862" s="38"/>
      <c r="BE862" s="38"/>
      <c r="BF862" s="38"/>
      <c r="BG862" s="38"/>
      <c r="BH862" s="38"/>
      <c r="BI862" s="38"/>
      <c r="BJ862" s="38"/>
      <c r="BK862" s="38"/>
    </row>
    <row r="863">
      <c r="L863" s="76"/>
      <c r="R863" s="76"/>
      <c r="X863" s="76"/>
      <c r="AD863" s="76"/>
      <c r="AJ863" s="76"/>
      <c r="AP863" s="76"/>
      <c r="AV863" s="76"/>
      <c r="BB863" s="76"/>
      <c r="BC863" s="38"/>
      <c r="BD863" s="38"/>
      <c r="BE863" s="38"/>
      <c r="BF863" s="38"/>
      <c r="BG863" s="38"/>
      <c r="BH863" s="38"/>
      <c r="BI863" s="38"/>
      <c r="BJ863" s="38"/>
      <c r="BK863" s="38"/>
    </row>
    <row r="864">
      <c r="L864" s="76"/>
      <c r="R864" s="76"/>
      <c r="X864" s="76"/>
      <c r="AD864" s="76"/>
      <c r="AJ864" s="76"/>
      <c r="AP864" s="76"/>
      <c r="AV864" s="76"/>
      <c r="BB864" s="76"/>
      <c r="BC864" s="38"/>
      <c r="BD864" s="38"/>
      <c r="BE864" s="38"/>
      <c r="BF864" s="38"/>
      <c r="BG864" s="38"/>
      <c r="BH864" s="38"/>
      <c r="BI864" s="38"/>
      <c r="BJ864" s="38"/>
      <c r="BK864" s="38"/>
    </row>
    <row r="865">
      <c r="L865" s="76"/>
      <c r="R865" s="76"/>
      <c r="X865" s="76"/>
      <c r="AD865" s="76"/>
      <c r="AJ865" s="76"/>
      <c r="AP865" s="76"/>
      <c r="AV865" s="76"/>
      <c r="BB865" s="76"/>
      <c r="BC865" s="38"/>
      <c r="BD865" s="38"/>
      <c r="BE865" s="38"/>
      <c r="BF865" s="38"/>
      <c r="BG865" s="38"/>
      <c r="BH865" s="38"/>
      <c r="BI865" s="38"/>
      <c r="BJ865" s="38"/>
      <c r="BK865" s="38"/>
    </row>
    <row r="866">
      <c r="L866" s="76"/>
      <c r="R866" s="76"/>
      <c r="X866" s="76"/>
      <c r="AD866" s="76"/>
      <c r="AJ866" s="76"/>
      <c r="AP866" s="76"/>
      <c r="AV866" s="76"/>
      <c r="BB866" s="76"/>
      <c r="BC866" s="38"/>
      <c r="BD866" s="38"/>
      <c r="BE866" s="38"/>
      <c r="BF866" s="38"/>
      <c r="BG866" s="38"/>
      <c r="BH866" s="38"/>
      <c r="BI866" s="38"/>
      <c r="BJ866" s="38"/>
      <c r="BK866" s="38"/>
    </row>
    <row r="867">
      <c r="L867" s="76"/>
      <c r="R867" s="76"/>
      <c r="X867" s="76"/>
      <c r="AD867" s="76"/>
      <c r="AJ867" s="76"/>
      <c r="AP867" s="76"/>
      <c r="AV867" s="76"/>
      <c r="BB867" s="76"/>
      <c r="BC867" s="38"/>
      <c r="BD867" s="38"/>
      <c r="BE867" s="38"/>
      <c r="BF867" s="38"/>
      <c r="BG867" s="38"/>
      <c r="BH867" s="38"/>
      <c r="BI867" s="38"/>
      <c r="BJ867" s="38"/>
      <c r="BK867" s="38"/>
    </row>
    <row r="868">
      <c r="L868" s="76"/>
      <c r="R868" s="76"/>
      <c r="X868" s="76"/>
      <c r="AD868" s="76"/>
      <c r="AJ868" s="76"/>
      <c r="AP868" s="76"/>
      <c r="AV868" s="76"/>
      <c r="BB868" s="76"/>
      <c r="BC868" s="38"/>
      <c r="BD868" s="38"/>
      <c r="BE868" s="38"/>
      <c r="BF868" s="38"/>
      <c r="BG868" s="38"/>
      <c r="BH868" s="38"/>
      <c r="BI868" s="38"/>
      <c r="BJ868" s="38"/>
      <c r="BK868" s="38"/>
    </row>
    <row r="869">
      <c r="L869" s="76"/>
      <c r="R869" s="76"/>
      <c r="X869" s="76"/>
      <c r="AD869" s="76"/>
      <c r="AJ869" s="76"/>
      <c r="AP869" s="76"/>
      <c r="AV869" s="76"/>
      <c r="BB869" s="76"/>
      <c r="BC869" s="38"/>
      <c r="BD869" s="38"/>
      <c r="BE869" s="38"/>
      <c r="BF869" s="38"/>
      <c r="BG869" s="38"/>
      <c r="BH869" s="38"/>
      <c r="BI869" s="38"/>
      <c r="BJ869" s="38"/>
      <c r="BK869" s="38"/>
    </row>
    <row r="870">
      <c r="L870" s="76"/>
      <c r="R870" s="76"/>
      <c r="X870" s="76"/>
      <c r="AD870" s="76"/>
      <c r="AJ870" s="76"/>
      <c r="AP870" s="76"/>
      <c r="AV870" s="76"/>
      <c r="BB870" s="76"/>
      <c r="BC870" s="38"/>
      <c r="BD870" s="38"/>
      <c r="BE870" s="38"/>
      <c r="BF870" s="38"/>
      <c r="BG870" s="38"/>
      <c r="BH870" s="38"/>
      <c r="BI870" s="38"/>
      <c r="BJ870" s="38"/>
      <c r="BK870" s="38"/>
    </row>
    <row r="871">
      <c r="L871" s="76"/>
      <c r="R871" s="76"/>
      <c r="X871" s="76"/>
      <c r="AD871" s="76"/>
      <c r="AJ871" s="76"/>
      <c r="AP871" s="76"/>
      <c r="AV871" s="76"/>
      <c r="BB871" s="76"/>
      <c r="BC871" s="38"/>
      <c r="BD871" s="38"/>
      <c r="BE871" s="38"/>
      <c r="BF871" s="38"/>
      <c r="BG871" s="38"/>
      <c r="BH871" s="38"/>
      <c r="BI871" s="38"/>
      <c r="BJ871" s="38"/>
      <c r="BK871" s="38"/>
    </row>
    <row r="872">
      <c r="L872" s="76"/>
      <c r="R872" s="76"/>
      <c r="X872" s="76"/>
      <c r="AD872" s="76"/>
      <c r="AJ872" s="76"/>
      <c r="AP872" s="76"/>
      <c r="AV872" s="76"/>
      <c r="BB872" s="76"/>
      <c r="BC872" s="38"/>
      <c r="BD872" s="38"/>
      <c r="BE872" s="38"/>
      <c r="BF872" s="38"/>
      <c r="BG872" s="38"/>
      <c r="BH872" s="38"/>
      <c r="BI872" s="38"/>
      <c r="BJ872" s="38"/>
      <c r="BK872" s="38"/>
    </row>
    <row r="873">
      <c r="L873" s="76"/>
      <c r="R873" s="76"/>
      <c r="X873" s="76"/>
      <c r="AD873" s="76"/>
      <c r="AJ873" s="76"/>
      <c r="AP873" s="76"/>
      <c r="AV873" s="76"/>
      <c r="BB873" s="76"/>
      <c r="BC873" s="38"/>
      <c r="BD873" s="38"/>
      <c r="BE873" s="38"/>
      <c r="BF873" s="38"/>
      <c r="BG873" s="38"/>
      <c r="BH873" s="38"/>
      <c r="BI873" s="38"/>
      <c r="BJ873" s="38"/>
      <c r="BK873" s="38"/>
    </row>
    <row r="874">
      <c r="L874" s="76"/>
      <c r="R874" s="76"/>
      <c r="X874" s="76"/>
      <c r="AD874" s="76"/>
      <c r="AJ874" s="76"/>
      <c r="AP874" s="76"/>
      <c r="AV874" s="76"/>
      <c r="BB874" s="76"/>
      <c r="BC874" s="38"/>
      <c r="BD874" s="38"/>
      <c r="BE874" s="38"/>
      <c r="BF874" s="38"/>
      <c r="BG874" s="38"/>
      <c r="BH874" s="38"/>
      <c r="BI874" s="38"/>
      <c r="BJ874" s="38"/>
      <c r="BK874" s="38"/>
    </row>
    <row r="875">
      <c r="L875" s="76"/>
      <c r="R875" s="76"/>
      <c r="X875" s="76"/>
      <c r="AD875" s="76"/>
      <c r="AJ875" s="76"/>
      <c r="AP875" s="76"/>
      <c r="AV875" s="76"/>
      <c r="BB875" s="76"/>
      <c r="BC875" s="38"/>
      <c r="BD875" s="38"/>
      <c r="BE875" s="38"/>
      <c r="BF875" s="38"/>
      <c r="BG875" s="38"/>
      <c r="BH875" s="38"/>
      <c r="BI875" s="38"/>
      <c r="BJ875" s="38"/>
      <c r="BK875" s="38"/>
    </row>
    <row r="876">
      <c r="L876" s="76"/>
      <c r="R876" s="76"/>
      <c r="X876" s="76"/>
      <c r="AD876" s="76"/>
      <c r="AJ876" s="76"/>
      <c r="AP876" s="76"/>
      <c r="AV876" s="76"/>
      <c r="BB876" s="76"/>
      <c r="BC876" s="38"/>
      <c r="BD876" s="38"/>
      <c r="BE876" s="38"/>
      <c r="BF876" s="38"/>
      <c r="BG876" s="38"/>
      <c r="BH876" s="38"/>
      <c r="BI876" s="38"/>
      <c r="BJ876" s="38"/>
      <c r="BK876" s="38"/>
    </row>
    <row r="877">
      <c r="L877" s="76"/>
      <c r="R877" s="76"/>
      <c r="X877" s="76"/>
      <c r="AD877" s="76"/>
      <c r="AJ877" s="76"/>
      <c r="AP877" s="76"/>
      <c r="AV877" s="76"/>
      <c r="BB877" s="76"/>
      <c r="BC877" s="38"/>
      <c r="BD877" s="38"/>
      <c r="BE877" s="38"/>
      <c r="BF877" s="38"/>
      <c r="BG877" s="38"/>
      <c r="BH877" s="38"/>
      <c r="BI877" s="38"/>
      <c r="BJ877" s="38"/>
      <c r="BK877" s="38"/>
    </row>
    <row r="878">
      <c r="L878" s="76"/>
      <c r="R878" s="76"/>
      <c r="X878" s="76"/>
      <c r="AD878" s="76"/>
      <c r="AJ878" s="76"/>
      <c r="AP878" s="76"/>
      <c r="AV878" s="76"/>
      <c r="BB878" s="76"/>
      <c r="BC878" s="38"/>
      <c r="BD878" s="38"/>
      <c r="BE878" s="38"/>
      <c r="BF878" s="38"/>
      <c r="BG878" s="38"/>
      <c r="BH878" s="38"/>
      <c r="BI878" s="38"/>
      <c r="BJ878" s="38"/>
      <c r="BK878" s="38"/>
    </row>
    <row r="879">
      <c r="L879" s="76"/>
      <c r="R879" s="76"/>
      <c r="X879" s="76"/>
      <c r="AD879" s="76"/>
      <c r="AJ879" s="76"/>
      <c r="AP879" s="76"/>
      <c r="AV879" s="76"/>
      <c r="BB879" s="76"/>
      <c r="BC879" s="38"/>
      <c r="BD879" s="38"/>
      <c r="BE879" s="38"/>
      <c r="BF879" s="38"/>
      <c r="BG879" s="38"/>
      <c r="BH879" s="38"/>
      <c r="BI879" s="38"/>
      <c r="BJ879" s="38"/>
      <c r="BK879" s="38"/>
    </row>
    <row r="880">
      <c r="L880" s="76"/>
      <c r="R880" s="76"/>
      <c r="X880" s="76"/>
      <c r="AD880" s="76"/>
      <c r="AJ880" s="76"/>
      <c r="AP880" s="76"/>
      <c r="AV880" s="76"/>
      <c r="BB880" s="76"/>
      <c r="BC880" s="38"/>
      <c r="BD880" s="38"/>
      <c r="BE880" s="38"/>
      <c r="BF880" s="38"/>
      <c r="BG880" s="38"/>
      <c r="BH880" s="38"/>
      <c r="BI880" s="38"/>
      <c r="BJ880" s="38"/>
      <c r="BK880" s="38"/>
    </row>
    <row r="881">
      <c r="L881" s="76"/>
      <c r="R881" s="76"/>
      <c r="X881" s="76"/>
      <c r="AD881" s="76"/>
      <c r="AJ881" s="76"/>
      <c r="AP881" s="76"/>
      <c r="AV881" s="76"/>
      <c r="BB881" s="76"/>
      <c r="BC881" s="38"/>
      <c r="BD881" s="38"/>
      <c r="BE881" s="38"/>
      <c r="BF881" s="38"/>
      <c r="BG881" s="38"/>
      <c r="BH881" s="38"/>
      <c r="BI881" s="38"/>
      <c r="BJ881" s="38"/>
      <c r="BK881" s="38"/>
    </row>
    <row r="882">
      <c r="L882" s="76"/>
      <c r="R882" s="76"/>
      <c r="X882" s="76"/>
      <c r="AD882" s="76"/>
      <c r="AJ882" s="76"/>
      <c r="AP882" s="76"/>
      <c r="AV882" s="76"/>
      <c r="BB882" s="76"/>
      <c r="BC882" s="38"/>
      <c r="BD882" s="38"/>
      <c r="BE882" s="38"/>
      <c r="BF882" s="38"/>
      <c r="BG882" s="38"/>
      <c r="BH882" s="38"/>
      <c r="BI882" s="38"/>
      <c r="BJ882" s="38"/>
      <c r="BK882" s="38"/>
    </row>
    <row r="883">
      <c r="L883" s="76"/>
      <c r="R883" s="76"/>
      <c r="X883" s="76"/>
      <c r="AD883" s="76"/>
      <c r="AJ883" s="76"/>
      <c r="AP883" s="76"/>
      <c r="AV883" s="76"/>
      <c r="BB883" s="76"/>
      <c r="BC883" s="38"/>
      <c r="BD883" s="38"/>
      <c r="BE883" s="38"/>
      <c r="BF883" s="38"/>
      <c r="BG883" s="38"/>
      <c r="BH883" s="38"/>
      <c r="BI883" s="38"/>
      <c r="BJ883" s="38"/>
      <c r="BK883" s="38"/>
    </row>
    <row r="884">
      <c r="L884" s="76"/>
      <c r="R884" s="76"/>
      <c r="X884" s="76"/>
      <c r="AD884" s="76"/>
      <c r="AJ884" s="76"/>
      <c r="AP884" s="76"/>
      <c r="AV884" s="76"/>
      <c r="BB884" s="76"/>
      <c r="BC884" s="38"/>
      <c r="BD884" s="38"/>
      <c r="BE884" s="38"/>
      <c r="BF884" s="38"/>
      <c r="BG884" s="38"/>
      <c r="BH884" s="38"/>
      <c r="BI884" s="38"/>
      <c r="BJ884" s="38"/>
      <c r="BK884" s="38"/>
    </row>
    <row r="885">
      <c r="L885" s="76"/>
      <c r="R885" s="76"/>
      <c r="X885" s="76"/>
      <c r="AD885" s="76"/>
      <c r="AJ885" s="76"/>
      <c r="AP885" s="76"/>
      <c r="AV885" s="76"/>
      <c r="BB885" s="76"/>
      <c r="BC885" s="38"/>
      <c r="BD885" s="38"/>
      <c r="BE885" s="38"/>
      <c r="BF885" s="38"/>
      <c r="BG885" s="38"/>
      <c r="BH885" s="38"/>
      <c r="BI885" s="38"/>
      <c r="BJ885" s="38"/>
      <c r="BK885" s="38"/>
    </row>
    <row r="886">
      <c r="L886" s="76"/>
      <c r="R886" s="76"/>
      <c r="X886" s="76"/>
      <c r="AD886" s="76"/>
      <c r="AJ886" s="76"/>
      <c r="AP886" s="76"/>
      <c r="AV886" s="76"/>
      <c r="BB886" s="76"/>
      <c r="BC886" s="38"/>
      <c r="BD886" s="38"/>
      <c r="BE886" s="38"/>
      <c r="BF886" s="38"/>
      <c r="BG886" s="38"/>
      <c r="BH886" s="38"/>
      <c r="BI886" s="38"/>
      <c r="BJ886" s="38"/>
      <c r="BK886" s="38"/>
    </row>
    <row r="887">
      <c r="L887" s="76"/>
      <c r="R887" s="76"/>
      <c r="X887" s="76"/>
      <c r="AD887" s="76"/>
      <c r="AJ887" s="76"/>
      <c r="AP887" s="76"/>
      <c r="AV887" s="76"/>
      <c r="BB887" s="76"/>
      <c r="BC887" s="38"/>
      <c r="BD887" s="38"/>
      <c r="BE887" s="38"/>
      <c r="BF887" s="38"/>
      <c r="BG887" s="38"/>
      <c r="BH887" s="38"/>
      <c r="BI887" s="38"/>
      <c r="BJ887" s="38"/>
      <c r="BK887" s="38"/>
    </row>
    <row r="888">
      <c r="L888" s="76"/>
      <c r="R888" s="76"/>
      <c r="X888" s="76"/>
      <c r="AD888" s="76"/>
      <c r="AJ888" s="76"/>
      <c r="AP888" s="76"/>
      <c r="AV888" s="76"/>
      <c r="BB888" s="76"/>
      <c r="BC888" s="38"/>
      <c r="BD888" s="38"/>
      <c r="BE888" s="38"/>
      <c r="BF888" s="38"/>
      <c r="BG888" s="38"/>
      <c r="BH888" s="38"/>
      <c r="BI888" s="38"/>
      <c r="BJ888" s="38"/>
      <c r="BK888" s="38"/>
    </row>
    <row r="889">
      <c r="L889" s="76"/>
      <c r="R889" s="76"/>
      <c r="X889" s="76"/>
      <c r="AD889" s="76"/>
      <c r="AJ889" s="76"/>
      <c r="AP889" s="76"/>
      <c r="AV889" s="76"/>
      <c r="BB889" s="76"/>
      <c r="BC889" s="38"/>
      <c r="BD889" s="38"/>
      <c r="BE889" s="38"/>
      <c r="BF889" s="38"/>
      <c r="BG889" s="38"/>
      <c r="BH889" s="38"/>
      <c r="BI889" s="38"/>
      <c r="BJ889" s="38"/>
      <c r="BK889" s="38"/>
    </row>
    <row r="890">
      <c r="L890" s="76"/>
      <c r="R890" s="76"/>
      <c r="X890" s="76"/>
      <c r="AD890" s="76"/>
      <c r="AJ890" s="76"/>
      <c r="AP890" s="76"/>
      <c r="AV890" s="76"/>
      <c r="BB890" s="76"/>
      <c r="BC890" s="38"/>
      <c r="BD890" s="38"/>
      <c r="BE890" s="38"/>
      <c r="BF890" s="38"/>
      <c r="BG890" s="38"/>
      <c r="BH890" s="38"/>
      <c r="BI890" s="38"/>
      <c r="BJ890" s="38"/>
      <c r="BK890" s="38"/>
    </row>
    <row r="891">
      <c r="L891" s="76"/>
      <c r="R891" s="76"/>
      <c r="X891" s="76"/>
      <c r="AD891" s="76"/>
      <c r="AJ891" s="76"/>
      <c r="AP891" s="76"/>
      <c r="AV891" s="76"/>
      <c r="BB891" s="76"/>
      <c r="BC891" s="38"/>
      <c r="BD891" s="38"/>
      <c r="BE891" s="38"/>
      <c r="BF891" s="38"/>
      <c r="BG891" s="38"/>
      <c r="BH891" s="38"/>
      <c r="BI891" s="38"/>
      <c r="BJ891" s="38"/>
      <c r="BK891" s="38"/>
    </row>
    <row r="892">
      <c r="L892" s="76"/>
      <c r="R892" s="76"/>
      <c r="X892" s="76"/>
      <c r="AD892" s="76"/>
      <c r="AJ892" s="76"/>
      <c r="AP892" s="76"/>
      <c r="AV892" s="76"/>
      <c r="BB892" s="76"/>
      <c r="BC892" s="38"/>
      <c r="BD892" s="38"/>
      <c r="BE892" s="38"/>
      <c r="BF892" s="38"/>
      <c r="BG892" s="38"/>
      <c r="BH892" s="38"/>
      <c r="BI892" s="38"/>
      <c r="BJ892" s="38"/>
      <c r="BK892" s="38"/>
    </row>
    <row r="893">
      <c r="L893" s="76"/>
      <c r="R893" s="76"/>
      <c r="X893" s="76"/>
      <c r="AD893" s="76"/>
      <c r="AJ893" s="76"/>
      <c r="AP893" s="76"/>
      <c r="AV893" s="76"/>
      <c r="BB893" s="76"/>
      <c r="BC893" s="38"/>
      <c r="BD893" s="38"/>
      <c r="BE893" s="38"/>
      <c r="BF893" s="38"/>
      <c r="BG893" s="38"/>
      <c r="BH893" s="38"/>
      <c r="BI893" s="38"/>
      <c r="BJ893" s="38"/>
      <c r="BK893" s="38"/>
    </row>
    <row r="894">
      <c r="L894" s="76"/>
      <c r="R894" s="76"/>
      <c r="X894" s="76"/>
      <c r="AD894" s="76"/>
      <c r="AJ894" s="76"/>
      <c r="AP894" s="76"/>
      <c r="AV894" s="76"/>
      <c r="BB894" s="76"/>
      <c r="BC894" s="38"/>
      <c r="BD894" s="38"/>
      <c r="BE894" s="38"/>
      <c r="BF894" s="38"/>
      <c r="BG894" s="38"/>
      <c r="BH894" s="38"/>
      <c r="BI894" s="38"/>
      <c r="BJ894" s="38"/>
      <c r="BK894" s="38"/>
    </row>
    <row r="895">
      <c r="L895" s="76"/>
      <c r="R895" s="76"/>
      <c r="X895" s="76"/>
      <c r="AD895" s="76"/>
      <c r="AJ895" s="76"/>
      <c r="AP895" s="76"/>
      <c r="AV895" s="76"/>
      <c r="BB895" s="76"/>
      <c r="BC895" s="38"/>
      <c r="BD895" s="38"/>
      <c r="BE895" s="38"/>
      <c r="BF895" s="38"/>
      <c r="BG895" s="38"/>
      <c r="BH895" s="38"/>
      <c r="BI895" s="38"/>
      <c r="BJ895" s="38"/>
      <c r="BK895" s="38"/>
    </row>
    <row r="896">
      <c r="L896" s="76"/>
      <c r="R896" s="76"/>
      <c r="X896" s="76"/>
      <c r="AD896" s="76"/>
      <c r="AJ896" s="76"/>
      <c r="AP896" s="76"/>
      <c r="AV896" s="76"/>
      <c r="BB896" s="76"/>
      <c r="BC896" s="38"/>
      <c r="BD896" s="38"/>
      <c r="BE896" s="38"/>
      <c r="BF896" s="38"/>
      <c r="BG896" s="38"/>
      <c r="BH896" s="38"/>
      <c r="BI896" s="38"/>
      <c r="BJ896" s="38"/>
      <c r="BK896" s="38"/>
    </row>
    <row r="897">
      <c r="L897" s="76"/>
      <c r="R897" s="76"/>
      <c r="X897" s="76"/>
      <c r="AD897" s="76"/>
      <c r="AJ897" s="76"/>
      <c r="AP897" s="76"/>
      <c r="AV897" s="76"/>
      <c r="BB897" s="76"/>
      <c r="BC897" s="38"/>
      <c r="BD897" s="38"/>
      <c r="BE897" s="38"/>
      <c r="BF897" s="38"/>
      <c r="BG897" s="38"/>
      <c r="BH897" s="38"/>
      <c r="BI897" s="38"/>
      <c r="BJ897" s="38"/>
      <c r="BK897" s="38"/>
    </row>
    <row r="898">
      <c r="L898" s="76"/>
      <c r="R898" s="76"/>
      <c r="X898" s="76"/>
      <c r="AD898" s="76"/>
      <c r="AJ898" s="76"/>
      <c r="AP898" s="76"/>
      <c r="AV898" s="76"/>
      <c r="BB898" s="76"/>
      <c r="BC898" s="38"/>
      <c r="BD898" s="38"/>
      <c r="BE898" s="38"/>
      <c r="BF898" s="38"/>
      <c r="BG898" s="38"/>
      <c r="BH898" s="38"/>
      <c r="BI898" s="38"/>
      <c r="BJ898" s="38"/>
      <c r="BK898" s="38"/>
    </row>
    <row r="899">
      <c r="L899" s="76"/>
      <c r="R899" s="76"/>
      <c r="X899" s="76"/>
      <c r="AD899" s="76"/>
      <c r="AJ899" s="76"/>
      <c r="AP899" s="76"/>
      <c r="AV899" s="76"/>
      <c r="BB899" s="76"/>
      <c r="BC899" s="38"/>
      <c r="BD899" s="38"/>
      <c r="BE899" s="38"/>
      <c r="BF899" s="38"/>
      <c r="BG899" s="38"/>
      <c r="BH899" s="38"/>
      <c r="BI899" s="38"/>
      <c r="BJ899" s="38"/>
      <c r="BK899" s="38"/>
    </row>
    <row r="900">
      <c r="L900" s="76"/>
      <c r="R900" s="76"/>
      <c r="X900" s="76"/>
      <c r="AD900" s="76"/>
      <c r="AJ900" s="76"/>
      <c r="AP900" s="76"/>
      <c r="AV900" s="76"/>
      <c r="BB900" s="76"/>
      <c r="BC900" s="38"/>
      <c r="BD900" s="38"/>
      <c r="BE900" s="38"/>
      <c r="BF900" s="38"/>
      <c r="BG900" s="38"/>
      <c r="BH900" s="38"/>
      <c r="BI900" s="38"/>
      <c r="BJ900" s="38"/>
      <c r="BK900" s="38"/>
    </row>
    <row r="901">
      <c r="L901" s="76"/>
      <c r="R901" s="76"/>
      <c r="X901" s="76"/>
      <c r="AD901" s="76"/>
      <c r="AJ901" s="76"/>
      <c r="AP901" s="76"/>
      <c r="AV901" s="76"/>
      <c r="BB901" s="76"/>
      <c r="BC901" s="38"/>
      <c r="BD901" s="38"/>
      <c r="BE901" s="38"/>
      <c r="BF901" s="38"/>
      <c r="BG901" s="38"/>
      <c r="BH901" s="38"/>
      <c r="BI901" s="38"/>
      <c r="BJ901" s="38"/>
      <c r="BK901" s="38"/>
    </row>
    <row r="902">
      <c r="L902" s="76"/>
      <c r="R902" s="76"/>
      <c r="X902" s="76"/>
      <c r="AD902" s="76"/>
      <c r="AJ902" s="76"/>
      <c r="AP902" s="76"/>
      <c r="AV902" s="76"/>
      <c r="BB902" s="76"/>
      <c r="BC902" s="38"/>
      <c r="BD902" s="38"/>
      <c r="BE902" s="38"/>
      <c r="BF902" s="38"/>
      <c r="BG902" s="38"/>
      <c r="BH902" s="38"/>
      <c r="BI902" s="38"/>
      <c r="BJ902" s="38"/>
      <c r="BK902" s="38"/>
    </row>
    <row r="903">
      <c r="L903" s="76"/>
      <c r="R903" s="76"/>
      <c r="X903" s="76"/>
      <c r="AD903" s="76"/>
      <c r="AJ903" s="76"/>
      <c r="AP903" s="76"/>
      <c r="AV903" s="76"/>
      <c r="BB903" s="76"/>
      <c r="BC903" s="38"/>
      <c r="BD903" s="38"/>
      <c r="BE903" s="38"/>
      <c r="BF903" s="38"/>
      <c r="BG903" s="38"/>
      <c r="BH903" s="38"/>
      <c r="BI903" s="38"/>
      <c r="BJ903" s="38"/>
      <c r="BK903" s="38"/>
    </row>
    <row r="904">
      <c r="L904" s="76"/>
      <c r="R904" s="76"/>
      <c r="X904" s="76"/>
      <c r="AD904" s="76"/>
      <c r="AJ904" s="76"/>
      <c r="AP904" s="76"/>
      <c r="AV904" s="76"/>
      <c r="BB904" s="76"/>
      <c r="BC904" s="38"/>
      <c r="BD904" s="38"/>
      <c r="BE904" s="38"/>
      <c r="BF904" s="38"/>
      <c r="BG904" s="38"/>
      <c r="BH904" s="38"/>
      <c r="BI904" s="38"/>
      <c r="BJ904" s="38"/>
      <c r="BK904" s="38"/>
    </row>
    <row r="905">
      <c r="L905" s="76"/>
      <c r="R905" s="76"/>
      <c r="X905" s="76"/>
      <c r="AD905" s="76"/>
      <c r="AJ905" s="76"/>
      <c r="AP905" s="76"/>
      <c r="AV905" s="76"/>
      <c r="BB905" s="76"/>
      <c r="BC905" s="38"/>
      <c r="BD905" s="38"/>
      <c r="BE905" s="38"/>
      <c r="BF905" s="38"/>
      <c r="BG905" s="38"/>
      <c r="BH905" s="38"/>
      <c r="BI905" s="38"/>
      <c r="BJ905" s="38"/>
      <c r="BK905" s="38"/>
    </row>
    <row r="906">
      <c r="L906" s="76"/>
      <c r="R906" s="76"/>
      <c r="X906" s="76"/>
      <c r="AD906" s="76"/>
      <c r="AJ906" s="76"/>
      <c r="AP906" s="76"/>
      <c r="AV906" s="76"/>
      <c r="BB906" s="76"/>
      <c r="BC906" s="38"/>
      <c r="BD906" s="38"/>
      <c r="BE906" s="38"/>
      <c r="BF906" s="38"/>
      <c r="BG906" s="38"/>
      <c r="BH906" s="38"/>
      <c r="BI906" s="38"/>
      <c r="BJ906" s="38"/>
      <c r="BK906" s="38"/>
    </row>
    <row r="907">
      <c r="L907" s="76"/>
      <c r="R907" s="76"/>
      <c r="X907" s="76"/>
      <c r="AD907" s="76"/>
      <c r="AJ907" s="76"/>
      <c r="AP907" s="76"/>
      <c r="AV907" s="76"/>
      <c r="BB907" s="76"/>
      <c r="BC907" s="38"/>
      <c r="BD907" s="38"/>
      <c r="BE907" s="38"/>
      <c r="BF907" s="38"/>
      <c r="BG907" s="38"/>
      <c r="BH907" s="38"/>
      <c r="BI907" s="38"/>
      <c r="BJ907" s="38"/>
      <c r="BK907" s="38"/>
    </row>
    <row r="908">
      <c r="L908" s="76"/>
      <c r="R908" s="76"/>
      <c r="X908" s="76"/>
      <c r="AD908" s="76"/>
      <c r="AJ908" s="76"/>
      <c r="AP908" s="76"/>
      <c r="AV908" s="76"/>
      <c r="BB908" s="76"/>
      <c r="BC908" s="38"/>
      <c r="BD908" s="38"/>
      <c r="BE908" s="38"/>
      <c r="BF908" s="38"/>
      <c r="BG908" s="38"/>
      <c r="BH908" s="38"/>
      <c r="BI908" s="38"/>
      <c r="BJ908" s="38"/>
      <c r="BK908" s="38"/>
    </row>
    <row r="909">
      <c r="L909" s="76"/>
      <c r="R909" s="76"/>
      <c r="X909" s="76"/>
      <c r="AD909" s="76"/>
      <c r="AJ909" s="76"/>
      <c r="AP909" s="76"/>
      <c r="AV909" s="76"/>
      <c r="BB909" s="76"/>
      <c r="BC909" s="38"/>
      <c r="BD909" s="38"/>
      <c r="BE909" s="38"/>
      <c r="BF909" s="38"/>
      <c r="BG909" s="38"/>
      <c r="BH909" s="38"/>
      <c r="BI909" s="38"/>
      <c r="BJ909" s="38"/>
      <c r="BK909" s="38"/>
    </row>
    <row r="910">
      <c r="L910" s="76"/>
      <c r="R910" s="76"/>
      <c r="X910" s="76"/>
      <c r="AD910" s="76"/>
      <c r="AJ910" s="76"/>
      <c r="AP910" s="76"/>
      <c r="AV910" s="76"/>
      <c r="BB910" s="76"/>
      <c r="BC910" s="38"/>
      <c r="BD910" s="38"/>
      <c r="BE910" s="38"/>
      <c r="BF910" s="38"/>
      <c r="BG910" s="38"/>
      <c r="BH910" s="38"/>
      <c r="BI910" s="38"/>
      <c r="BJ910" s="38"/>
      <c r="BK910" s="38"/>
    </row>
    <row r="911">
      <c r="L911" s="76"/>
      <c r="R911" s="76"/>
      <c r="X911" s="76"/>
      <c r="AD911" s="76"/>
      <c r="AJ911" s="76"/>
      <c r="AP911" s="76"/>
      <c r="AV911" s="76"/>
      <c r="BB911" s="76"/>
      <c r="BC911" s="38"/>
      <c r="BD911" s="38"/>
      <c r="BE911" s="38"/>
      <c r="BF911" s="38"/>
      <c r="BG911" s="38"/>
      <c r="BH911" s="38"/>
      <c r="BI911" s="38"/>
      <c r="BJ911" s="38"/>
      <c r="BK911" s="38"/>
    </row>
    <row r="912">
      <c r="L912" s="76"/>
      <c r="R912" s="76"/>
      <c r="X912" s="76"/>
      <c r="AD912" s="76"/>
      <c r="AJ912" s="76"/>
      <c r="AP912" s="76"/>
      <c r="AV912" s="76"/>
      <c r="BB912" s="76"/>
      <c r="BC912" s="38"/>
      <c r="BD912" s="38"/>
      <c r="BE912" s="38"/>
      <c r="BF912" s="38"/>
      <c r="BG912" s="38"/>
      <c r="BH912" s="38"/>
      <c r="BI912" s="38"/>
      <c r="BJ912" s="38"/>
      <c r="BK912" s="38"/>
    </row>
    <row r="913">
      <c r="L913" s="76"/>
      <c r="R913" s="76"/>
      <c r="X913" s="76"/>
      <c r="AD913" s="76"/>
      <c r="AJ913" s="76"/>
      <c r="AP913" s="76"/>
      <c r="AV913" s="76"/>
      <c r="BB913" s="76"/>
      <c r="BC913" s="38"/>
      <c r="BD913" s="38"/>
      <c r="BE913" s="38"/>
      <c r="BF913" s="38"/>
      <c r="BG913" s="38"/>
      <c r="BH913" s="38"/>
      <c r="BI913" s="38"/>
      <c r="BJ913" s="38"/>
      <c r="BK913" s="38"/>
    </row>
    <row r="914">
      <c r="L914" s="76"/>
      <c r="R914" s="76"/>
      <c r="X914" s="76"/>
      <c r="AD914" s="76"/>
      <c r="AJ914" s="76"/>
      <c r="AP914" s="76"/>
      <c r="AV914" s="76"/>
      <c r="BB914" s="76"/>
      <c r="BC914" s="38"/>
      <c r="BD914" s="38"/>
      <c r="BE914" s="38"/>
      <c r="BF914" s="38"/>
      <c r="BG914" s="38"/>
      <c r="BH914" s="38"/>
      <c r="BI914" s="38"/>
      <c r="BJ914" s="38"/>
      <c r="BK914" s="38"/>
    </row>
    <row r="915">
      <c r="L915" s="76"/>
      <c r="R915" s="76"/>
      <c r="X915" s="76"/>
      <c r="AD915" s="76"/>
      <c r="AJ915" s="76"/>
      <c r="AP915" s="76"/>
      <c r="AV915" s="76"/>
      <c r="BB915" s="76"/>
      <c r="BC915" s="38"/>
      <c r="BD915" s="38"/>
      <c r="BE915" s="38"/>
      <c r="BF915" s="38"/>
      <c r="BG915" s="38"/>
      <c r="BH915" s="38"/>
      <c r="BI915" s="38"/>
      <c r="BJ915" s="38"/>
      <c r="BK915" s="38"/>
    </row>
    <row r="916">
      <c r="L916" s="76"/>
      <c r="R916" s="76"/>
      <c r="X916" s="76"/>
      <c r="AD916" s="76"/>
      <c r="AJ916" s="76"/>
      <c r="AP916" s="76"/>
      <c r="AV916" s="76"/>
      <c r="BB916" s="76"/>
      <c r="BC916" s="38"/>
      <c r="BD916" s="38"/>
      <c r="BE916" s="38"/>
      <c r="BF916" s="38"/>
      <c r="BG916" s="38"/>
      <c r="BH916" s="38"/>
      <c r="BI916" s="38"/>
      <c r="BJ916" s="38"/>
      <c r="BK916" s="38"/>
    </row>
    <row r="917">
      <c r="L917" s="76"/>
      <c r="R917" s="76"/>
      <c r="X917" s="76"/>
      <c r="AD917" s="76"/>
      <c r="AJ917" s="76"/>
      <c r="AP917" s="76"/>
      <c r="AV917" s="76"/>
      <c r="BB917" s="76"/>
      <c r="BC917" s="38"/>
      <c r="BD917" s="38"/>
      <c r="BE917" s="38"/>
      <c r="BF917" s="38"/>
      <c r="BG917" s="38"/>
      <c r="BH917" s="38"/>
      <c r="BI917" s="38"/>
      <c r="BJ917" s="38"/>
      <c r="BK917" s="38"/>
    </row>
    <row r="918">
      <c r="L918" s="76"/>
      <c r="R918" s="76"/>
      <c r="X918" s="76"/>
      <c r="AD918" s="76"/>
      <c r="AJ918" s="76"/>
      <c r="AP918" s="76"/>
      <c r="AV918" s="76"/>
      <c r="BB918" s="76"/>
      <c r="BC918" s="38"/>
      <c r="BD918" s="38"/>
      <c r="BE918" s="38"/>
      <c r="BF918" s="38"/>
      <c r="BG918" s="38"/>
      <c r="BH918" s="38"/>
      <c r="BI918" s="38"/>
      <c r="BJ918" s="38"/>
      <c r="BK918" s="38"/>
    </row>
    <row r="919">
      <c r="L919" s="76"/>
      <c r="R919" s="76"/>
      <c r="X919" s="76"/>
      <c r="AD919" s="76"/>
      <c r="AJ919" s="76"/>
      <c r="AP919" s="76"/>
      <c r="AV919" s="76"/>
      <c r="BB919" s="76"/>
      <c r="BC919" s="38"/>
      <c r="BD919" s="38"/>
      <c r="BE919" s="38"/>
      <c r="BF919" s="38"/>
      <c r="BG919" s="38"/>
      <c r="BH919" s="38"/>
      <c r="BI919" s="38"/>
      <c r="BJ919" s="38"/>
      <c r="BK919" s="38"/>
    </row>
    <row r="920">
      <c r="L920" s="76"/>
      <c r="R920" s="76"/>
      <c r="X920" s="76"/>
      <c r="AD920" s="76"/>
      <c r="AJ920" s="76"/>
      <c r="AP920" s="76"/>
      <c r="AV920" s="76"/>
      <c r="BB920" s="76"/>
      <c r="BC920" s="38"/>
      <c r="BD920" s="38"/>
      <c r="BE920" s="38"/>
      <c r="BF920" s="38"/>
      <c r="BG920" s="38"/>
      <c r="BH920" s="38"/>
      <c r="BI920" s="38"/>
      <c r="BJ920" s="38"/>
      <c r="BK920" s="38"/>
    </row>
    <row r="921">
      <c r="L921" s="76"/>
      <c r="R921" s="76"/>
      <c r="X921" s="76"/>
      <c r="AD921" s="76"/>
      <c r="AJ921" s="76"/>
      <c r="AP921" s="76"/>
      <c r="AV921" s="76"/>
      <c r="BB921" s="76"/>
      <c r="BC921" s="38"/>
      <c r="BD921" s="38"/>
      <c r="BE921" s="38"/>
      <c r="BF921" s="38"/>
      <c r="BG921" s="38"/>
      <c r="BH921" s="38"/>
      <c r="BI921" s="38"/>
      <c r="BJ921" s="38"/>
      <c r="BK921" s="38"/>
    </row>
    <row r="922">
      <c r="L922" s="76"/>
      <c r="R922" s="76"/>
      <c r="X922" s="76"/>
      <c r="AD922" s="76"/>
      <c r="AJ922" s="76"/>
      <c r="AP922" s="76"/>
      <c r="AV922" s="76"/>
      <c r="BB922" s="76"/>
      <c r="BC922" s="38"/>
      <c r="BD922" s="38"/>
      <c r="BE922" s="38"/>
      <c r="BF922" s="38"/>
      <c r="BG922" s="38"/>
      <c r="BH922" s="38"/>
      <c r="BI922" s="38"/>
      <c r="BJ922" s="38"/>
      <c r="BK922" s="38"/>
    </row>
    <row r="923">
      <c r="L923" s="76"/>
      <c r="R923" s="76"/>
      <c r="X923" s="76"/>
      <c r="AD923" s="76"/>
      <c r="AJ923" s="76"/>
      <c r="AP923" s="76"/>
      <c r="AV923" s="76"/>
      <c r="BB923" s="76"/>
      <c r="BC923" s="38"/>
      <c r="BD923" s="38"/>
      <c r="BE923" s="38"/>
      <c r="BF923" s="38"/>
      <c r="BG923" s="38"/>
      <c r="BH923" s="38"/>
      <c r="BI923" s="38"/>
      <c r="BJ923" s="38"/>
      <c r="BK923" s="38"/>
    </row>
    <row r="924">
      <c r="L924" s="76"/>
      <c r="R924" s="76"/>
      <c r="X924" s="76"/>
      <c r="AD924" s="76"/>
      <c r="AJ924" s="76"/>
      <c r="AP924" s="76"/>
      <c r="AV924" s="76"/>
      <c r="BB924" s="76"/>
      <c r="BC924" s="38"/>
      <c r="BD924" s="38"/>
      <c r="BE924" s="38"/>
      <c r="BF924" s="38"/>
      <c r="BG924" s="38"/>
      <c r="BH924" s="38"/>
      <c r="BI924" s="38"/>
      <c r="BJ924" s="38"/>
      <c r="BK924" s="38"/>
    </row>
    <row r="925">
      <c r="L925" s="76"/>
      <c r="R925" s="76"/>
      <c r="X925" s="76"/>
      <c r="AD925" s="76"/>
      <c r="AJ925" s="76"/>
      <c r="AP925" s="76"/>
      <c r="AV925" s="76"/>
      <c r="BB925" s="76"/>
      <c r="BC925" s="38"/>
      <c r="BD925" s="38"/>
      <c r="BE925" s="38"/>
      <c r="BF925" s="38"/>
      <c r="BG925" s="38"/>
      <c r="BH925" s="38"/>
      <c r="BI925" s="38"/>
      <c r="BJ925" s="38"/>
      <c r="BK925" s="38"/>
    </row>
    <row r="926">
      <c r="L926" s="76"/>
      <c r="R926" s="76"/>
      <c r="X926" s="76"/>
      <c r="AD926" s="76"/>
      <c r="AJ926" s="76"/>
      <c r="AP926" s="76"/>
      <c r="AV926" s="76"/>
      <c r="BB926" s="76"/>
      <c r="BC926" s="38"/>
      <c r="BD926" s="38"/>
      <c r="BE926" s="38"/>
      <c r="BF926" s="38"/>
      <c r="BG926" s="38"/>
      <c r="BH926" s="38"/>
      <c r="BI926" s="38"/>
      <c r="BJ926" s="38"/>
      <c r="BK926" s="38"/>
    </row>
    <row r="927">
      <c r="L927" s="76"/>
      <c r="R927" s="76"/>
      <c r="X927" s="76"/>
      <c r="AD927" s="76"/>
      <c r="AJ927" s="76"/>
      <c r="AP927" s="76"/>
      <c r="AV927" s="76"/>
      <c r="BB927" s="76"/>
      <c r="BC927" s="38"/>
      <c r="BD927" s="38"/>
      <c r="BE927" s="38"/>
      <c r="BF927" s="38"/>
      <c r="BG927" s="38"/>
      <c r="BH927" s="38"/>
      <c r="BI927" s="38"/>
      <c r="BJ927" s="38"/>
      <c r="BK927" s="38"/>
    </row>
    <row r="928">
      <c r="L928" s="76"/>
      <c r="R928" s="76"/>
      <c r="X928" s="76"/>
      <c r="AD928" s="76"/>
      <c r="AJ928" s="76"/>
      <c r="AP928" s="76"/>
      <c r="AV928" s="76"/>
      <c r="BB928" s="76"/>
      <c r="BC928" s="38"/>
      <c r="BD928" s="38"/>
      <c r="BE928" s="38"/>
      <c r="BF928" s="38"/>
      <c r="BG928" s="38"/>
      <c r="BH928" s="38"/>
      <c r="BI928" s="38"/>
      <c r="BJ928" s="38"/>
      <c r="BK928" s="38"/>
    </row>
    <row r="929">
      <c r="L929" s="76"/>
      <c r="R929" s="76"/>
      <c r="X929" s="76"/>
      <c r="AD929" s="76"/>
      <c r="AJ929" s="76"/>
      <c r="AP929" s="76"/>
      <c r="AV929" s="76"/>
      <c r="BB929" s="76"/>
      <c r="BC929" s="38"/>
      <c r="BD929" s="38"/>
      <c r="BE929" s="38"/>
      <c r="BF929" s="38"/>
      <c r="BG929" s="38"/>
      <c r="BH929" s="38"/>
      <c r="BI929" s="38"/>
      <c r="BJ929" s="38"/>
      <c r="BK929" s="38"/>
    </row>
    <row r="930">
      <c r="L930" s="76"/>
      <c r="R930" s="76"/>
      <c r="X930" s="76"/>
      <c r="AD930" s="76"/>
      <c r="AJ930" s="76"/>
      <c r="AP930" s="76"/>
      <c r="AV930" s="76"/>
      <c r="BB930" s="76"/>
      <c r="BC930" s="38"/>
      <c r="BD930" s="38"/>
      <c r="BE930" s="38"/>
      <c r="BF930" s="38"/>
      <c r="BG930" s="38"/>
      <c r="BH930" s="38"/>
      <c r="BI930" s="38"/>
      <c r="BJ930" s="38"/>
      <c r="BK930" s="38"/>
    </row>
    <row r="931">
      <c r="L931" s="76"/>
      <c r="R931" s="76"/>
      <c r="X931" s="76"/>
      <c r="AD931" s="76"/>
      <c r="AJ931" s="76"/>
      <c r="AP931" s="76"/>
      <c r="AV931" s="76"/>
      <c r="BB931" s="76"/>
      <c r="BC931" s="38"/>
      <c r="BD931" s="38"/>
      <c r="BE931" s="38"/>
      <c r="BF931" s="38"/>
      <c r="BG931" s="38"/>
      <c r="BH931" s="38"/>
      <c r="BI931" s="38"/>
      <c r="BJ931" s="38"/>
      <c r="BK931" s="38"/>
    </row>
    <row r="932">
      <c r="L932" s="76"/>
      <c r="R932" s="76"/>
      <c r="X932" s="76"/>
      <c r="AD932" s="76"/>
      <c r="AJ932" s="76"/>
      <c r="AP932" s="76"/>
      <c r="AV932" s="76"/>
      <c r="BB932" s="76"/>
      <c r="BC932" s="38"/>
      <c r="BD932" s="38"/>
      <c r="BE932" s="38"/>
      <c r="BF932" s="38"/>
      <c r="BG932" s="38"/>
      <c r="BH932" s="38"/>
      <c r="BI932" s="38"/>
      <c r="BJ932" s="38"/>
      <c r="BK932" s="38"/>
    </row>
    <row r="933">
      <c r="L933" s="76"/>
      <c r="R933" s="76"/>
      <c r="X933" s="76"/>
      <c r="AD933" s="76"/>
      <c r="AJ933" s="76"/>
      <c r="AP933" s="76"/>
      <c r="AV933" s="76"/>
      <c r="BB933" s="76"/>
      <c r="BC933" s="38"/>
      <c r="BD933" s="38"/>
      <c r="BE933" s="38"/>
      <c r="BF933" s="38"/>
      <c r="BG933" s="38"/>
      <c r="BH933" s="38"/>
      <c r="BI933" s="38"/>
      <c r="BJ933" s="38"/>
      <c r="BK933" s="38"/>
    </row>
    <row r="934">
      <c r="L934" s="76"/>
      <c r="R934" s="76"/>
      <c r="X934" s="76"/>
      <c r="AD934" s="76"/>
      <c r="AJ934" s="76"/>
      <c r="AP934" s="76"/>
      <c r="AV934" s="76"/>
      <c r="BB934" s="76"/>
      <c r="BC934" s="38"/>
      <c r="BD934" s="38"/>
      <c r="BE934" s="38"/>
      <c r="BF934" s="38"/>
      <c r="BG934" s="38"/>
      <c r="BH934" s="38"/>
      <c r="BI934" s="38"/>
      <c r="BJ934" s="38"/>
      <c r="BK934" s="38"/>
    </row>
    <row r="935">
      <c r="L935" s="76"/>
      <c r="R935" s="76"/>
      <c r="X935" s="76"/>
      <c r="AD935" s="76"/>
      <c r="AJ935" s="76"/>
      <c r="AP935" s="76"/>
      <c r="AV935" s="76"/>
      <c r="BB935" s="76"/>
      <c r="BC935" s="38"/>
      <c r="BD935" s="38"/>
      <c r="BE935" s="38"/>
      <c r="BF935" s="38"/>
      <c r="BG935" s="38"/>
      <c r="BH935" s="38"/>
      <c r="BI935" s="38"/>
      <c r="BJ935" s="38"/>
      <c r="BK935" s="38"/>
    </row>
    <row r="936">
      <c r="L936" s="76"/>
      <c r="R936" s="76"/>
      <c r="X936" s="76"/>
      <c r="AD936" s="76"/>
      <c r="AJ936" s="76"/>
      <c r="AP936" s="76"/>
      <c r="AV936" s="76"/>
      <c r="BB936" s="76"/>
      <c r="BC936" s="38"/>
      <c r="BD936" s="38"/>
      <c r="BE936" s="38"/>
      <c r="BF936" s="38"/>
      <c r="BG936" s="38"/>
      <c r="BH936" s="38"/>
      <c r="BI936" s="38"/>
      <c r="BJ936" s="38"/>
      <c r="BK936" s="38"/>
    </row>
    <row r="937">
      <c r="L937" s="76"/>
      <c r="R937" s="76"/>
      <c r="X937" s="76"/>
      <c r="AD937" s="76"/>
      <c r="AJ937" s="76"/>
      <c r="AP937" s="76"/>
      <c r="AV937" s="76"/>
      <c r="BB937" s="76"/>
      <c r="BC937" s="38"/>
      <c r="BD937" s="38"/>
      <c r="BE937" s="38"/>
      <c r="BF937" s="38"/>
      <c r="BG937" s="38"/>
      <c r="BH937" s="38"/>
      <c r="BI937" s="38"/>
      <c r="BJ937" s="38"/>
      <c r="BK937" s="38"/>
    </row>
    <row r="938">
      <c r="L938" s="76"/>
      <c r="R938" s="76"/>
      <c r="X938" s="76"/>
      <c r="AD938" s="76"/>
      <c r="AJ938" s="76"/>
      <c r="AP938" s="76"/>
      <c r="AV938" s="76"/>
      <c r="BB938" s="76"/>
      <c r="BC938" s="38"/>
      <c r="BD938" s="38"/>
      <c r="BE938" s="38"/>
      <c r="BF938" s="38"/>
      <c r="BG938" s="38"/>
      <c r="BH938" s="38"/>
      <c r="BI938" s="38"/>
      <c r="BJ938" s="38"/>
      <c r="BK938" s="38"/>
    </row>
    <row r="939">
      <c r="L939" s="76"/>
      <c r="R939" s="76"/>
      <c r="X939" s="76"/>
      <c r="AD939" s="76"/>
      <c r="AJ939" s="76"/>
      <c r="AP939" s="76"/>
      <c r="AV939" s="76"/>
      <c r="BB939" s="76"/>
      <c r="BC939" s="38"/>
      <c r="BD939" s="38"/>
      <c r="BE939" s="38"/>
      <c r="BF939" s="38"/>
      <c r="BG939" s="38"/>
      <c r="BH939" s="38"/>
      <c r="BI939" s="38"/>
      <c r="BJ939" s="38"/>
      <c r="BK939" s="38"/>
    </row>
    <row r="940">
      <c r="L940" s="76"/>
      <c r="R940" s="76"/>
      <c r="X940" s="76"/>
      <c r="AD940" s="76"/>
      <c r="AJ940" s="76"/>
      <c r="AP940" s="76"/>
      <c r="AV940" s="76"/>
      <c r="BB940" s="76"/>
      <c r="BC940" s="38"/>
      <c r="BD940" s="38"/>
      <c r="BE940" s="38"/>
      <c r="BF940" s="38"/>
      <c r="BG940" s="38"/>
      <c r="BH940" s="38"/>
      <c r="BI940" s="38"/>
      <c r="BJ940" s="38"/>
      <c r="BK940" s="38"/>
    </row>
    <row r="941">
      <c r="L941" s="76"/>
      <c r="R941" s="76"/>
      <c r="X941" s="76"/>
      <c r="AD941" s="76"/>
      <c r="AJ941" s="76"/>
      <c r="AP941" s="76"/>
      <c r="AV941" s="76"/>
      <c r="BB941" s="76"/>
      <c r="BC941" s="38"/>
      <c r="BD941" s="38"/>
      <c r="BE941" s="38"/>
      <c r="BF941" s="38"/>
      <c r="BG941" s="38"/>
      <c r="BH941" s="38"/>
      <c r="BI941" s="38"/>
      <c r="BJ941" s="38"/>
      <c r="BK941" s="38"/>
    </row>
    <row r="942">
      <c r="L942" s="76"/>
      <c r="R942" s="76"/>
      <c r="X942" s="76"/>
      <c r="AD942" s="76"/>
      <c r="AJ942" s="76"/>
      <c r="AP942" s="76"/>
      <c r="AV942" s="76"/>
      <c r="BB942" s="76"/>
      <c r="BC942" s="38"/>
      <c r="BD942" s="38"/>
      <c r="BE942" s="38"/>
      <c r="BF942" s="38"/>
      <c r="BG942" s="38"/>
      <c r="BH942" s="38"/>
      <c r="BI942" s="38"/>
      <c r="BJ942" s="38"/>
      <c r="BK942" s="38"/>
    </row>
    <row r="943">
      <c r="L943" s="76"/>
      <c r="R943" s="76"/>
      <c r="X943" s="76"/>
      <c r="AD943" s="76"/>
      <c r="AJ943" s="76"/>
      <c r="AP943" s="76"/>
      <c r="AV943" s="76"/>
      <c r="BB943" s="76"/>
      <c r="BC943" s="38"/>
      <c r="BD943" s="38"/>
      <c r="BE943" s="38"/>
      <c r="BF943" s="38"/>
      <c r="BG943" s="38"/>
      <c r="BH943" s="38"/>
      <c r="BI943" s="38"/>
      <c r="BJ943" s="38"/>
      <c r="BK943" s="38"/>
    </row>
    <row r="944">
      <c r="L944" s="76"/>
      <c r="R944" s="76"/>
      <c r="X944" s="76"/>
      <c r="AD944" s="76"/>
      <c r="AJ944" s="76"/>
      <c r="AP944" s="76"/>
      <c r="AV944" s="76"/>
      <c r="BB944" s="76"/>
      <c r="BC944" s="38"/>
      <c r="BD944" s="38"/>
      <c r="BE944" s="38"/>
      <c r="BF944" s="38"/>
      <c r="BG944" s="38"/>
      <c r="BH944" s="38"/>
      <c r="BI944" s="38"/>
      <c r="BJ944" s="38"/>
      <c r="BK944" s="38"/>
    </row>
    <row r="945">
      <c r="L945" s="76"/>
      <c r="R945" s="76"/>
      <c r="X945" s="76"/>
      <c r="AD945" s="76"/>
      <c r="AJ945" s="76"/>
      <c r="AP945" s="76"/>
      <c r="AV945" s="76"/>
      <c r="BB945" s="76"/>
      <c r="BC945" s="38"/>
      <c r="BD945" s="38"/>
      <c r="BE945" s="38"/>
      <c r="BF945" s="38"/>
      <c r="BG945" s="38"/>
      <c r="BH945" s="38"/>
      <c r="BI945" s="38"/>
      <c r="BJ945" s="38"/>
      <c r="BK945" s="38"/>
    </row>
    <row r="946">
      <c r="L946" s="76"/>
      <c r="R946" s="76"/>
      <c r="X946" s="76"/>
      <c r="AD946" s="76"/>
      <c r="AJ946" s="76"/>
      <c r="AP946" s="76"/>
      <c r="AV946" s="76"/>
      <c r="BB946" s="76"/>
      <c r="BC946" s="38"/>
      <c r="BD946" s="38"/>
      <c r="BE946" s="38"/>
      <c r="BF946" s="38"/>
      <c r="BG946" s="38"/>
      <c r="BH946" s="38"/>
      <c r="BI946" s="38"/>
      <c r="BJ946" s="38"/>
      <c r="BK946" s="38"/>
    </row>
    <row r="947">
      <c r="L947" s="76"/>
      <c r="R947" s="76"/>
      <c r="X947" s="76"/>
      <c r="AD947" s="76"/>
      <c r="AJ947" s="76"/>
      <c r="AP947" s="76"/>
      <c r="AV947" s="76"/>
      <c r="BB947" s="76"/>
      <c r="BC947" s="38"/>
      <c r="BD947" s="38"/>
      <c r="BE947" s="38"/>
      <c r="BF947" s="38"/>
      <c r="BG947" s="38"/>
      <c r="BH947" s="38"/>
      <c r="BI947" s="38"/>
      <c r="BJ947" s="38"/>
      <c r="BK947" s="38"/>
    </row>
    <row r="948">
      <c r="L948" s="76"/>
      <c r="R948" s="76"/>
      <c r="X948" s="76"/>
      <c r="AD948" s="76"/>
      <c r="AJ948" s="76"/>
      <c r="AP948" s="76"/>
      <c r="AV948" s="76"/>
      <c r="BB948" s="76"/>
      <c r="BC948" s="38"/>
      <c r="BD948" s="38"/>
      <c r="BE948" s="38"/>
      <c r="BF948" s="38"/>
      <c r="BG948" s="38"/>
      <c r="BH948" s="38"/>
      <c r="BI948" s="38"/>
      <c r="BJ948" s="38"/>
      <c r="BK948" s="38"/>
    </row>
    <row r="949">
      <c r="L949" s="76"/>
      <c r="R949" s="76"/>
      <c r="X949" s="76"/>
      <c r="AD949" s="76"/>
      <c r="AJ949" s="76"/>
      <c r="AP949" s="76"/>
      <c r="AV949" s="76"/>
      <c r="BB949" s="76"/>
      <c r="BC949" s="38"/>
      <c r="BD949" s="38"/>
      <c r="BE949" s="38"/>
      <c r="BF949" s="38"/>
      <c r="BG949" s="38"/>
      <c r="BH949" s="38"/>
      <c r="BI949" s="38"/>
      <c r="BJ949" s="38"/>
      <c r="BK949" s="38"/>
    </row>
    <row r="950">
      <c r="L950" s="76"/>
      <c r="R950" s="76"/>
      <c r="X950" s="76"/>
      <c r="AD950" s="76"/>
      <c r="AJ950" s="76"/>
      <c r="AP950" s="76"/>
      <c r="AV950" s="76"/>
      <c r="BB950" s="76"/>
      <c r="BC950" s="38"/>
      <c r="BD950" s="38"/>
      <c r="BE950" s="38"/>
      <c r="BF950" s="38"/>
      <c r="BG950" s="38"/>
      <c r="BH950" s="38"/>
      <c r="BI950" s="38"/>
      <c r="BJ950" s="38"/>
      <c r="BK950" s="38"/>
    </row>
    <row r="951">
      <c r="L951" s="76"/>
      <c r="R951" s="76"/>
      <c r="X951" s="76"/>
      <c r="AD951" s="76"/>
      <c r="AJ951" s="76"/>
      <c r="AP951" s="76"/>
      <c r="AV951" s="76"/>
      <c r="BB951" s="76"/>
      <c r="BC951" s="38"/>
      <c r="BD951" s="38"/>
      <c r="BE951" s="38"/>
      <c r="BF951" s="38"/>
      <c r="BG951" s="38"/>
      <c r="BH951" s="38"/>
      <c r="BI951" s="38"/>
      <c r="BJ951" s="38"/>
      <c r="BK951" s="38"/>
    </row>
    <row r="952">
      <c r="L952" s="76"/>
      <c r="R952" s="76"/>
      <c r="X952" s="76"/>
      <c r="AD952" s="76"/>
      <c r="AJ952" s="76"/>
      <c r="AP952" s="76"/>
      <c r="AV952" s="76"/>
      <c r="BB952" s="76"/>
      <c r="BC952" s="38"/>
      <c r="BD952" s="38"/>
      <c r="BE952" s="38"/>
      <c r="BF952" s="38"/>
      <c r="BG952" s="38"/>
      <c r="BH952" s="38"/>
      <c r="BI952" s="38"/>
      <c r="BJ952" s="38"/>
      <c r="BK952" s="38"/>
    </row>
    <row r="953">
      <c r="L953" s="76"/>
      <c r="R953" s="76"/>
      <c r="X953" s="76"/>
      <c r="AD953" s="76"/>
      <c r="AJ953" s="76"/>
      <c r="AP953" s="76"/>
      <c r="AV953" s="76"/>
      <c r="BB953" s="76"/>
      <c r="BC953" s="38"/>
      <c r="BD953" s="38"/>
      <c r="BE953" s="38"/>
      <c r="BF953" s="38"/>
      <c r="BG953" s="38"/>
      <c r="BH953" s="38"/>
      <c r="BI953" s="38"/>
      <c r="BJ953" s="38"/>
      <c r="BK953" s="38"/>
    </row>
    <row r="954">
      <c r="L954" s="76"/>
      <c r="R954" s="76"/>
      <c r="X954" s="76"/>
      <c r="AD954" s="76"/>
      <c r="AJ954" s="76"/>
      <c r="AP954" s="76"/>
      <c r="AV954" s="76"/>
      <c r="BB954" s="76"/>
      <c r="BC954" s="38"/>
      <c r="BD954" s="38"/>
      <c r="BE954" s="38"/>
      <c r="BF954" s="38"/>
      <c r="BG954" s="38"/>
      <c r="BH954" s="38"/>
      <c r="BI954" s="38"/>
      <c r="BJ954" s="38"/>
      <c r="BK954" s="38"/>
    </row>
    <row r="955">
      <c r="L955" s="76"/>
      <c r="R955" s="76"/>
      <c r="X955" s="76"/>
      <c r="AD955" s="76"/>
      <c r="AJ955" s="76"/>
      <c r="AP955" s="76"/>
      <c r="AV955" s="76"/>
      <c r="BB955" s="76"/>
      <c r="BC955" s="38"/>
      <c r="BD955" s="38"/>
      <c r="BE955" s="38"/>
      <c r="BF955" s="38"/>
      <c r="BG955" s="38"/>
      <c r="BH955" s="38"/>
      <c r="BI955" s="38"/>
      <c r="BJ955" s="38"/>
      <c r="BK955" s="38"/>
    </row>
    <row r="956">
      <c r="L956" s="76"/>
      <c r="R956" s="76"/>
      <c r="X956" s="76"/>
      <c r="AD956" s="76"/>
      <c r="AJ956" s="76"/>
      <c r="AP956" s="76"/>
      <c r="AV956" s="76"/>
      <c r="BB956" s="76"/>
      <c r="BC956" s="38"/>
      <c r="BD956" s="38"/>
      <c r="BE956" s="38"/>
      <c r="BF956" s="38"/>
      <c r="BG956" s="38"/>
      <c r="BH956" s="38"/>
      <c r="BI956" s="38"/>
      <c r="BJ956" s="38"/>
      <c r="BK956" s="38"/>
    </row>
    <row r="957">
      <c r="L957" s="76"/>
      <c r="R957" s="76"/>
      <c r="X957" s="76"/>
      <c r="AD957" s="76"/>
      <c r="AJ957" s="76"/>
      <c r="AP957" s="76"/>
      <c r="AV957" s="76"/>
      <c r="BB957" s="76"/>
      <c r="BC957" s="38"/>
      <c r="BD957" s="38"/>
      <c r="BE957" s="38"/>
      <c r="BF957" s="38"/>
      <c r="BG957" s="38"/>
      <c r="BH957" s="38"/>
      <c r="BI957" s="38"/>
      <c r="BJ957" s="38"/>
      <c r="BK957" s="38"/>
    </row>
    <row r="958">
      <c r="L958" s="76"/>
      <c r="R958" s="76"/>
      <c r="X958" s="76"/>
      <c r="AD958" s="76"/>
      <c r="AJ958" s="76"/>
      <c r="AP958" s="76"/>
      <c r="AV958" s="76"/>
      <c r="BB958" s="76"/>
      <c r="BC958" s="38"/>
      <c r="BD958" s="38"/>
      <c r="BE958" s="38"/>
      <c r="BF958" s="38"/>
      <c r="BG958" s="38"/>
      <c r="BH958" s="38"/>
      <c r="BI958" s="38"/>
      <c r="BJ958" s="38"/>
      <c r="BK958" s="38"/>
    </row>
    <row r="959">
      <c r="L959" s="76"/>
      <c r="R959" s="76"/>
      <c r="X959" s="76"/>
      <c r="AD959" s="76"/>
      <c r="AJ959" s="76"/>
      <c r="AP959" s="76"/>
      <c r="AV959" s="76"/>
      <c r="BB959" s="76"/>
      <c r="BC959" s="38"/>
      <c r="BD959" s="38"/>
      <c r="BE959" s="38"/>
      <c r="BF959" s="38"/>
      <c r="BG959" s="38"/>
      <c r="BH959" s="38"/>
      <c r="BI959" s="38"/>
      <c r="BJ959" s="38"/>
      <c r="BK959" s="38"/>
    </row>
    <row r="960">
      <c r="L960" s="76"/>
      <c r="R960" s="76"/>
      <c r="X960" s="76"/>
      <c r="AD960" s="76"/>
      <c r="AJ960" s="76"/>
      <c r="AP960" s="76"/>
      <c r="AV960" s="76"/>
      <c r="BB960" s="76"/>
      <c r="BC960" s="38"/>
      <c r="BD960" s="38"/>
      <c r="BE960" s="38"/>
      <c r="BF960" s="38"/>
      <c r="BG960" s="38"/>
      <c r="BH960" s="38"/>
      <c r="BI960" s="38"/>
      <c r="BJ960" s="38"/>
      <c r="BK960" s="38"/>
    </row>
    <row r="961">
      <c r="L961" s="76"/>
      <c r="R961" s="76"/>
      <c r="X961" s="76"/>
      <c r="AD961" s="76"/>
      <c r="AJ961" s="76"/>
      <c r="AP961" s="76"/>
      <c r="AV961" s="76"/>
      <c r="BB961" s="76"/>
      <c r="BC961" s="38"/>
      <c r="BD961" s="38"/>
      <c r="BE961" s="38"/>
      <c r="BF961" s="38"/>
      <c r="BG961" s="38"/>
      <c r="BH961" s="38"/>
      <c r="BI961" s="38"/>
      <c r="BJ961" s="38"/>
      <c r="BK961" s="38"/>
    </row>
    <row r="962">
      <c r="L962" s="76"/>
      <c r="R962" s="76"/>
      <c r="X962" s="76"/>
      <c r="AD962" s="76"/>
      <c r="AJ962" s="76"/>
      <c r="AP962" s="76"/>
      <c r="AV962" s="76"/>
      <c r="BB962" s="76"/>
      <c r="BC962" s="38"/>
      <c r="BD962" s="38"/>
      <c r="BE962" s="38"/>
      <c r="BF962" s="38"/>
      <c r="BG962" s="38"/>
      <c r="BH962" s="38"/>
      <c r="BI962" s="38"/>
      <c r="BJ962" s="38"/>
      <c r="BK962" s="38"/>
    </row>
    <row r="963">
      <c r="L963" s="76"/>
      <c r="R963" s="76"/>
      <c r="X963" s="76"/>
      <c r="AD963" s="76"/>
      <c r="AJ963" s="76"/>
      <c r="AP963" s="76"/>
      <c r="AV963" s="76"/>
      <c r="BB963" s="76"/>
      <c r="BC963" s="38"/>
      <c r="BD963" s="38"/>
      <c r="BE963" s="38"/>
      <c r="BF963" s="38"/>
      <c r="BG963" s="38"/>
      <c r="BH963" s="38"/>
      <c r="BI963" s="38"/>
      <c r="BJ963" s="38"/>
      <c r="BK963" s="38"/>
    </row>
    <row r="964">
      <c r="L964" s="76"/>
      <c r="R964" s="76"/>
      <c r="X964" s="76"/>
      <c r="AD964" s="76"/>
      <c r="AJ964" s="76"/>
      <c r="AP964" s="76"/>
      <c r="AV964" s="76"/>
      <c r="BB964" s="76"/>
      <c r="BC964" s="38"/>
      <c r="BD964" s="38"/>
      <c r="BE964" s="38"/>
      <c r="BF964" s="38"/>
      <c r="BG964" s="38"/>
      <c r="BH964" s="38"/>
      <c r="BI964" s="38"/>
      <c r="BJ964" s="38"/>
      <c r="BK964" s="38"/>
    </row>
    <row r="965">
      <c r="L965" s="76"/>
      <c r="R965" s="76"/>
      <c r="X965" s="76"/>
      <c r="AD965" s="76"/>
      <c r="AJ965" s="76"/>
      <c r="AP965" s="76"/>
      <c r="AV965" s="76"/>
      <c r="BB965" s="76"/>
      <c r="BC965" s="38"/>
      <c r="BD965" s="38"/>
      <c r="BE965" s="38"/>
      <c r="BF965" s="38"/>
      <c r="BG965" s="38"/>
      <c r="BH965" s="38"/>
      <c r="BI965" s="38"/>
      <c r="BJ965" s="38"/>
      <c r="BK965" s="38"/>
    </row>
    <row r="966">
      <c r="L966" s="76"/>
      <c r="R966" s="76"/>
      <c r="X966" s="76"/>
      <c r="AD966" s="76"/>
      <c r="AJ966" s="76"/>
      <c r="AP966" s="76"/>
      <c r="AV966" s="76"/>
      <c r="BB966" s="76"/>
      <c r="BC966" s="38"/>
      <c r="BD966" s="38"/>
      <c r="BE966" s="38"/>
      <c r="BF966" s="38"/>
      <c r="BG966" s="38"/>
      <c r="BH966" s="38"/>
      <c r="BI966" s="38"/>
      <c r="BJ966" s="38"/>
      <c r="BK966" s="38"/>
    </row>
    <row r="967">
      <c r="L967" s="76"/>
      <c r="R967" s="76"/>
      <c r="X967" s="76"/>
      <c r="AD967" s="76"/>
      <c r="AJ967" s="76"/>
      <c r="AP967" s="76"/>
      <c r="AV967" s="76"/>
      <c r="BB967" s="76"/>
      <c r="BC967" s="38"/>
      <c r="BD967" s="38"/>
      <c r="BE967" s="38"/>
      <c r="BF967" s="38"/>
      <c r="BG967" s="38"/>
      <c r="BH967" s="38"/>
      <c r="BI967" s="38"/>
      <c r="BJ967" s="38"/>
      <c r="BK967" s="38"/>
    </row>
    <row r="968">
      <c r="L968" s="76"/>
      <c r="R968" s="76"/>
      <c r="X968" s="76"/>
      <c r="AD968" s="76"/>
      <c r="AJ968" s="76"/>
      <c r="AP968" s="76"/>
      <c r="AV968" s="76"/>
      <c r="BB968" s="76"/>
      <c r="BC968" s="38"/>
      <c r="BD968" s="38"/>
      <c r="BE968" s="38"/>
      <c r="BF968" s="38"/>
      <c r="BG968" s="38"/>
      <c r="BH968" s="38"/>
      <c r="BI968" s="38"/>
      <c r="BJ968" s="38"/>
      <c r="BK968" s="38"/>
    </row>
    <row r="969">
      <c r="L969" s="76"/>
      <c r="R969" s="76"/>
      <c r="X969" s="76"/>
      <c r="AD969" s="76"/>
      <c r="AJ969" s="76"/>
      <c r="AP969" s="76"/>
      <c r="AV969" s="76"/>
      <c r="BB969" s="76"/>
      <c r="BC969" s="38"/>
      <c r="BD969" s="38"/>
      <c r="BE969" s="38"/>
      <c r="BF969" s="38"/>
      <c r="BG969" s="38"/>
      <c r="BH969" s="38"/>
      <c r="BI969" s="38"/>
      <c r="BJ969" s="38"/>
      <c r="BK969" s="38"/>
    </row>
    <row r="970">
      <c r="L970" s="76"/>
      <c r="R970" s="76"/>
      <c r="X970" s="76"/>
      <c r="AD970" s="76"/>
      <c r="AJ970" s="76"/>
      <c r="AP970" s="76"/>
      <c r="AV970" s="76"/>
      <c r="BB970" s="76"/>
      <c r="BC970" s="38"/>
      <c r="BD970" s="38"/>
      <c r="BE970" s="38"/>
      <c r="BF970" s="38"/>
      <c r="BG970" s="38"/>
      <c r="BH970" s="38"/>
      <c r="BI970" s="38"/>
      <c r="BJ970" s="38"/>
      <c r="BK970" s="38"/>
    </row>
    <row r="971">
      <c r="L971" s="76"/>
      <c r="R971" s="76"/>
      <c r="X971" s="76"/>
      <c r="AD971" s="76"/>
      <c r="AJ971" s="76"/>
      <c r="AP971" s="76"/>
      <c r="AV971" s="76"/>
      <c r="BB971" s="76"/>
      <c r="BC971" s="38"/>
      <c r="BD971" s="38"/>
      <c r="BE971" s="38"/>
      <c r="BF971" s="38"/>
      <c r="BG971" s="38"/>
      <c r="BH971" s="38"/>
      <c r="BI971" s="38"/>
      <c r="BJ971" s="38"/>
      <c r="BK971" s="38"/>
    </row>
    <row r="972">
      <c r="L972" s="76"/>
      <c r="R972" s="76"/>
      <c r="X972" s="76"/>
      <c r="AD972" s="76"/>
      <c r="AJ972" s="76"/>
      <c r="AP972" s="76"/>
      <c r="AV972" s="76"/>
      <c r="BB972" s="76"/>
      <c r="BC972" s="38"/>
      <c r="BD972" s="38"/>
      <c r="BE972" s="38"/>
      <c r="BF972" s="38"/>
      <c r="BG972" s="38"/>
      <c r="BH972" s="38"/>
      <c r="BI972" s="38"/>
      <c r="BJ972" s="38"/>
      <c r="BK972" s="38"/>
    </row>
    <row r="973">
      <c r="L973" s="76"/>
      <c r="R973" s="76"/>
      <c r="X973" s="76"/>
      <c r="AD973" s="76"/>
      <c r="AJ973" s="76"/>
      <c r="AP973" s="76"/>
      <c r="AV973" s="76"/>
      <c r="BB973" s="76"/>
      <c r="BC973" s="38"/>
      <c r="BD973" s="38"/>
      <c r="BE973" s="38"/>
      <c r="BF973" s="38"/>
      <c r="BG973" s="38"/>
      <c r="BH973" s="38"/>
      <c r="BI973" s="38"/>
      <c r="BJ973" s="38"/>
      <c r="BK973" s="38"/>
    </row>
    <row r="974">
      <c r="L974" s="76"/>
      <c r="R974" s="76"/>
      <c r="X974" s="76"/>
      <c r="AD974" s="76"/>
      <c r="AJ974" s="76"/>
      <c r="AP974" s="76"/>
      <c r="AV974" s="76"/>
      <c r="BB974" s="76"/>
      <c r="BC974" s="38"/>
      <c r="BD974" s="38"/>
      <c r="BE974" s="38"/>
      <c r="BF974" s="38"/>
      <c r="BG974" s="38"/>
      <c r="BH974" s="38"/>
      <c r="BI974" s="38"/>
      <c r="BJ974" s="38"/>
      <c r="BK974" s="38"/>
    </row>
    <row r="975">
      <c r="L975" s="76"/>
      <c r="R975" s="76"/>
      <c r="X975" s="76"/>
      <c r="AD975" s="76"/>
      <c r="AJ975" s="76"/>
      <c r="AP975" s="76"/>
      <c r="AV975" s="76"/>
      <c r="BB975" s="76"/>
      <c r="BC975" s="38"/>
      <c r="BD975" s="38"/>
      <c r="BE975" s="38"/>
      <c r="BF975" s="38"/>
      <c r="BG975" s="38"/>
      <c r="BH975" s="38"/>
      <c r="BI975" s="38"/>
      <c r="BJ975" s="38"/>
      <c r="BK975" s="38"/>
    </row>
    <row r="976">
      <c r="L976" s="76"/>
      <c r="R976" s="76"/>
      <c r="X976" s="76"/>
      <c r="AD976" s="76"/>
      <c r="AJ976" s="76"/>
      <c r="AP976" s="76"/>
      <c r="AV976" s="76"/>
      <c r="BB976" s="76"/>
      <c r="BC976" s="38"/>
      <c r="BD976" s="38"/>
      <c r="BE976" s="38"/>
      <c r="BF976" s="38"/>
      <c r="BG976" s="38"/>
      <c r="BH976" s="38"/>
      <c r="BI976" s="38"/>
      <c r="BJ976" s="38"/>
      <c r="BK976" s="38"/>
    </row>
    <row r="977">
      <c r="L977" s="76"/>
      <c r="R977" s="76"/>
      <c r="X977" s="76"/>
      <c r="AD977" s="76"/>
      <c r="AJ977" s="76"/>
      <c r="AP977" s="76"/>
      <c r="AV977" s="76"/>
      <c r="BB977" s="76"/>
      <c r="BC977" s="38"/>
      <c r="BD977" s="38"/>
      <c r="BE977" s="38"/>
      <c r="BF977" s="38"/>
      <c r="BG977" s="38"/>
      <c r="BH977" s="38"/>
      <c r="BI977" s="38"/>
      <c r="BJ977" s="38"/>
      <c r="BK977" s="38"/>
    </row>
    <row r="978">
      <c r="L978" s="76"/>
      <c r="R978" s="76"/>
      <c r="X978" s="76"/>
      <c r="AD978" s="76"/>
      <c r="AJ978" s="76"/>
      <c r="AP978" s="76"/>
      <c r="AV978" s="76"/>
      <c r="BB978" s="76"/>
      <c r="BC978" s="38"/>
      <c r="BD978" s="38"/>
      <c r="BE978" s="38"/>
      <c r="BF978" s="38"/>
      <c r="BG978" s="38"/>
      <c r="BH978" s="38"/>
      <c r="BI978" s="38"/>
      <c r="BJ978" s="38"/>
      <c r="BK978" s="38"/>
    </row>
    <row r="979">
      <c r="L979" s="76"/>
      <c r="R979" s="76"/>
      <c r="X979" s="76"/>
      <c r="AD979" s="76"/>
      <c r="AJ979" s="76"/>
      <c r="AP979" s="76"/>
      <c r="AV979" s="76"/>
      <c r="BB979" s="76"/>
      <c r="BC979" s="38"/>
      <c r="BD979" s="38"/>
      <c r="BE979" s="38"/>
      <c r="BF979" s="38"/>
      <c r="BG979" s="38"/>
      <c r="BH979" s="38"/>
      <c r="BI979" s="38"/>
      <c r="BJ979" s="38"/>
      <c r="BK979" s="38"/>
    </row>
    <row r="980">
      <c r="L980" s="76"/>
      <c r="R980" s="76"/>
      <c r="X980" s="76"/>
      <c r="AD980" s="76"/>
      <c r="AJ980" s="76"/>
      <c r="AP980" s="76"/>
      <c r="AV980" s="76"/>
      <c r="BB980" s="76"/>
      <c r="BC980" s="38"/>
      <c r="BD980" s="38"/>
      <c r="BE980" s="38"/>
      <c r="BF980" s="38"/>
      <c r="BG980" s="38"/>
      <c r="BH980" s="38"/>
      <c r="BI980" s="38"/>
      <c r="BJ980" s="38"/>
      <c r="BK980" s="38"/>
    </row>
    <row r="981">
      <c r="L981" s="76"/>
      <c r="R981" s="76"/>
      <c r="X981" s="76"/>
      <c r="AD981" s="76"/>
      <c r="AJ981" s="76"/>
      <c r="AP981" s="76"/>
      <c r="AV981" s="76"/>
      <c r="BB981" s="76"/>
      <c r="BC981" s="38"/>
      <c r="BD981" s="38"/>
      <c r="BE981" s="38"/>
      <c r="BF981" s="38"/>
      <c r="BG981" s="38"/>
      <c r="BH981" s="38"/>
      <c r="BI981" s="38"/>
      <c r="BJ981" s="38"/>
      <c r="BK981" s="38"/>
    </row>
    <row r="982">
      <c r="L982" s="76"/>
      <c r="R982" s="76"/>
      <c r="X982" s="76"/>
      <c r="AD982" s="76"/>
      <c r="AJ982" s="76"/>
      <c r="AP982" s="76"/>
      <c r="AV982" s="76"/>
      <c r="BB982" s="76"/>
      <c r="BC982" s="38"/>
      <c r="BD982" s="38"/>
      <c r="BE982" s="38"/>
      <c r="BF982" s="38"/>
      <c r="BG982" s="38"/>
      <c r="BH982" s="38"/>
      <c r="BI982" s="38"/>
      <c r="BJ982" s="38"/>
      <c r="BK982" s="38"/>
    </row>
    <row r="983">
      <c r="L983" s="76"/>
      <c r="R983" s="76"/>
      <c r="X983" s="76"/>
      <c r="AD983" s="76"/>
      <c r="AJ983" s="76"/>
      <c r="AP983" s="76"/>
      <c r="AV983" s="76"/>
      <c r="BB983" s="76"/>
      <c r="BC983" s="38"/>
      <c r="BD983" s="38"/>
      <c r="BE983" s="38"/>
      <c r="BF983" s="38"/>
      <c r="BG983" s="38"/>
      <c r="BH983" s="38"/>
      <c r="BI983" s="38"/>
      <c r="BJ983" s="38"/>
      <c r="BK983" s="38"/>
    </row>
    <row r="984">
      <c r="L984" s="76"/>
      <c r="R984" s="76"/>
      <c r="X984" s="76"/>
      <c r="AD984" s="76"/>
      <c r="AJ984" s="76"/>
      <c r="AP984" s="76"/>
      <c r="AV984" s="76"/>
      <c r="BB984" s="76"/>
      <c r="BC984" s="38"/>
      <c r="BD984" s="38"/>
      <c r="BE984" s="38"/>
      <c r="BF984" s="38"/>
      <c r="BG984" s="38"/>
      <c r="BH984" s="38"/>
      <c r="BI984" s="38"/>
      <c r="BJ984" s="38"/>
      <c r="BK984" s="38"/>
    </row>
    <row r="985">
      <c r="L985" s="76"/>
      <c r="R985" s="76"/>
      <c r="X985" s="76"/>
      <c r="AD985" s="76"/>
      <c r="AJ985" s="76"/>
      <c r="AP985" s="76"/>
      <c r="AV985" s="76"/>
      <c r="BB985" s="76"/>
      <c r="BC985" s="38"/>
      <c r="BD985" s="38"/>
      <c r="BE985" s="38"/>
      <c r="BF985" s="38"/>
      <c r="BG985" s="38"/>
      <c r="BH985" s="38"/>
      <c r="BI985" s="38"/>
      <c r="BJ985" s="38"/>
      <c r="BK985" s="38"/>
    </row>
    <row r="986">
      <c r="L986" s="76"/>
      <c r="R986" s="76"/>
      <c r="X986" s="76"/>
      <c r="AD986" s="76"/>
      <c r="AJ986" s="76"/>
      <c r="AP986" s="76"/>
      <c r="AV986" s="76"/>
      <c r="BB986" s="76"/>
      <c r="BC986" s="38"/>
      <c r="BD986" s="38"/>
      <c r="BE986" s="38"/>
      <c r="BF986" s="38"/>
      <c r="BG986" s="38"/>
      <c r="BH986" s="38"/>
      <c r="BI986" s="38"/>
      <c r="BJ986" s="38"/>
      <c r="BK986" s="38"/>
    </row>
    <row r="987">
      <c r="L987" s="76"/>
      <c r="R987" s="76"/>
      <c r="X987" s="76"/>
      <c r="AD987" s="76"/>
      <c r="AJ987" s="76"/>
      <c r="AP987" s="76"/>
      <c r="AV987" s="76"/>
      <c r="BB987" s="76"/>
      <c r="BC987" s="38"/>
      <c r="BD987" s="38"/>
      <c r="BE987" s="38"/>
      <c r="BF987" s="38"/>
      <c r="BG987" s="38"/>
      <c r="BH987" s="38"/>
      <c r="BI987" s="38"/>
      <c r="BJ987" s="38"/>
      <c r="BK987" s="38"/>
    </row>
    <row r="988">
      <c r="L988" s="76"/>
      <c r="R988" s="76"/>
      <c r="X988" s="76"/>
      <c r="AD988" s="76"/>
      <c r="AJ988" s="76"/>
      <c r="AP988" s="76"/>
      <c r="AV988" s="76"/>
      <c r="BB988" s="76"/>
      <c r="BC988" s="38"/>
      <c r="BD988" s="38"/>
      <c r="BE988" s="38"/>
      <c r="BF988" s="38"/>
      <c r="BG988" s="38"/>
      <c r="BH988" s="38"/>
      <c r="BI988" s="38"/>
      <c r="BJ988" s="38"/>
      <c r="BK988" s="38"/>
    </row>
    <row r="989">
      <c r="L989" s="76"/>
      <c r="R989" s="76"/>
      <c r="X989" s="76"/>
      <c r="AD989" s="76"/>
      <c r="AJ989" s="76"/>
      <c r="AP989" s="76"/>
      <c r="AV989" s="76"/>
      <c r="BB989" s="76"/>
      <c r="BC989" s="38"/>
      <c r="BD989" s="38"/>
      <c r="BE989" s="38"/>
      <c r="BF989" s="38"/>
      <c r="BG989" s="38"/>
      <c r="BH989" s="38"/>
      <c r="BI989" s="38"/>
      <c r="BJ989" s="38"/>
      <c r="BK989" s="38"/>
    </row>
    <row r="990">
      <c r="L990" s="76"/>
      <c r="R990" s="76"/>
      <c r="X990" s="76"/>
      <c r="AD990" s="76"/>
      <c r="AJ990" s="76"/>
      <c r="AP990" s="76"/>
      <c r="AV990" s="76"/>
      <c r="BB990" s="76"/>
      <c r="BC990" s="38"/>
      <c r="BD990" s="38"/>
      <c r="BE990" s="38"/>
      <c r="BF990" s="38"/>
      <c r="BG990" s="38"/>
      <c r="BH990" s="38"/>
      <c r="BI990" s="38"/>
      <c r="BJ990" s="38"/>
      <c r="BK990" s="38"/>
    </row>
    <row r="991">
      <c r="L991" s="76"/>
      <c r="R991" s="76"/>
      <c r="X991" s="76"/>
      <c r="AD991" s="76"/>
      <c r="AJ991" s="76"/>
      <c r="AP991" s="76"/>
      <c r="AV991" s="76"/>
      <c r="BB991" s="76"/>
      <c r="BC991" s="38"/>
      <c r="BD991" s="38"/>
      <c r="BE991" s="38"/>
      <c r="BF991" s="38"/>
      <c r="BG991" s="38"/>
      <c r="BH991" s="38"/>
      <c r="BI991" s="38"/>
      <c r="BJ991" s="38"/>
      <c r="BK991" s="38"/>
    </row>
    <row r="992">
      <c r="L992" s="76"/>
      <c r="R992" s="76"/>
      <c r="X992" s="76"/>
      <c r="AD992" s="76"/>
      <c r="AJ992" s="76"/>
      <c r="AP992" s="76"/>
      <c r="AV992" s="76"/>
      <c r="BB992" s="76"/>
      <c r="BC992" s="38"/>
      <c r="BD992" s="38"/>
      <c r="BE992" s="38"/>
      <c r="BF992" s="38"/>
      <c r="BG992" s="38"/>
      <c r="BH992" s="38"/>
      <c r="BI992" s="38"/>
      <c r="BJ992" s="38"/>
      <c r="BK992" s="38"/>
    </row>
    <row r="993">
      <c r="L993" s="76"/>
      <c r="R993" s="76"/>
      <c r="X993" s="76"/>
      <c r="AD993" s="76"/>
      <c r="AJ993" s="76"/>
      <c r="AP993" s="76"/>
      <c r="AV993" s="76"/>
      <c r="BB993" s="76"/>
      <c r="BC993" s="38"/>
      <c r="BD993" s="38"/>
      <c r="BE993" s="38"/>
      <c r="BF993" s="38"/>
      <c r="BG993" s="38"/>
      <c r="BH993" s="38"/>
      <c r="BI993" s="38"/>
      <c r="BJ993" s="38"/>
      <c r="BK993" s="38"/>
    </row>
    <row r="994">
      <c r="L994" s="76"/>
      <c r="R994" s="76"/>
      <c r="X994" s="76"/>
      <c r="AD994" s="76"/>
      <c r="AJ994" s="76"/>
      <c r="AP994" s="76"/>
      <c r="AV994" s="76"/>
      <c r="BB994" s="76"/>
      <c r="BC994" s="38"/>
      <c r="BD994" s="38"/>
      <c r="BE994" s="38"/>
      <c r="BF994" s="38"/>
      <c r="BG994" s="38"/>
      <c r="BH994" s="38"/>
      <c r="BI994" s="38"/>
      <c r="BJ994" s="38"/>
      <c r="BK994" s="38"/>
    </row>
    <row r="995">
      <c r="L995" s="76"/>
      <c r="R995" s="76"/>
      <c r="X995" s="76"/>
      <c r="AD995" s="76"/>
      <c r="AJ995" s="76"/>
      <c r="AP995" s="76"/>
      <c r="AV995" s="76"/>
      <c r="BB995" s="76"/>
      <c r="BC995" s="38"/>
      <c r="BD995" s="38"/>
      <c r="BE995" s="38"/>
      <c r="BF995" s="38"/>
      <c r="BG995" s="38"/>
      <c r="BH995" s="38"/>
      <c r="BI995" s="38"/>
      <c r="BJ995" s="38"/>
      <c r="BK995" s="38"/>
    </row>
    <row r="996">
      <c r="L996" s="76"/>
      <c r="R996" s="76"/>
      <c r="X996" s="76"/>
      <c r="AD996" s="76"/>
      <c r="AJ996" s="76"/>
      <c r="AP996" s="76"/>
      <c r="AV996" s="76"/>
      <c r="BB996" s="76"/>
      <c r="BC996" s="38"/>
      <c r="BD996" s="38"/>
      <c r="BE996" s="38"/>
      <c r="BF996" s="38"/>
      <c r="BG996" s="38"/>
      <c r="BH996" s="38"/>
      <c r="BI996" s="38"/>
      <c r="BJ996" s="38"/>
      <c r="BK996" s="38"/>
    </row>
    <row r="997">
      <c r="L997" s="76"/>
      <c r="R997" s="76"/>
      <c r="X997" s="76"/>
      <c r="AD997" s="76"/>
      <c r="AJ997" s="76"/>
      <c r="AP997" s="76"/>
      <c r="AV997" s="76"/>
      <c r="BB997" s="76"/>
      <c r="BC997" s="38"/>
      <c r="BD997" s="38"/>
      <c r="BE997" s="38"/>
      <c r="BF997" s="38"/>
      <c r="BG997" s="38"/>
      <c r="BH997" s="38"/>
      <c r="BI997" s="38"/>
      <c r="BJ997" s="38"/>
      <c r="BK997" s="38"/>
    </row>
    <row r="998">
      <c r="L998" s="76"/>
      <c r="R998" s="76"/>
      <c r="X998" s="76"/>
      <c r="AD998" s="76"/>
      <c r="AJ998" s="76"/>
      <c r="AP998" s="76"/>
      <c r="AV998" s="76"/>
      <c r="BB998" s="76"/>
      <c r="BC998" s="38"/>
      <c r="BD998" s="38"/>
      <c r="BE998" s="38"/>
      <c r="BF998" s="38"/>
      <c r="BG998" s="38"/>
      <c r="BH998" s="38"/>
      <c r="BI998" s="38"/>
      <c r="BJ998" s="38"/>
      <c r="BK998" s="38"/>
    </row>
    <row r="999">
      <c r="L999" s="76"/>
      <c r="R999" s="76"/>
      <c r="X999" s="76"/>
      <c r="AD999" s="76"/>
      <c r="AJ999" s="76"/>
      <c r="AP999" s="76"/>
      <c r="AV999" s="76"/>
      <c r="BB999" s="76"/>
      <c r="BC999" s="38"/>
      <c r="BD999" s="38"/>
      <c r="BE999" s="38"/>
      <c r="BF999" s="38"/>
      <c r="BG999" s="38"/>
      <c r="BH999" s="38"/>
      <c r="BI999" s="38"/>
      <c r="BJ999" s="38"/>
      <c r="BK999" s="38"/>
    </row>
    <row r="1000">
      <c r="L1000" s="76"/>
      <c r="R1000" s="76"/>
      <c r="X1000" s="76"/>
      <c r="AD1000" s="76"/>
      <c r="AJ1000" s="76"/>
      <c r="AP1000" s="76"/>
      <c r="AV1000" s="76"/>
      <c r="BB1000" s="76"/>
      <c r="BC1000" s="38"/>
      <c r="BD1000" s="38"/>
      <c r="BE1000" s="38"/>
      <c r="BF1000" s="38"/>
      <c r="BG1000" s="38"/>
      <c r="BH1000" s="38"/>
      <c r="BI1000" s="38"/>
      <c r="BJ1000" s="38"/>
      <c r="BK1000" s="38"/>
    </row>
    <row r="1001">
      <c r="L1001" s="76"/>
      <c r="R1001" s="76"/>
      <c r="X1001" s="76"/>
      <c r="AD1001" s="76"/>
      <c r="AJ1001" s="76"/>
      <c r="AP1001" s="76"/>
      <c r="AV1001" s="76"/>
      <c r="BB1001" s="76"/>
      <c r="BC1001" s="38"/>
      <c r="BD1001" s="38"/>
      <c r="BE1001" s="38"/>
      <c r="BF1001" s="38"/>
      <c r="BG1001" s="38"/>
      <c r="BH1001" s="38"/>
      <c r="BI1001" s="38"/>
      <c r="BJ1001" s="38"/>
      <c r="BK1001" s="38"/>
    </row>
    <row r="1002">
      <c r="L1002" s="76"/>
      <c r="R1002" s="76"/>
      <c r="X1002" s="76"/>
      <c r="AD1002" s="76"/>
      <c r="AJ1002" s="76"/>
      <c r="AP1002" s="76"/>
      <c r="AV1002" s="76"/>
      <c r="BB1002" s="76"/>
      <c r="BC1002" s="38"/>
      <c r="BD1002" s="38"/>
      <c r="BE1002" s="38"/>
      <c r="BF1002" s="38"/>
      <c r="BG1002" s="38"/>
      <c r="BH1002" s="38"/>
      <c r="BI1002" s="38"/>
      <c r="BJ1002" s="38"/>
      <c r="BK1002" s="38"/>
    </row>
    <row r="1003">
      <c r="L1003" s="76"/>
      <c r="R1003" s="76"/>
      <c r="X1003" s="76"/>
      <c r="AD1003" s="76"/>
      <c r="AJ1003" s="76"/>
      <c r="AP1003" s="76"/>
      <c r="AV1003" s="76"/>
      <c r="BB1003" s="76"/>
      <c r="BC1003" s="38"/>
      <c r="BD1003" s="38"/>
      <c r="BE1003" s="38"/>
      <c r="BF1003" s="38"/>
      <c r="BG1003" s="38"/>
      <c r="BH1003" s="38"/>
      <c r="BI1003" s="38"/>
      <c r="BJ1003" s="38"/>
      <c r="BK1003" s="38"/>
    </row>
    <row r="1004">
      <c r="L1004" s="76"/>
      <c r="R1004" s="76"/>
      <c r="X1004" s="76"/>
      <c r="AD1004" s="76"/>
      <c r="AJ1004" s="76"/>
      <c r="AP1004" s="76"/>
      <c r="AV1004" s="76"/>
      <c r="BB1004" s="76"/>
      <c r="BC1004" s="38"/>
      <c r="BD1004" s="38"/>
      <c r="BE1004" s="38"/>
      <c r="BF1004" s="38"/>
      <c r="BG1004" s="38"/>
      <c r="BH1004" s="38"/>
      <c r="BI1004" s="38"/>
      <c r="BJ1004" s="38"/>
      <c r="BK1004" s="38"/>
    </row>
    <row r="1005">
      <c r="L1005" s="76"/>
      <c r="R1005" s="76"/>
      <c r="X1005" s="76"/>
      <c r="AD1005" s="76"/>
      <c r="AJ1005" s="76"/>
      <c r="AP1005" s="76"/>
      <c r="AV1005" s="76"/>
      <c r="BB1005" s="76"/>
      <c r="BC1005" s="38"/>
      <c r="BD1005" s="38"/>
      <c r="BE1005" s="38"/>
      <c r="BF1005" s="38"/>
      <c r="BG1005" s="38"/>
      <c r="BH1005" s="38"/>
      <c r="BI1005" s="38"/>
      <c r="BJ1005" s="38"/>
      <c r="BK1005" s="38"/>
    </row>
    <row r="1006">
      <c r="L1006" s="76"/>
      <c r="R1006" s="76"/>
      <c r="X1006" s="76"/>
      <c r="AD1006" s="76"/>
      <c r="AJ1006" s="76"/>
      <c r="AP1006" s="76"/>
      <c r="AV1006" s="76"/>
      <c r="BB1006" s="76"/>
      <c r="BC1006" s="38"/>
      <c r="BD1006" s="38"/>
      <c r="BE1006" s="38"/>
      <c r="BF1006" s="38"/>
      <c r="BG1006" s="38"/>
      <c r="BH1006" s="38"/>
      <c r="BI1006" s="38"/>
      <c r="BJ1006" s="38"/>
      <c r="BK1006" s="38"/>
    </row>
    <row r="1007">
      <c r="L1007" s="76"/>
      <c r="R1007" s="76"/>
      <c r="X1007" s="76"/>
      <c r="AD1007" s="76"/>
      <c r="AJ1007" s="76"/>
      <c r="AP1007" s="76"/>
      <c r="AV1007" s="76"/>
      <c r="BB1007" s="76"/>
      <c r="BC1007" s="38"/>
      <c r="BD1007" s="38"/>
      <c r="BE1007" s="38"/>
      <c r="BF1007" s="38"/>
      <c r="BG1007" s="38"/>
      <c r="BH1007" s="38"/>
      <c r="BI1007" s="38"/>
      <c r="BJ1007" s="38"/>
      <c r="BK1007" s="38"/>
    </row>
    <row r="1008">
      <c r="L1008" s="76"/>
      <c r="R1008" s="76"/>
      <c r="X1008" s="76"/>
      <c r="AD1008" s="76"/>
      <c r="AJ1008" s="76"/>
      <c r="AP1008" s="76"/>
      <c r="AV1008" s="76"/>
      <c r="BB1008" s="76"/>
      <c r="BC1008" s="38"/>
      <c r="BD1008" s="38"/>
      <c r="BE1008" s="38"/>
      <c r="BF1008" s="38"/>
      <c r="BG1008" s="38"/>
      <c r="BH1008" s="38"/>
      <c r="BI1008" s="38"/>
      <c r="BJ1008" s="38"/>
      <c r="BK1008" s="38"/>
    </row>
    <row r="1009">
      <c r="L1009" s="76"/>
      <c r="R1009" s="76"/>
      <c r="X1009" s="76"/>
      <c r="AD1009" s="76"/>
      <c r="AJ1009" s="76"/>
      <c r="AP1009" s="76"/>
      <c r="AV1009" s="76"/>
      <c r="BB1009" s="76"/>
      <c r="BC1009" s="38"/>
      <c r="BD1009" s="38"/>
      <c r="BE1009" s="38"/>
      <c r="BF1009" s="38"/>
      <c r="BG1009" s="38"/>
      <c r="BH1009" s="38"/>
      <c r="BI1009" s="38"/>
      <c r="BJ1009" s="38"/>
      <c r="BK1009" s="38"/>
    </row>
    <row r="1010">
      <c r="L1010" s="76"/>
      <c r="R1010" s="76"/>
      <c r="X1010" s="76"/>
      <c r="AD1010" s="76"/>
      <c r="AJ1010" s="76"/>
      <c r="AP1010" s="76"/>
      <c r="AV1010" s="76"/>
      <c r="BB1010" s="76"/>
      <c r="BC1010" s="38"/>
      <c r="BD1010" s="38"/>
      <c r="BE1010" s="38"/>
      <c r="BF1010" s="38"/>
      <c r="BG1010" s="38"/>
      <c r="BH1010" s="38"/>
      <c r="BI1010" s="38"/>
      <c r="BJ1010" s="38"/>
      <c r="BK1010" s="38"/>
    </row>
    <row r="1011">
      <c r="L1011" s="76"/>
      <c r="R1011" s="76"/>
      <c r="X1011" s="76"/>
      <c r="AD1011" s="76"/>
      <c r="AJ1011" s="76"/>
      <c r="AP1011" s="76"/>
      <c r="AV1011" s="76"/>
      <c r="BB1011" s="76"/>
      <c r="BC1011" s="38"/>
      <c r="BD1011" s="38"/>
      <c r="BE1011" s="38"/>
      <c r="BF1011" s="38"/>
      <c r="BG1011" s="38"/>
      <c r="BH1011" s="38"/>
      <c r="BI1011" s="38"/>
      <c r="BJ1011" s="38"/>
      <c r="BK1011" s="38"/>
    </row>
    <row r="1012">
      <c r="L1012" s="76"/>
      <c r="R1012" s="76"/>
      <c r="X1012" s="76"/>
      <c r="AD1012" s="76"/>
      <c r="AJ1012" s="76"/>
      <c r="AP1012" s="76"/>
      <c r="AV1012" s="76"/>
      <c r="BB1012" s="76"/>
      <c r="BC1012" s="38"/>
      <c r="BD1012" s="38"/>
      <c r="BE1012" s="38"/>
      <c r="BF1012" s="38"/>
      <c r="BG1012" s="38"/>
      <c r="BH1012" s="38"/>
      <c r="BI1012" s="38"/>
      <c r="BJ1012" s="38"/>
      <c r="BK1012" s="38"/>
    </row>
    <row r="1013">
      <c r="L1013" s="76"/>
      <c r="R1013" s="76"/>
      <c r="X1013" s="76"/>
      <c r="AD1013" s="76"/>
      <c r="AJ1013" s="76"/>
      <c r="AP1013" s="76"/>
      <c r="AV1013" s="76"/>
      <c r="BB1013" s="76"/>
      <c r="BC1013" s="38"/>
      <c r="BD1013" s="38"/>
      <c r="BE1013" s="38"/>
      <c r="BF1013" s="38"/>
      <c r="BG1013" s="38"/>
      <c r="BH1013" s="38"/>
      <c r="BI1013" s="38"/>
      <c r="BJ1013" s="38"/>
      <c r="BK1013" s="38"/>
    </row>
    <row r="1014">
      <c r="L1014" s="76"/>
      <c r="R1014" s="76"/>
      <c r="X1014" s="76"/>
      <c r="AD1014" s="76"/>
      <c r="AJ1014" s="76"/>
      <c r="AP1014" s="76"/>
      <c r="AV1014" s="76"/>
      <c r="BB1014" s="76"/>
      <c r="BC1014" s="38"/>
      <c r="BD1014" s="38"/>
      <c r="BE1014" s="38"/>
      <c r="BF1014" s="38"/>
      <c r="BG1014" s="38"/>
      <c r="BH1014" s="38"/>
      <c r="BI1014" s="38"/>
      <c r="BJ1014" s="38"/>
      <c r="BK1014" s="38"/>
    </row>
    <row r="1015">
      <c r="L1015" s="76"/>
      <c r="R1015" s="76"/>
      <c r="X1015" s="76"/>
      <c r="AD1015" s="76"/>
      <c r="AJ1015" s="76"/>
      <c r="AP1015" s="76"/>
      <c r="AV1015" s="76"/>
      <c r="BB1015" s="76"/>
      <c r="BC1015" s="38"/>
      <c r="BD1015" s="38"/>
      <c r="BE1015" s="38"/>
      <c r="BF1015" s="38"/>
      <c r="BG1015" s="38"/>
      <c r="BH1015" s="38"/>
      <c r="BI1015" s="38"/>
      <c r="BJ1015" s="38"/>
      <c r="BK1015" s="38"/>
    </row>
    <row r="1016">
      <c r="L1016" s="76"/>
      <c r="R1016" s="76"/>
      <c r="X1016" s="76"/>
      <c r="AD1016" s="76"/>
      <c r="AJ1016" s="76"/>
      <c r="AP1016" s="76"/>
      <c r="AV1016" s="76"/>
      <c r="BB1016" s="76"/>
      <c r="BC1016" s="38"/>
      <c r="BD1016" s="38"/>
      <c r="BE1016" s="38"/>
      <c r="BF1016" s="38"/>
      <c r="BG1016" s="38"/>
      <c r="BH1016" s="38"/>
      <c r="BI1016" s="38"/>
      <c r="BJ1016" s="38"/>
      <c r="BK1016" s="3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5.0"/>
    <col customWidth="1" min="2" max="2" width="9.0"/>
    <col customWidth="1" min="3" max="3" width="14.71"/>
    <col customWidth="1" min="4" max="4" width="40.0"/>
    <col customWidth="1" min="5" max="5" width="31.57"/>
    <col customWidth="1" min="6" max="6" width="21.0"/>
    <col customWidth="1" min="7" max="7" width="12.43"/>
  </cols>
  <sheetData>
    <row r="1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10" t="s">
        <v>27</v>
      </c>
      <c r="M1" s="12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10" t="s">
        <v>33</v>
      </c>
      <c r="S1" s="12" t="s">
        <v>34</v>
      </c>
      <c r="T1" s="9" t="s">
        <v>35</v>
      </c>
      <c r="U1" s="9" t="s">
        <v>36</v>
      </c>
      <c r="V1" s="9" t="s">
        <v>37</v>
      </c>
      <c r="W1" s="9" t="s">
        <v>38</v>
      </c>
      <c r="X1" s="10" t="s">
        <v>39</v>
      </c>
      <c r="Y1" s="14" t="s">
        <v>40</v>
      </c>
      <c r="Z1" s="15" t="s">
        <v>41</v>
      </c>
      <c r="AA1" s="15" t="s">
        <v>42</v>
      </c>
      <c r="AB1" s="15" t="s">
        <v>43</v>
      </c>
      <c r="AC1" s="15" t="s">
        <v>44</v>
      </c>
      <c r="AD1" s="16" t="s">
        <v>45</v>
      </c>
      <c r="AE1" s="14" t="s">
        <v>46</v>
      </c>
      <c r="AF1" s="15" t="s">
        <v>47</v>
      </c>
      <c r="AG1" s="15" t="s">
        <v>48</v>
      </c>
      <c r="AH1" s="15" t="s">
        <v>49</v>
      </c>
      <c r="AI1" s="15" t="s">
        <v>50</v>
      </c>
      <c r="AJ1" s="16" t="s">
        <v>51</v>
      </c>
      <c r="AK1" s="14" t="s">
        <v>52</v>
      </c>
      <c r="AL1" s="15" t="s">
        <v>53</v>
      </c>
      <c r="AM1" s="15" t="s">
        <v>54</v>
      </c>
      <c r="AN1" s="15" t="s">
        <v>55</v>
      </c>
      <c r="AO1" s="15" t="s">
        <v>56</v>
      </c>
      <c r="AP1" s="16" t="s">
        <v>57</v>
      </c>
      <c r="AQ1" s="20" t="s">
        <v>58</v>
      </c>
      <c r="AR1" s="21" t="s">
        <v>59</v>
      </c>
      <c r="AS1" s="21" t="s">
        <v>60</v>
      </c>
      <c r="AT1" s="21" t="s">
        <v>62</v>
      </c>
      <c r="AU1" s="21" t="s">
        <v>64</v>
      </c>
      <c r="AV1" s="22" t="s">
        <v>68</v>
      </c>
      <c r="AW1" s="25" t="s">
        <v>70</v>
      </c>
      <c r="AX1" s="27" t="s">
        <v>71</v>
      </c>
      <c r="AY1" s="29" t="s">
        <v>72</v>
      </c>
      <c r="AZ1" s="26" t="s">
        <v>73</v>
      </c>
      <c r="BA1" s="26" t="s">
        <v>74</v>
      </c>
      <c r="BB1" s="26" t="s">
        <v>75</v>
      </c>
      <c r="BC1" s="26" t="s">
        <v>76</v>
      </c>
      <c r="BD1" s="26" t="s">
        <v>77</v>
      </c>
      <c r="BE1" s="26" t="s">
        <v>78</v>
      </c>
      <c r="BF1" s="28"/>
      <c r="BG1" s="28"/>
      <c r="BH1" s="28"/>
      <c r="BI1" s="28"/>
      <c r="BJ1" s="28"/>
      <c r="BK1" s="28"/>
    </row>
    <row r="2">
      <c r="A2" s="32">
        <v>1.0</v>
      </c>
      <c r="B2" s="32">
        <v>1.0</v>
      </c>
      <c r="C2" s="32" t="s">
        <v>80</v>
      </c>
      <c r="D2" s="32" t="s">
        <v>81</v>
      </c>
      <c r="E2" s="32" t="s">
        <v>82</v>
      </c>
      <c r="F2" s="32">
        <v>1.0</v>
      </c>
      <c r="G2" s="35"/>
      <c r="H2" s="35"/>
      <c r="I2" s="35"/>
      <c r="J2" s="35"/>
      <c r="K2" s="35"/>
      <c r="L2" s="37"/>
      <c r="M2" s="35"/>
      <c r="N2" s="35"/>
      <c r="O2" s="35"/>
      <c r="P2" s="35"/>
      <c r="Q2" s="35"/>
      <c r="R2" s="37"/>
      <c r="S2" s="35"/>
      <c r="T2" s="35"/>
      <c r="U2" s="35"/>
      <c r="V2" s="35"/>
      <c r="W2" s="35"/>
      <c r="X2" s="37"/>
      <c r="Y2" s="35"/>
      <c r="Z2" s="35"/>
      <c r="AA2" s="35"/>
      <c r="AB2" s="35"/>
      <c r="AC2" s="35"/>
      <c r="AD2" s="37"/>
      <c r="AE2" s="35"/>
      <c r="AF2" s="35"/>
      <c r="AG2" s="35"/>
      <c r="AH2" s="35"/>
      <c r="AI2" s="35"/>
      <c r="AJ2" s="37"/>
      <c r="AK2" s="35"/>
      <c r="AL2" s="35"/>
      <c r="AM2" s="35"/>
      <c r="AN2" s="35"/>
      <c r="AO2" s="35"/>
      <c r="AP2" s="37"/>
      <c r="AQ2" s="35"/>
      <c r="AR2" s="35"/>
      <c r="AS2" s="35"/>
      <c r="AT2" s="35"/>
      <c r="AU2" s="35"/>
      <c r="AV2" s="37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</row>
    <row r="3">
      <c r="A3" s="32">
        <v>2.0</v>
      </c>
      <c r="B3" s="32"/>
      <c r="C3" s="32" t="s">
        <v>80</v>
      </c>
      <c r="D3" s="32" t="s">
        <v>89</v>
      </c>
      <c r="E3" s="32" t="s">
        <v>90</v>
      </c>
      <c r="F3" s="32">
        <v>1.0</v>
      </c>
      <c r="G3" s="35"/>
      <c r="H3" s="35"/>
      <c r="I3" s="35"/>
      <c r="J3" s="35"/>
      <c r="K3" s="35"/>
      <c r="L3" s="37"/>
      <c r="M3" s="35"/>
      <c r="N3" s="35"/>
      <c r="O3" s="35"/>
      <c r="P3" s="35"/>
      <c r="Q3" s="35"/>
      <c r="R3" s="37"/>
      <c r="S3" s="35"/>
      <c r="T3" s="35"/>
      <c r="U3" s="35"/>
      <c r="V3" s="35"/>
      <c r="W3" s="35"/>
      <c r="X3" s="37"/>
      <c r="Y3" s="35"/>
      <c r="Z3" s="35"/>
      <c r="AA3" s="35"/>
      <c r="AB3" s="35"/>
      <c r="AC3" s="35"/>
      <c r="AD3" s="37"/>
      <c r="AE3" s="35"/>
      <c r="AF3" s="35"/>
      <c r="AG3" s="35"/>
      <c r="AH3" s="35"/>
      <c r="AI3" s="35"/>
      <c r="AJ3" s="37"/>
      <c r="AK3" s="35"/>
      <c r="AL3" s="35"/>
      <c r="AM3" s="35"/>
      <c r="AN3" s="35"/>
      <c r="AO3" s="35"/>
      <c r="AP3" s="37"/>
      <c r="AQ3" s="35"/>
      <c r="AR3" s="35"/>
      <c r="AS3" s="35"/>
      <c r="AT3" s="35"/>
      <c r="AU3" s="35"/>
      <c r="AV3" s="37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</row>
    <row r="4">
      <c r="A4" s="32">
        <v>3.0</v>
      </c>
      <c r="B4" s="32"/>
      <c r="C4" s="32" t="s">
        <v>80</v>
      </c>
      <c r="D4" s="32" t="s">
        <v>97</v>
      </c>
      <c r="E4" s="43" t="s">
        <v>99</v>
      </c>
      <c r="F4" s="32">
        <v>1.0</v>
      </c>
      <c r="G4" s="35"/>
      <c r="H4" s="35"/>
      <c r="I4" s="35"/>
      <c r="J4" s="35"/>
      <c r="K4" s="35"/>
      <c r="L4" s="37"/>
      <c r="M4" s="35"/>
      <c r="N4" s="35"/>
      <c r="O4" s="35"/>
      <c r="P4" s="35"/>
      <c r="Q4" s="35"/>
      <c r="R4" s="37"/>
      <c r="S4" s="35"/>
      <c r="T4" s="35"/>
      <c r="U4" s="35"/>
      <c r="V4" s="35"/>
      <c r="W4" s="35"/>
      <c r="X4" s="37"/>
      <c r="Y4" s="35"/>
      <c r="Z4" s="35"/>
      <c r="AA4" s="35"/>
      <c r="AB4" s="35"/>
      <c r="AC4" s="35"/>
      <c r="AD4" s="37"/>
      <c r="AE4" s="35"/>
      <c r="AF4" s="35"/>
      <c r="AG4" s="35"/>
      <c r="AH4" s="35"/>
      <c r="AI4" s="35"/>
      <c r="AJ4" s="37"/>
      <c r="AK4" s="35"/>
      <c r="AL4" s="35"/>
      <c r="AM4" s="35"/>
      <c r="AN4" s="35"/>
      <c r="AO4" s="35"/>
      <c r="AP4" s="37"/>
      <c r="AQ4" s="35"/>
      <c r="AR4" s="35"/>
      <c r="AS4" s="35"/>
      <c r="AT4" s="35"/>
      <c r="AU4" s="35"/>
      <c r="AV4" s="37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</row>
    <row r="5">
      <c r="A5" s="32">
        <v>4.0</v>
      </c>
      <c r="B5" s="32"/>
      <c r="C5" s="32" t="s">
        <v>80</v>
      </c>
      <c r="D5" s="32" t="s">
        <v>97</v>
      </c>
      <c r="E5" s="43" t="s">
        <v>101</v>
      </c>
      <c r="F5" s="43">
        <v>1.0</v>
      </c>
      <c r="G5" s="35"/>
      <c r="H5" s="35"/>
      <c r="I5" s="35"/>
      <c r="J5" s="35"/>
      <c r="K5" s="35"/>
      <c r="L5" s="37"/>
      <c r="M5" s="35"/>
      <c r="N5" s="35"/>
      <c r="O5" s="35"/>
      <c r="P5" s="35"/>
      <c r="Q5" s="35"/>
      <c r="R5" s="37"/>
      <c r="S5" s="35"/>
      <c r="T5" s="35"/>
      <c r="U5" s="35"/>
      <c r="V5" s="35"/>
      <c r="W5" s="35"/>
      <c r="X5" s="37"/>
      <c r="Y5" s="35"/>
      <c r="Z5" s="35"/>
      <c r="AA5" s="35"/>
      <c r="AB5" s="35"/>
      <c r="AC5" s="35"/>
      <c r="AD5" s="37"/>
      <c r="AE5" s="35"/>
      <c r="AF5" s="35"/>
      <c r="AG5" s="35"/>
      <c r="AH5" s="35"/>
      <c r="AI5" s="35"/>
      <c r="AJ5" s="37"/>
      <c r="AK5" s="35"/>
      <c r="AL5" s="35"/>
      <c r="AM5" s="35"/>
      <c r="AN5" s="35"/>
      <c r="AO5" s="35"/>
      <c r="AP5" s="37"/>
      <c r="AQ5" s="35"/>
      <c r="AR5" s="35"/>
      <c r="AS5" s="35"/>
      <c r="AT5" s="35"/>
      <c r="AU5" s="35"/>
      <c r="AV5" s="37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</row>
    <row r="6">
      <c r="A6" s="32">
        <v>5.0</v>
      </c>
      <c r="B6" s="32"/>
      <c r="C6" s="32" t="s">
        <v>80</v>
      </c>
      <c r="D6" s="32" t="s">
        <v>97</v>
      </c>
      <c r="E6" s="43" t="s">
        <v>103</v>
      </c>
      <c r="F6" s="43">
        <v>1.0</v>
      </c>
      <c r="G6" s="35"/>
      <c r="H6" s="35"/>
      <c r="I6" s="35"/>
      <c r="J6" s="35"/>
      <c r="K6" s="35"/>
      <c r="L6" s="37"/>
      <c r="M6" s="35"/>
      <c r="N6" s="35"/>
      <c r="O6" s="35"/>
      <c r="P6" s="35"/>
      <c r="Q6" s="35"/>
      <c r="R6" s="37"/>
      <c r="S6" s="35"/>
      <c r="T6" s="35"/>
      <c r="U6" s="35"/>
      <c r="V6" s="35"/>
      <c r="W6" s="35"/>
      <c r="X6" s="37"/>
      <c r="Y6" s="35"/>
      <c r="Z6" s="35"/>
      <c r="AA6" s="35"/>
      <c r="AB6" s="35"/>
      <c r="AC6" s="35"/>
      <c r="AD6" s="37"/>
      <c r="AE6" s="35"/>
      <c r="AF6" s="35"/>
      <c r="AG6" s="35"/>
      <c r="AH6" s="35"/>
      <c r="AI6" s="35"/>
      <c r="AJ6" s="37"/>
      <c r="AK6" s="35"/>
      <c r="AL6" s="35"/>
      <c r="AM6" s="35"/>
      <c r="AN6" s="35"/>
      <c r="AO6" s="35"/>
      <c r="AP6" s="37"/>
      <c r="AQ6" s="35"/>
      <c r="AR6" s="35"/>
      <c r="AS6" s="35"/>
      <c r="AT6" s="35"/>
      <c r="AU6" s="35"/>
      <c r="AV6" s="37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</row>
    <row r="7">
      <c r="A7" s="32">
        <v>6.0</v>
      </c>
      <c r="B7" s="32"/>
      <c r="C7" s="32" t="s">
        <v>80</v>
      </c>
      <c r="D7" s="32" t="s">
        <v>105</v>
      </c>
      <c r="E7" s="32"/>
      <c r="F7" s="32">
        <v>1.0</v>
      </c>
      <c r="G7" s="35"/>
      <c r="H7" s="35"/>
      <c r="I7" s="35"/>
      <c r="J7" s="35"/>
      <c r="K7" s="35"/>
      <c r="L7" s="37"/>
      <c r="M7" s="35"/>
      <c r="N7" s="35"/>
      <c r="O7" s="35"/>
      <c r="P7" s="35"/>
      <c r="Q7" s="35"/>
      <c r="R7" s="37"/>
      <c r="S7" s="35"/>
      <c r="T7" s="35"/>
      <c r="U7" s="35"/>
      <c r="V7" s="35"/>
      <c r="W7" s="35"/>
      <c r="X7" s="37"/>
      <c r="Y7" s="35"/>
      <c r="Z7" s="35"/>
      <c r="AA7" s="35"/>
      <c r="AB7" s="35"/>
      <c r="AC7" s="35"/>
      <c r="AD7" s="37"/>
      <c r="AE7" s="35"/>
      <c r="AF7" s="35"/>
      <c r="AG7" s="35"/>
      <c r="AH7" s="35"/>
      <c r="AI7" s="35"/>
      <c r="AJ7" s="37"/>
      <c r="AK7" s="35"/>
      <c r="AL7" s="35"/>
      <c r="AM7" s="35"/>
      <c r="AN7" s="35"/>
      <c r="AO7" s="35"/>
      <c r="AP7" s="37"/>
      <c r="AQ7" s="35"/>
      <c r="AR7" s="35"/>
      <c r="AS7" s="35"/>
      <c r="AT7" s="35"/>
      <c r="AU7" s="35"/>
      <c r="AV7" s="37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</row>
    <row r="8">
      <c r="A8" s="32">
        <v>7.0</v>
      </c>
      <c r="B8" s="32">
        <v>2.0</v>
      </c>
      <c r="C8" s="32" t="s">
        <v>107</v>
      </c>
      <c r="D8" s="32" t="s">
        <v>108</v>
      </c>
      <c r="E8" s="32" t="s">
        <v>109</v>
      </c>
      <c r="F8" s="32">
        <v>1.0</v>
      </c>
      <c r="G8" s="35"/>
      <c r="H8" s="35"/>
      <c r="I8" s="35"/>
      <c r="J8" s="35"/>
      <c r="K8" s="35"/>
      <c r="L8" s="37"/>
      <c r="M8" s="35"/>
      <c r="N8" s="35"/>
      <c r="O8" s="35"/>
      <c r="P8" s="35"/>
      <c r="Q8" s="35"/>
      <c r="R8" s="37"/>
      <c r="S8" s="35"/>
      <c r="T8" s="35"/>
      <c r="U8" s="35"/>
      <c r="V8" s="35"/>
      <c r="W8" s="35"/>
      <c r="X8" s="37"/>
      <c r="Y8" s="35"/>
      <c r="Z8" s="35"/>
      <c r="AA8" s="35"/>
      <c r="AB8" s="35"/>
      <c r="AC8" s="35"/>
      <c r="AD8" s="37"/>
      <c r="AE8" s="35"/>
      <c r="AF8" s="35"/>
      <c r="AG8" s="35"/>
      <c r="AH8" s="35"/>
      <c r="AI8" s="35"/>
      <c r="AJ8" s="37"/>
      <c r="AK8" s="35"/>
      <c r="AL8" s="35"/>
      <c r="AM8" s="35"/>
      <c r="AN8" s="35"/>
      <c r="AO8" s="35"/>
      <c r="AP8" s="37"/>
      <c r="AQ8" s="35"/>
      <c r="AR8" s="35"/>
      <c r="AS8" s="35"/>
      <c r="AT8" s="35"/>
      <c r="AU8" s="35"/>
      <c r="AV8" s="37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</row>
    <row r="9">
      <c r="A9" s="32">
        <v>8.0</v>
      </c>
      <c r="B9" s="32"/>
      <c r="C9" s="32" t="s">
        <v>107</v>
      </c>
      <c r="D9" s="32" t="s">
        <v>112</v>
      </c>
      <c r="E9" s="32"/>
      <c r="F9" s="32">
        <v>1.0</v>
      </c>
      <c r="G9" s="35"/>
      <c r="H9" s="35"/>
      <c r="I9" s="35"/>
      <c r="J9" s="35"/>
      <c r="K9" s="35"/>
      <c r="L9" s="37"/>
      <c r="M9" s="35"/>
      <c r="N9" s="35"/>
      <c r="O9" s="35"/>
      <c r="P9" s="35"/>
      <c r="Q9" s="35"/>
      <c r="R9" s="37"/>
      <c r="S9" s="35"/>
      <c r="T9" s="35"/>
      <c r="U9" s="35"/>
      <c r="V9" s="35"/>
      <c r="W9" s="35"/>
      <c r="X9" s="37"/>
      <c r="Y9" s="35"/>
      <c r="Z9" s="35"/>
      <c r="AA9" s="35"/>
      <c r="AB9" s="35"/>
      <c r="AC9" s="35"/>
      <c r="AD9" s="37"/>
      <c r="AE9" s="35"/>
      <c r="AF9" s="35"/>
      <c r="AG9" s="35"/>
      <c r="AH9" s="35"/>
      <c r="AI9" s="35"/>
      <c r="AJ9" s="37"/>
      <c r="AK9" s="35"/>
      <c r="AL9" s="35"/>
      <c r="AM9" s="35"/>
      <c r="AN9" s="35"/>
      <c r="AO9" s="35"/>
      <c r="AP9" s="37"/>
      <c r="AQ9" s="35"/>
      <c r="AR9" s="35"/>
      <c r="AS9" s="35"/>
      <c r="AT9" s="35"/>
      <c r="AU9" s="35"/>
      <c r="AV9" s="37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</row>
    <row r="10">
      <c r="A10" s="32">
        <v>9.0</v>
      </c>
      <c r="B10" s="32"/>
      <c r="C10" s="32" t="s">
        <v>107</v>
      </c>
      <c r="D10" s="32" t="s">
        <v>113</v>
      </c>
      <c r="E10" s="32"/>
      <c r="F10" s="32">
        <v>1.0</v>
      </c>
      <c r="G10" s="35"/>
      <c r="H10" s="35"/>
      <c r="I10" s="35"/>
      <c r="J10" s="35"/>
      <c r="K10" s="35"/>
      <c r="L10" s="37"/>
      <c r="M10" s="35"/>
      <c r="N10" s="35"/>
      <c r="O10" s="35"/>
      <c r="P10" s="35"/>
      <c r="Q10" s="35"/>
      <c r="R10" s="37"/>
      <c r="S10" s="35"/>
      <c r="T10" s="35"/>
      <c r="U10" s="35"/>
      <c r="V10" s="35"/>
      <c r="W10" s="35"/>
      <c r="X10" s="37"/>
      <c r="Y10" s="35"/>
      <c r="Z10" s="35"/>
      <c r="AA10" s="35"/>
      <c r="AB10" s="35"/>
      <c r="AC10" s="35"/>
      <c r="AD10" s="37"/>
      <c r="AE10" s="35"/>
      <c r="AF10" s="35"/>
      <c r="AG10" s="35"/>
      <c r="AH10" s="35"/>
      <c r="AI10" s="35"/>
      <c r="AJ10" s="37"/>
      <c r="AK10" s="35"/>
      <c r="AL10" s="35"/>
      <c r="AM10" s="35"/>
      <c r="AN10" s="35"/>
      <c r="AO10" s="35"/>
      <c r="AP10" s="37"/>
      <c r="AQ10" s="35"/>
      <c r="AR10" s="35"/>
      <c r="AS10" s="35"/>
      <c r="AT10" s="35"/>
      <c r="AU10" s="35"/>
      <c r="AV10" s="37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</row>
    <row r="11">
      <c r="A11" s="32">
        <v>10.0</v>
      </c>
      <c r="B11" s="32">
        <v>3.0</v>
      </c>
      <c r="C11" s="32" t="s">
        <v>116</v>
      </c>
      <c r="D11" s="32" t="s">
        <v>117</v>
      </c>
      <c r="E11" s="32" t="s">
        <v>118</v>
      </c>
      <c r="F11" s="32">
        <v>1.0</v>
      </c>
      <c r="G11" s="35"/>
      <c r="H11" s="35"/>
      <c r="I11" s="35"/>
      <c r="J11" s="35"/>
      <c r="K11" s="35"/>
      <c r="L11" s="37"/>
      <c r="M11" s="35"/>
      <c r="N11" s="35"/>
      <c r="O11" s="35"/>
      <c r="P11" s="35"/>
      <c r="Q11" s="35"/>
      <c r="R11" s="37"/>
      <c r="S11" s="35"/>
      <c r="T11" s="35"/>
      <c r="U11" s="35"/>
      <c r="V11" s="35"/>
      <c r="W11" s="35"/>
      <c r="X11" s="37"/>
      <c r="Y11" s="35"/>
      <c r="Z11" s="35"/>
      <c r="AA11" s="35"/>
      <c r="AB11" s="35"/>
      <c r="AC11" s="35"/>
      <c r="AD11" s="37"/>
      <c r="AE11" s="35"/>
      <c r="AF11" s="35"/>
      <c r="AG11" s="35"/>
      <c r="AH11" s="35"/>
      <c r="AI11" s="35"/>
      <c r="AJ11" s="37"/>
      <c r="AK11" s="35"/>
      <c r="AL11" s="35"/>
      <c r="AM11" s="35"/>
      <c r="AN11" s="35"/>
      <c r="AO11" s="35"/>
      <c r="AP11" s="37"/>
      <c r="AQ11" s="35"/>
      <c r="AR11" s="35"/>
      <c r="AS11" s="35"/>
      <c r="AT11" s="35"/>
      <c r="AU11" s="35"/>
      <c r="AV11" s="37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</row>
    <row r="12">
      <c r="A12" s="32">
        <v>11.0</v>
      </c>
      <c r="B12" s="32"/>
      <c r="C12" s="32" t="s">
        <v>116</v>
      </c>
      <c r="D12" s="32" t="s">
        <v>119</v>
      </c>
      <c r="E12" s="32" t="s">
        <v>120</v>
      </c>
      <c r="F12" s="32">
        <v>1.0</v>
      </c>
      <c r="G12" s="35"/>
      <c r="H12" s="35"/>
      <c r="I12" s="35"/>
      <c r="J12" s="35"/>
      <c r="K12" s="35"/>
      <c r="L12" s="37"/>
      <c r="M12" s="35"/>
      <c r="N12" s="35"/>
      <c r="O12" s="35"/>
      <c r="P12" s="35"/>
      <c r="Q12" s="35"/>
      <c r="R12" s="37"/>
      <c r="S12" s="35"/>
      <c r="T12" s="35"/>
      <c r="U12" s="35"/>
      <c r="V12" s="35"/>
      <c r="W12" s="35"/>
      <c r="X12" s="37"/>
      <c r="Y12" s="35"/>
      <c r="Z12" s="35"/>
      <c r="AA12" s="35"/>
      <c r="AB12" s="35"/>
      <c r="AC12" s="35"/>
      <c r="AD12" s="37"/>
      <c r="AE12" s="35"/>
      <c r="AF12" s="35"/>
      <c r="AG12" s="35"/>
      <c r="AH12" s="35"/>
      <c r="AI12" s="35"/>
      <c r="AJ12" s="37"/>
      <c r="AK12" s="35"/>
      <c r="AL12" s="35"/>
      <c r="AM12" s="35"/>
      <c r="AN12" s="35"/>
      <c r="AO12" s="35"/>
      <c r="AP12" s="37"/>
      <c r="AQ12" s="35"/>
      <c r="AR12" s="35"/>
      <c r="AS12" s="35"/>
      <c r="AT12" s="35"/>
      <c r="AU12" s="35"/>
      <c r="AV12" s="37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</row>
    <row r="13">
      <c r="A13" s="32">
        <v>12.0</v>
      </c>
      <c r="B13" s="32"/>
      <c r="C13" s="32" t="s">
        <v>116</v>
      </c>
      <c r="D13" s="32" t="s">
        <v>130</v>
      </c>
      <c r="E13" s="32" t="s">
        <v>131</v>
      </c>
      <c r="F13" s="32">
        <v>1.0</v>
      </c>
      <c r="G13" s="35"/>
      <c r="H13" s="35"/>
      <c r="I13" s="35"/>
      <c r="J13" s="35"/>
      <c r="K13" s="35"/>
      <c r="L13" s="37"/>
      <c r="M13" s="35"/>
      <c r="N13" s="35"/>
      <c r="O13" s="35"/>
      <c r="P13" s="35"/>
      <c r="Q13" s="35"/>
      <c r="R13" s="37"/>
      <c r="S13" s="35"/>
      <c r="T13" s="35"/>
      <c r="U13" s="35"/>
      <c r="V13" s="35"/>
      <c r="W13" s="35"/>
      <c r="X13" s="37"/>
      <c r="Y13" s="35"/>
      <c r="Z13" s="35"/>
      <c r="AA13" s="35"/>
      <c r="AB13" s="35"/>
      <c r="AC13" s="35"/>
      <c r="AD13" s="37"/>
      <c r="AE13" s="35"/>
      <c r="AF13" s="35"/>
      <c r="AG13" s="35"/>
      <c r="AH13" s="35"/>
      <c r="AI13" s="35"/>
      <c r="AJ13" s="37"/>
      <c r="AK13" s="35"/>
      <c r="AL13" s="35"/>
      <c r="AM13" s="35"/>
      <c r="AN13" s="35"/>
      <c r="AO13" s="35"/>
      <c r="AP13" s="37"/>
      <c r="AQ13" s="35"/>
      <c r="AR13" s="35"/>
      <c r="AS13" s="35"/>
      <c r="AT13" s="35"/>
      <c r="AU13" s="35"/>
      <c r="AV13" s="37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</row>
    <row r="14">
      <c r="A14" s="32">
        <v>13.0</v>
      </c>
      <c r="B14" s="32">
        <v>4.0</v>
      </c>
      <c r="C14" s="32" t="s">
        <v>136</v>
      </c>
      <c r="D14" s="32" t="s">
        <v>138</v>
      </c>
      <c r="E14" s="32" t="s">
        <v>139</v>
      </c>
      <c r="F14" s="32">
        <v>1.0</v>
      </c>
      <c r="G14" s="35"/>
      <c r="H14" s="35"/>
      <c r="I14" s="35"/>
      <c r="J14" s="35"/>
      <c r="K14" s="35"/>
      <c r="L14" s="37"/>
      <c r="M14" s="35"/>
      <c r="N14" s="35"/>
      <c r="O14" s="35"/>
      <c r="P14" s="35"/>
      <c r="Q14" s="35"/>
      <c r="R14" s="37"/>
      <c r="S14" s="35"/>
      <c r="T14" s="35"/>
      <c r="U14" s="35"/>
      <c r="V14" s="35"/>
      <c r="W14" s="35"/>
      <c r="X14" s="37"/>
      <c r="Y14" s="35"/>
      <c r="Z14" s="35"/>
      <c r="AA14" s="35"/>
      <c r="AB14" s="35"/>
      <c r="AC14" s="35"/>
      <c r="AD14" s="37"/>
      <c r="AE14" s="35"/>
      <c r="AF14" s="35"/>
      <c r="AG14" s="35"/>
      <c r="AH14" s="35"/>
      <c r="AI14" s="35"/>
      <c r="AJ14" s="37"/>
      <c r="AK14" s="35"/>
      <c r="AL14" s="35"/>
      <c r="AM14" s="35"/>
      <c r="AN14" s="35"/>
      <c r="AO14" s="35"/>
      <c r="AP14" s="37"/>
      <c r="AQ14" s="35"/>
      <c r="AR14" s="35"/>
      <c r="AS14" s="35"/>
      <c r="AT14" s="35"/>
      <c r="AU14" s="35"/>
      <c r="AV14" s="37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</row>
    <row r="15">
      <c r="A15" s="32">
        <v>14.0</v>
      </c>
      <c r="B15" s="32">
        <v>5.0</v>
      </c>
      <c r="C15" s="32" t="s">
        <v>145</v>
      </c>
      <c r="D15" s="32" t="s">
        <v>81</v>
      </c>
      <c r="E15" s="32" t="s">
        <v>146</v>
      </c>
      <c r="F15" s="32">
        <v>1.0</v>
      </c>
      <c r="G15" s="35"/>
      <c r="H15" s="35"/>
      <c r="I15" s="35"/>
      <c r="J15" s="35"/>
      <c r="K15" s="35"/>
      <c r="L15" s="37"/>
      <c r="M15" s="35"/>
      <c r="N15" s="35"/>
      <c r="O15" s="35"/>
      <c r="P15" s="35"/>
      <c r="Q15" s="35"/>
      <c r="R15" s="37"/>
      <c r="S15" s="35"/>
      <c r="T15" s="35"/>
      <c r="U15" s="35"/>
      <c r="V15" s="35"/>
      <c r="W15" s="35"/>
      <c r="X15" s="37"/>
      <c r="Y15" s="35"/>
      <c r="Z15" s="35"/>
      <c r="AA15" s="35"/>
      <c r="AB15" s="35"/>
      <c r="AC15" s="35"/>
      <c r="AD15" s="37"/>
      <c r="AE15" s="35"/>
      <c r="AF15" s="35"/>
      <c r="AG15" s="35"/>
      <c r="AH15" s="35"/>
      <c r="AI15" s="35"/>
      <c r="AJ15" s="37"/>
      <c r="AK15" s="35"/>
      <c r="AL15" s="35"/>
      <c r="AM15" s="35"/>
      <c r="AN15" s="35"/>
      <c r="AO15" s="35"/>
      <c r="AP15" s="37"/>
      <c r="AQ15" s="35"/>
      <c r="AR15" s="35"/>
      <c r="AS15" s="35"/>
      <c r="AT15" s="35"/>
      <c r="AU15" s="35"/>
      <c r="AV15" s="37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</row>
    <row r="16">
      <c r="A16" s="32">
        <v>15.0</v>
      </c>
      <c r="B16" s="32"/>
      <c r="C16" s="32" t="s">
        <v>145</v>
      </c>
      <c r="D16" s="32" t="s">
        <v>151</v>
      </c>
      <c r="E16" s="32" t="s">
        <v>152</v>
      </c>
      <c r="F16" s="32">
        <v>1.0</v>
      </c>
      <c r="G16" s="35"/>
      <c r="H16" s="35"/>
      <c r="I16" s="35"/>
      <c r="J16" s="35"/>
      <c r="K16" s="35"/>
      <c r="L16" s="37"/>
      <c r="M16" s="35"/>
      <c r="N16" s="35"/>
      <c r="O16" s="35"/>
      <c r="P16" s="35"/>
      <c r="Q16" s="35"/>
      <c r="R16" s="37"/>
      <c r="S16" s="35"/>
      <c r="T16" s="35"/>
      <c r="U16" s="35"/>
      <c r="V16" s="35"/>
      <c r="W16" s="35"/>
      <c r="X16" s="37"/>
      <c r="Y16" s="35"/>
      <c r="Z16" s="35"/>
      <c r="AA16" s="35"/>
      <c r="AB16" s="35"/>
      <c r="AC16" s="35"/>
      <c r="AD16" s="37"/>
      <c r="AE16" s="35"/>
      <c r="AF16" s="35"/>
      <c r="AG16" s="35"/>
      <c r="AH16" s="35"/>
      <c r="AI16" s="35"/>
      <c r="AJ16" s="37"/>
      <c r="AK16" s="35"/>
      <c r="AL16" s="35"/>
      <c r="AM16" s="35"/>
      <c r="AN16" s="35"/>
      <c r="AO16" s="35"/>
      <c r="AP16" s="37"/>
      <c r="AQ16" s="35"/>
      <c r="AR16" s="35"/>
      <c r="AS16" s="35"/>
      <c r="AT16" s="35"/>
      <c r="AU16" s="35"/>
      <c r="AV16" s="37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</row>
    <row r="17">
      <c r="A17" s="32">
        <v>16.0</v>
      </c>
      <c r="B17" s="32">
        <v>6.0</v>
      </c>
      <c r="C17" s="32" t="s">
        <v>165</v>
      </c>
      <c r="D17" s="32" t="s">
        <v>166</v>
      </c>
      <c r="E17" s="32" t="s">
        <v>167</v>
      </c>
      <c r="F17" s="32">
        <v>1.0</v>
      </c>
      <c r="G17" s="35"/>
      <c r="H17" s="35"/>
      <c r="I17" s="35"/>
      <c r="J17" s="35"/>
      <c r="K17" s="35"/>
      <c r="L17" s="37"/>
      <c r="M17" s="35"/>
      <c r="N17" s="35"/>
      <c r="O17" s="35"/>
      <c r="P17" s="35"/>
      <c r="Q17" s="35"/>
      <c r="R17" s="37"/>
      <c r="S17" s="35"/>
      <c r="T17" s="35"/>
      <c r="U17" s="35"/>
      <c r="V17" s="35"/>
      <c r="W17" s="35"/>
      <c r="X17" s="37"/>
      <c r="Y17" s="35"/>
      <c r="Z17" s="35"/>
      <c r="AA17" s="35"/>
      <c r="AB17" s="35"/>
      <c r="AC17" s="35"/>
      <c r="AD17" s="37"/>
      <c r="AE17" s="35"/>
      <c r="AF17" s="35"/>
      <c r="AG17" s="35"/>
      <c r="AH17" s="35"/>
      <c r="AI17" s="35"/>
      <c r="AJ17" s="37"/>
      <c r="AK17" s="35"/>
      <c r="AL17" s="35"/>
      <c r="AM17" s="35"/>
      <c r="AN17" s="35"/>
      <c r="AO17" s="35"/>
      <c r="AP17" s="37"/>
      <c r="AQ17" s="35"/>
      <c r="AR17" s="35"/>
      <c r="AS17" s="35"/>
      <c r="AT17" s="35"/>
      <c r="AU17" s="35"/>
      <c r="AV17" s="37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</row>
    <row r="18">
      <c r="A18" s="32">
        <v>17.0</v>
      </c>
      <c r="B18" s="32"/>
      <c r="C18" s="32" t="s">
        <v>165</v>
      </c>
      <c r="D18" s="32" t="s">
        <v>170</v>
      </c>
      <c r="E18" s="32" t="s">
        <v>171</v>
      </c>
      <c r="F18" s="32">
        <v>1.0</v>
      </c>
      <c r="G18" s="35"/>
      <c r="H18" s="35"/>
      <c r="I18" s="35"/>
      <c r="J18" s="35"/>
      <c r="K18" s="35"/>
      <c r="L18" s="37"/>
      <c r="M18" s="35"/>
      <c r="N18" s="35"/>
      <c r="O18" s="35"/>
      <c r="P18" s="35"/>
      <c r="Q18" s="35"/>
      <c r="R18" s="37"/>
      <c r="S18" s="35"/>
      <c r="T18" s="35"/>
      <c r="U18" s="35"/>
      <c r="V18" s="35"/>
      <c r="W18" s="35"/>
      <c r="X18" s="37"/>
      <c r="Y18" s="35"/>
      <c r="Z18" s="35"/>
      <c r="AA18" s="35"/>
      <c r="AB18" s="35"/>
      <c r="AC18" s="35"/>
      <c r="AD18" s="37"/>
      <c r="AE18" s="35"/>
      <c r="AF18" s="35"/>
      <c r="AG18" s="35"/>
      <c r="AH18" s="35"/>
      <c r="AI18" s="35"/>
      <c r="AJ18" s="37"/>
      <c r="AK18" s="35"/>
      <c r="AL18" s="35"/>
      <c r="AM18" s="35"/>
      <c r="AN18" s="35"/>
      <c r="AO18" s="35"/>
      <c r="AP18" s="37"/>
      <c r="AQ18" s="35"/>
      <c r="AR18" s="35"/>
      <c r="AS18" s="35"/>
      <c r="AT18" s="35"/>
      <c r="AU18" s="35"/>
      <c r="AV18" s="37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</row>
    <row r="19">
      <c r="A19" s="32">
        <v>18.0</v>
      </c>
      <c r="B19" s="32"/>
      <c r="C19" s="32" t="s">
        <v>165</v>
      </c>
      <c r="D19" s="32" t="s">
        <v>175</v>
      </c>
      <c r="E19" s="32" t="s">
        <v>176</v>
      </c>
      <c r="F19" s="32">
        <v>1.0</v>
      </c>
      <c r="G19" s="35"/>
      <c r="H19" s="35"/>
      <c r="I19" s="35"/>
      <c r="J19" s="35"/>
      <c r="K19" s="35"/>
      <c r="L19" s="37"/>
      <c r="M19" s="35"/>
      <c r="N19" s="35"/>
      <c r="O19" s="35"/>
      <c r="P19" s="35"/>
      <c r="Q19" s="35"/>
      <c r="R19" s="37"/>
      <c r="S19" s="35"/>
      <c r="T19" s="35"/>
      <c r="U19" s="35"/>
      <c r="V19" s="35"/>
      <c r="W19" s="35"/>
      <c r="X19" s="37"/>
      <c r="Y19" s="35"/>
      <c r="Z19" s="35"/>
      <c r="AA19" s="35"/>
      <c r="AB19" s="35"/>
      <c r="AC19" s="35"/>
      <c r="AD19" s="37"/>
      <c r="AE19" s="35"/>
      <c r="AF19" s="35"/>
      <c r="AG19" s="35"/>
      <c r="AH19" s="35"/>
      <c r="AI19" s="35"/>
      <c r="AJ19" s="37"/>
      <c r="AK19" s="35"/>
      <c r="AL19" s="35"/>
      <c r="AM19" s="35"/>
      <c r="AN19" s="35"/>
      <c r="AO19" s="35"/>
      <c r="AP19" s="37"/>
      <c r="AQ19" s="35"/>
      <c r="AR19" s="35"/>
      <c r="AS19" s="35"/>
      <c r="AT19" s="35"/>
      <c r="AU19" s="35"/>
      <c r="AV19" s="37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</row>
    <row r="20">
      <c r="A20" s="32">
        <v>19.0</v>
      </c>
      <c r="B20" s="32">
        <v>7.0</v>
      </c>
      <c r="C20" s="32"/>
      <c r="D20" s="32" t="s">
        <v>177</v>
      </c>
      <c r="E20" s="32"/>
      <c r="F20" s="32" t="s">
        <v>178</v>
      </c>
      <c r="G20" s="35"/>
      <c r="H20" s="35"/>
      <c r="I20" s="35"/>
      <c r="J20" s="35"/>
      <c r="K20" s="35"/>
      <c r="L20" s="37"/>
      <c r="M20" s="35"/>
      <c r="N20" s="35"/>
      <c r="O20" s="35"/>
      <c r="P20" s="35"/>
      <c r="Q20" s="35"/>
      <c r="R20" s="37"/>
      <c r="S20" s="35"/>
      <c r="T20" s="35"/>
      <c r="U20" s="35"/>
      <c r="V20" s="35"/>
      <c r="W20" s="35"/>
      <c r="X20" s="37"/>
      <c r="Y20" s="35"/>
      <c r="Z20" s="35"/>
      <c r="AA20" s="35"/>
      <c r="AB20" s="35"/>
      <c r="AC20" s="35"/>
      <c r="AD20" s="37"/>
      <c r="AE20" s="35"/>
      <c r="AF20" s="35"/>
      <c r="AG20" s="35"/>
      <c r="AH20" s="35"/>
      <c r="AI20" s="35"/>
      <c r="AJ20" s="37"/>
      <c r="AK20" s="35"/>
      <c r="AL20" s="35"/>
      <c r="AM20" s="35"/>
      <c r="AN20" s="35"/>
      <c r="AO20" s="35"/>
      <c r="AP20" s="37"/>
      <c r="AQ20" s="35"/>
      <c r="AR20" s="35"/>
      <c r="AS20" s="35"/>
      <c r="AT20" s="35"/>
      <c r="AU20" s="35"/>
      <c r="AV20" s="37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</row>
    <row r="21">
      <c r="A21" s="32">
        <v>20.0</v>
      </c>
      <c r="B21" s="32">
        <v>8.0</v>
      </c>
      <c r="C21" s="32"/>
      <c r="D21" s="32" t="s">
        <v>187</v>
      </c>
      <c r="E21" s="32"/>
      <c r="F21" s="32" t="s">
        <v>178</v>
      </c>
      <c r="G21" s="35"/>
      <c r="H21" s="35"/>
      <c r="I21" s="35"/>
      <c r="J21" s="35"/>
      <c r="K21" s="35"/>
      <c r="L21" s="37"/>
      <c r="M21" s="35"/>
      <c r="N21" s="35"/>
      <c r="O21" s="35"/>
      <c r="P21" s="35"/>
      <c r="Q21" s="35"/>
      <c r="R21" s="37"/>
      <c r="S21" s="35"/>
      <c r="T21" s="35"/>
      <c r="U21" s="35"/>
      <c r="V21" s="35"/>
      <c r="W21" s="35"/>
      <c r="X21" s="37"/>
      <c r="Y21" s="35"/>
      <c r="Z21" s="35"/>
      <c r="AA21" s="35"/>
      <c r="AB21" s="35"/>
      <c r="AC21" s="35"/>
      <c r="AD21" s="37"/>
      <c r="AE21" s="35"/>
      <c r="AF21" s="35"/>
      <c r="AG21" s="35"/>
      <c r="AH21" s="35"/>
      <c r="AI21" s="35"/>
      <c r="AJ21" s="37"/>
      <c r="AK21" s="35"/>
      <c r="AL21" s="35"/>
      <c r="AM21" s="35"/>
      <c r="AN21" s="35"/>
      <c r="AO21" s="35"/>
      <c r="AP21" s="37"/>
      <c r="AQ21" s="35"/>
      <c r="AR21" s="35"/>
      <c r="AS21" s="35"/>
      <c r="AT21" s="35"/>
      <c r="AU21" s="35"/>
      <c r="AV21" s="37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</row>
    <row r="22">
      <c r="A22" s="32">
        <v>21.0</v>
      </c>
      <c r="B22" s="32">
        <v>9.0</v>
      </c>
      <c r="C22" s="32"/>
      <c r="D22" s="32" t="s">
        <v>192</v>
      </c>
      <c r="E22" s="32"/>
      <c r="F22" s="32" t="s">
        <v>193</v>
      </c>
      <c r="G22" s="35"/>
      <c r="H22" s="35"/>
      <c r="I22" s="35"/>
      <c r="J22" s="35"/>
      <c r="K22" s="35"/>
      <c r="L22" s="37"/>
      <c r="M22" s="35"/>
      <c r="N22" s="35"/>
      <c r="O22" s="35"/>
      <c r="P22" s="35"/>
      <c r="Q22" s="35"/>
      <c r="R22" s="37"/>
      <c r="S22" s="35"/>
      <c r="T22" s="35"/>
      <c r="U22" s="35"/>
      <c r="V22" s="35"/>
      <c r="W22" s="35"/>
      <c r="X22" s="37"/>
      <c r="Y22" s="35"/>
      <c r="Z22" s="35"/>
      <c r="AA22" s="35"/>
      <c r="AB22" s="35"/>
      <c r="AC22" s="35"/>
      <c r="AD22" s="37"/>
      <c r="AE22" s="35"/>
      <c r="AF22" s="35"/>
      <c r="AG22" s="35"/>
      <c r="AH22" s="35"/>
      <c r="AI22" s="35"/>
      <c r="AJ22" s="37"/>
      <c r="AK22" s="35"/>
      <c r="AL22" s="35"/>
      <c r="AM22" s="35"/>
      <c r="AN22" s="35"/>
      <c r="AO22" s="35"/>
      <c r="AP22" s="37"/>
      <c r="AQ22" s="35"/>
      <c r="AR22" s="35"/>
      <c r="AS22" s="35"/>
      <c r="AT22" s="35"/>
      <c r="AU22" s="35"/>
      <c r="AV22" s="37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</row>
    <row r="23">
      <c r="A23" s="32">
        <v>22.0</v>
      </c>
      <c r="B23" s="32">
        <v>10.0</v>
      </c>
      <c r="C23" s="32"/>
      <c r="D23" s="32" t="s">
        <v>205</v>
      </c>
      <c r="E23" s="32"/>
      <c r="F23" s="32">
        <v>3.0</v>
      </c>
      <c r="G23" s="35"/>
      <c r="H23" s="35"/>
      <c r="I23" s="35"/>
      <c r="J23" s="35"/>
      <c r="K23" s="35"/>
      <c r="L23" s="37"/>
      <c r="M23" s="35"/>
      <c r="N23" s="35"/>
      <c r="O23" s="35"/>
      <c r="P23" s="35"/>
      <c r="Q23" s="35"/>
      <c r="R23" s="37"/>
      <c r="S23" s="35"/>
      <c r="T23" s="35"/>
      <c r="U23" s="35"/>
      <c r="V23" s="35"/>
      <c r="W23" s="35"/>
      <c r="X23" s="37"/>
      <c r="Y23" s="35"/>
      <c r="Z23" s="35"/>
      <c r="AA23" s="35"/>
      <c r="AB23" s="35"/>
      <c r="AC23" s="35"/>
      <c r="AD23" s="37"/>
      <c r="AE23" s="35"/>
      <c r="AF23" s="35"/>
      <c r="AG23" s="35"/>
      <c r="AH23" s="35"/>
      <c r="AI23" s="35"/>
      <c r="AJ23" s="37"/>
      <c r="AK23" s="35"/>
      <c r="AL23" s="35"/>
      <c r="AM23" s="35"/>
      <c r="AN23" s="35"/>
      <c r="AO23" s="35"/>
      <c r="AP23" s="37"/>
      <c r="AQ23" s="35"/>
      <c r="AR23" s="35"/>
      <c r="AS23" s="35"/>
      <c r="AT23" s="35"/>
      <c r="AU23" s="35"/>
      <c r="AV23" s="37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</row>
    <row r="24">
      <c r="A24" s="32">
        <v>23.0</v>
      </c>
      <c r="B24" s="32">
        <v>11.0</v>
      </c>
      <c r="C24" s="32"/>
      <c r="D24" s="32" t="s">
        <v>207</v>
      </c>
      <c r="E24" s="32"/>
      <c r="F24" s="32">
        <v>6.0</v>
      </c>
      <c r="G24" s="35"/>
      <c r="H24" s="35"/>
      <c r="I24" s="35"/>
      <c r="J24" s="35"/>
      <c r="K24" s="35"/>
      <c r="L24" s="37"/>
      <c r="M24" s="35"/>
      <c r="N24" s="35"/>
      <c r="O24" s="35"/>
      <c r="P24" s="35"/>
      <c r="Q24" s="35"/>
      <c r="R24" s="37"/>
      <c r="S24" s="35"/>
      <c r="T24" s="35"/>
      <c r="U24" s="35"/>
      <c r="V24" s="35"/>
      <c r="W24" s="35"/>
      <c r="X24" s="37"/>
      <c r="Y24" s="35"/>
      <c r="Z24" s="35"/>
      <c r="AA24" s="35"/>
      <c r="AB24" s="35"/>
      <c r="AC24" s="35"/>
      <c r="AD24" s="37"/>
      <c r="AE24" s="35"/>
      <c r="AF24" s="35"/>
      <c r="AG24" s="35"/>
      <c r="AH24" s="35"/>
      <c r="AI24" s="35"/>
      <c r="AJ24" s="37"/>
      <c r="AK24" s="35"/>
      <c r="AL24" s="35"/>
      <c r="AM24" s="35"/>
      <c r="AN24" s="35"/>
      <c r="AO24" s="35"/>
      <c r="AP24" s="37"/>
      <c r="AQ24" s="35"/>
      <c r="AR24" s="35"/>
      <c r="AS24" s="35"/>
      <c r="AT24" s="35"/>
      <c r="AU24" s="35"/>
      <c r="AV24" s="37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</row>
    <row r="25">
      <c r="A25" s="32">
        <v>24.0</v>
      </c>
      <c r="B25" s="32">
        <v>12.0</v>
      </c>
      <c r="C25" s="32"/>
      <c r="D25" s="32" t="s">
        <v>209</v>
      </c>
      <c r="E25" s="32"/>
      <c r="F25" s="32">
        <v>1.0</v>
      </c>
      <c r="G25" s="35"/>
      <c r="H25" s="35"/>
      <c r="I25" s="35"/>
      <c r="J25" s="35"/>
      <c r="K25" s="35"/>
      <c r="L25" s="37"/>
      <c r="M25" s="35"/>
      <c r="N25" s="35"/>
      <c r="O25" s="35"/>
      <c r="P25" s="35"/>
      <c r="Q25" s="35"/>
      <c r="R25" s="37"/>
      <c r="S25" s="35"/>
      <c r="T25" s="35"/>
      <c r="U25" s="35"/>
      <c r="V25" s="35"/>
      <c r="W25" s="35"/>
      <c r="X25" s="37"/>
      <c r="Y25" s="35"/>
      <c r="Z25" s="35"/>
      <c r="AA25" s="35"/>
      <c r="AB25" s="35"/>
      <c r="AC25" s="35"/>
      <c r="AD25" s="37"/>
      <c r="AE25" s="35"/>
      <c r="AF25" s="35"/>
      <c r="AG25" s="35"/>
      <c r="AH25" s="35"/>
      <c r="AI25" s="35"/>
      <c r="AJ25" s="37"/>
      <c r="AK25" s="35"/>
      <c r="AL25" s="35"/>
      <c r="AM25" s="35"/>
      <c r="AN25" s="35"/>
      <c r="AO25" s="35"/>
      <c r="AP25" s="37"/>
      <c r="AQ25" s="35"/>
      <c r="AR25" s="35"/>
      <c r="AS25" s="35"/>
      <c r="AT25" s="35"/>
      <c r="AU25" s="35"/>
      <c r="AV25" s="37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</row>
    <row r="26">
      <c r="A26" s="32">
        <v>25.0</v>
      </c>
      <c r="B26" s="32">
        <v>13.0</v>
      </c>
      <c r="C26" s="32"/>
      <c r="D26" s="32" t="s">
        <v>226</v>
      </c>
      <c r="E26" s="32"/>
      <c r="F26" s="32">
        <v>1.0</v>
      </c>
      <c r="G26" s="35"/>
      <c r="H26" s="35"/>
      <c r="I26" s="35"/>
      <c r="J26" s="35"/>
      <c r="K26" s="35"/>
      <c r="L26" s="37"/>
      <c r="M26" s="35"/>
      <c r="N26" s="35"/>
      <c r="O26" s="35"/>
      <c r="P26" s="35"/>
      <c r="Q26" s="35"/>
      <c r="R26" s="37"/>
      <c r="S26" s="35"/>
      <c r="T26" s="35"/>
      <c r="U26" s="35"/>
      <c r="V26" s="35"/>
      <c r="W26" s="35"/>
      <c r="X26" s="37"/>
      <c r="Y26" s="35"/>
      <c r="Z26" s="35"/>
      <c r="AA26" s="35"/>
      <c r="AB26" s="35"/>
      <c r="AC26" s="35"/>
      <c r="AD26" s="37"/>
      <c r="AE26" s="35"/>
      <c r="AF26" s="35"/>
      <c r="AG26" s="35"/>
      <c r="AH26" s="35"/>
      <c r="AI26" s="35"/>
      <c r="AJ26" s="37"/>
      <c r="AK26" s="35"/>
      <c r="AL26" s="35"/>
      <c r="AM26" s="35"/>
      <c r="AN26" s="35"/>
      <c r="AO26" s="35"/>
      <c r="AP26" s="37"/>
      <c r="AQ26" s="35"/>
      <c r="AR26" s="35"/>
      <c r="AS26" s="35"/>
      <c r="AT26" s="35"/>
      <c r="AU26" s="35"/>
      <c r="AV26" s="37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</row>
    <row r="27">
      <c r="A27" s="32">
        <v>26.0</v>
      </c>
      <c r="B27" s="32">
        <v>14.0</v>
      </c>
      <c r="C27" s="32"/>
      <c r="D27" s="32" t="s">
        <v>240</v>
      </c>
      <c r="E27" s="32"/>
      <c r="F27" s="32">
        <v>6.0</v>
      </c>
      <c r="G27" s="35"/>
      <c r="H27" s="35"/>
      <c r="I27" s="35"/>
      <c r="J27" s="35"/>
      <c r="K27" s="35"/>
      <c r="L27" s="37"/>
      <c r="M27" s="35"/>
      <c r="N27" s="35"/>
      <c r="O27" s="35"/>
      <c r="P27" s="35"/>
      <c r="Q27" s="35"/>
      <c r="R27" s="37"/>
      <c r="S27" s="35"/>
      <c r="T27" s="35"/>
      <c r="U27" s="35"/>
      <c r="V27" s="35"/>
      <c r="W27" s="35"/>
      <c r="X27" s="37"/>
      <c r="Y27" s="35"/>
      <c r="Z27" s="35"/>
      <c r="AA27" s="35"/>
      <c r="AB27" s="35"/>
      <c r="AC27" s="35"/>
      <c r="AD27" s="37"/>
      <c r="AE27" s="35"/>
      <c r="AF27" s="35"/>
      <c r="AG27" s="35"/>
      <c r="AH27" s="35"/>
      <c r="AI27" s="35"/>
      <c r="AJ27" s="37"/>
      <c r="AK27" s="35"/>
      <c r="AL27" s="35"/>
      <c r="AM27" s="35"/>
      <c r="AN27" s="35"/>
      <c r="AO27" s="35"/>
      <c r="AP27" s="37"/>
      <c r="AQ27" s="35"/>
      <c r="AR27" s="35"/>
      <c r="AS27" s="35"/>
      <c r="AT27" s="35"/>
      <c r="AU27" s="35"/>
      <c r="AV27" s="37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</row>
    <row r="28">
      <c r="A28" s="32">
        <v>27.0</v>
      </c>
      <c r="B28" s="32">
        <v>15.0</v>
      </c>
      <c r="C28" s="32"/>
      <c r="D28" s="32" t="s">
        <v>243</v>
      </c>
      <c r="E28" s="32"/>
      <c r="F28" s="32">
        <v>3.0</v>
      </c>
      <c r="G28" s="35"/>
      <c r="H28" s="35"/>
      <c r="I28" s="35"/>
      <c r="J28" s="35"/>
      <c r="K28" s="35"/>
      <c r="L28" s="37"/>
      <c r="M28" s="35"/>
      <c r="N28" s="35"/>
      <c r="O28" s="35"/>
      <c r="P28" s="35"/>
      <c r="Q28" s="35"/>
      <c r="R28" s="37"/>
      <c r="S28" s="35"/>
      <c r="T28" s="35"/>
      <c r="U28" s="35"/>
      <c r="V28" s="35"/>
      <c r="W28" s="35"/>
      <c r="X28" s="37"/>
      <c r="Y28" s="35"/>
      <c r="Z28" s="35"/>
      <c r="AA28" s="35"/>
      <c r="AB28" s="35"/>
      <c r="AC28" s="35"/>
      <c r="AD28" s="37"/>
      <c r="AE28" s="35"/>
      <c r="AF28" s="35"/>
      <c r="AG28" s="35"/>
      <c r="AH28" s="35"/>
      <c r="AI28" s="35"/>
      <c r="AJ28" s="37"/>
      <c r="AK28" s="35"/>
      <c r="AL28" s="35"/>
      <c r="AM28" s="35"/>
      <c r="AN28" s="35"/>
      <c r="AO28" s="35"/>
      <c r="AP28" s="37"/>
      <c r="AQ28" s="35"/>
      <c r="AR28" s="35"/>
      <c r="AS28" s="35"/>
      <c r="AT28" s="35"/>
      <c r="AU28" s="35"/>
      <c r="AV28" s="37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</row>
    <row r="29">
      <c r="A29" s="32">
        <v>28.0</v>
      </c>
      <c r="B29" s="32">
        <v>16.0</v>
      </c>
      <c r="C29" s="32"/>
      <c r="D29" s="32" t="s">
        <v>247</v>
      </c>
      <c r="E29" s="32"/>
      <c r="F29" s="32">
        <v>3.0</v>
      </c>
      <c r="G29" s="35"/>
      <c r="H29" s="35"/>
      <c r="I29" s="35"/>
      <c r="J29" s="35"/>
      <c r="K29" s="35"/>
      <c r="L29" s="37"/>
      <c r="M29" s="35"/>
      <c r="N29" s="35"/>
      <c r="O29" s="35"/>
      <c r="P29" s="35"/>
      <c r="Q29" s="35"/>
      <c r="R29" s="37"/>
      <c r="S29" s="35"/>
      <c r="T29" s="35"/>
      <c r="U29" s="35"/>
      <c r="V29" s="35"/>
      <c r="W29" s="35"/>
      <c r="X29" s="37"/>
      <c r="Y29" s="35"/>
      <c r="Z29" s="35"/>
      <c r="AA29" s="35"/>
      <c r="AB29" s="35"/>
      <c r="AC29" s="35"/>
      <c r="AD29" s="37"/>
      <c r="AE29" s="35"/>
      <c r="AF29" s="35"/>
      <c r="AG29" s="35"/>
      <c r="AH29" s="35"/>
      <c r="AI29" s="35"/>
      <c r="AJ29" s="37"/>
      <c r="AK29" s="35"/>
      <c r="AL29" s="35"/>
      <c r="AM29" s="35"/>
      <c r="AN29" s="35"/>
      <c r="AO29" s="35"/>
      <c r="AP29" s="37"/>
      <c r="AQ29" s="35"/>
      <c r="AR29" s="35"/>
      <c r="AS29" s="35"/>
      <c r="AT29" s="35"/>
      <c r="AU29" s="35"/>
      <c r="AV29" s="37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</row>
    <row r="30">
      <c r="A30" s="32">
        <v>29.0</v>
      </c>
      <c r="B30" s="32">
        <v>17.0</v>
      </c>
      <c r="C30" s="32"/>
      <c r="D30" s="32" t="s">
        <v>253</v>
      </c>
      <c r="E30" s="32"/>
      <c r="F30" s="32">
        <v>4.0</v>
      </c>
      <c r="G30" s="35"/>
      <c r="H30" s="35"/>
      <c r="I30" s="35"/>
      <c r="J30" s="35"/>
      <c r="K30" s="35"/>
      <c r="L30" s="37"/>
      <c r="M30" s="35"/>
      <c r="N30" s="35"/>
      <c r="O30" s="35"/>
      <c r="P30" s="35"/>
      <c r="Q30" s="35"/>
      <c r="R30" s="37"/>
      <c r="S30" s="35"/>
      <c r="T30" s="35"/>
      <c r="U30" s="35"/>
      <c r="V30" s="35"/>
      <c r="W30" s="35"/>
      <c r="X30" s="37"/>
      <c r="Y30" s="35"/>
      <c r="Z30" s="35"/>
      <c r="AA30" s="35"/>
      <c r="AB30" s="35"/>
      <c r="AC30" s="35"/>
      <c r="AD30" s="37"/>
      <c r="AE30" s="35"/>
      <c r="AF30" s="35"/>
      <c r="AG30" s="35"/>
      <c r="AH30" s="35"/>
      <c r="AI30" s="35"/>
      <c r="AJ30" s="37"/>
      <c r="AK30" s="35"/>
      <c r="AL30" s="35"/>
      <c r="AM30" s="35"/>
      <c r="AN30" s="35"/>
      <c r="AO30" s="35"/>
      <c r="AP30" s="37"/>
      <c r="AQ30" s="35"/>
      <c r="AR30" s="35"/>
      <c r="AS30" s="35"/>
      <c r="AT30" s="35"/>
      <c r="AU30" s="35"/>
      <c r="AV30" s="37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</row>
    <row r="31">
      <c r="A31" s="32">
        <v>30.0</v>
      </c>
      <c r="B31" s="32">
        <v>18.0</v>
      </c>
      <c r="C31" s="32"/>
      <c r="D31" s="32" t="s">
        <v>259</v>
      </c>
      <c r="E31" s="32"/>
      <c r="F31" s="32">
        <v>10.0</v>
      </c>
      <c r="G31" s="35"/>
      <c r="H31" s="35"/>
      <c r="I31" s="35"/>
      <c r="J31" s="35"/>
      <c r="K31" s="35"/>
      <c r="L31" s="37"/>
      <c r="M31" s="35"/>
      <c r="N31" s="35"/>
      <c r="O31" s="35"/>
      <c r="P31" s="35"/>
      <c r="Q31" s="35"/>
      <c r="R31" s="37"/>
      <c r="S31" s="35"/>
      <c r="T31" s="35"/>
      <c r="U31" s="35"/>
      <c r="V31" s="35"/>
      <c r="W31" s="35"/>
      <c r="X31" s="37"/>
      <c r="Y31" s="35"/>
      <c r="Z31" s="35"/>
      <c r="AA31" s="35"/>
      <c r="AB31" s="35"/>
      <c r="AC31" s="35"/>
      <c r="AD31" s="37"/>
      <c r="AE31" s="35"/>
      <c r="AF31" s="35"/>
      <c r="AG31" s="35"/>
      <c r="AH31" s="35"/>
      <c r="AI31" s="35"/>
      <c r="AJ31" s="37"/>
      <c r="AK31" s="35"/>
      <c r="AL31" s="35"/>
      <c r="AM31" s="35"/>
      <c r="AN31" s="35"/>
      <c r="AO31" s="35"/>
      <c r="AP31" s="37"/>
      <c r="AQ31" s="35"/>
      <c r="AR31" s="35"/>
      <c r="AS31" s="35"/>
      <c r="AT31" s="35"/>
      <c r="AU31" s="35"/>
      <c r="AV31" s="37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</row>
    <row r="32">
      <c r="A32" s="32">
        <v>31.0</v>
      </c>
      <c r="B32" s="32">
        <v>19.0</v>
      </c>
      <c r="C32" s="32"/>
      <c r="D32" s="32" t="s">
        <v>263</v>
      </c>
      <c r="E32" s="32"/>
      <c r="F32" s="32">
        <v>4.0</v>
      </c>
      <c r="G32" s="35"/>
      <c r="H32" s="35"/>
      <c r="I32" s="35"/>
      <c r="J32" s="35"/>
      <c r="K32" s="35"/>
      <c r="L32" s="37"/>
      <c r="M32" s="35"/>
      <c r="N32" s="35"/>
      <c r="O32" s="35"/>
      <c r="P32" s="35"/>
      <c r="Q32" s="35"/>
      <c r="R32" s="37"/>
      <c r="S32" s="35"/>
      <c r="T32" s="35"/>
      <c r="U32" s="35"/>
      <c r="V32" s="35"/>
      <c r="W32" s="35"/>
      <c r="X32" s="37"/>
      <c r="Y32" s="35"/>
      <c r="Z32" s="35"/>
      <c r="AA32" s="35"/>
      <c r="AB32" s="35"/>
      <c r="AC32" s="35"/>
      <c r="AD32" s="37"/>
      <c r="AE32" s="35"/>
      <c r="AF32" s="35"/>
      <c r="AG32" s="35"/>
      <c r="AH32" s="35"/>
      <c r="AI32" s="35"/>
      <c r="AJ32" s="37"/>
      <c r="AK32" s="35"/>
      <c r="AL32" s="35"/>
      <c r="AM32" s="35"/>
      <c r="AN32" s="35"/>
      <c r="AO32" s="35"/>
      <c r="AP32" s="37"/>
      <c r="AQ32" s="35"/>
      <c r="AR32" s="35"/>
      <c r="AS32" s="35"/>
      <c r="AT32" s="35"/>
      <c r="AU32" s="35"/>
      <c r="AV32" s="37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</row>
    <row r="33">
      <c r="A33" s="32">
        <v>32.0</v>
      </c>
      <c r="B33" s="32">
        <v>20.0</v>
      </c>
      <c r="C33" s="32"/>
      <c r="D33" s="32" t="s">
        <v>265</v>
      </c>
      <c r="E33" s="32"/>
      <c r="F33" s="32">
        <v>4.0</v>
      </c>
      <c r="G33" s="35"/>
      <c r="H33" s="35"/>
      <c r="I33" s="35"/>
      <c r="J33" s="35"/>
      <c r="K33" s="35"/>
      <c r="L33" s="37"/>
      <c r="M33" s="35"/>
      <c r="N33" s="35"/>
      <c r="O33" s="35"/>
      <c r="P33" s="35"/>
      <c r="Q33" s="35"/>
      <c r="R33" s="37"/>
      <c r="S33" s="35"/>
      <c r="T33" s="35"/>
      <c r="U33" s="35"/>
      <c r="V33" s="35"/>
      <c r="W33" s="35"/>
      <c r="X33" s="37"/>
      <c r="Y33" s="35"/>
      <c r="Z33" s="35"/>
      <c r="AA33" s="35"/>
      <c r="AB33" s="35"/>
      <c r="AC33" s="35"/>
      <c r="AD33" s="37"/>
      <c r="AE33" s="35"/>
      <c r="AF33" s="35"/>
      <c r="AG33" s="35"/>
      <c r="AH33" s="35"/>
      <c r="AI33" s="35"/>
      <c r="AJ33" s="37"/>
      <c r="AK33" s="35"/>
      <c r="AL33" s="35"/>
      <c r="AM33" s="35"/>
      <c r="AN33" s="35"/>
      <c r="AO33" s="35"/>
      <c r="AP33" s="37"/>
      <c r="AQ33" s="35"/>
      <c r="AR33" s="35"/>
      <c r="AS33" s="35"/>
      <c r="AT33" s="35"/>
      <c r="AU33" s="35"/>
      <c r="AV33" s="37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</row>
    <row r="34">
      <c r="A34" s="32">
        <v>33.0</v>
      </c>
      <c r="B34" s="32">
        <v>21.0</v>
      </c>
      <c r="C34" s="32"/>
      <c r="D34" s="32" t="s">
        <v>270</v>
      </c>
      <c r="E34" s="32"/>
      <c r="F34" s="32">
        <v>2.0</v>
      </c>
      <c r="G34" s="35"/>
      <c r="H34" s="35"/>
      <c r="I34" s="35"/>
      <c r="J34" s="35"/>
      <c r="K34" s="35"/>
      <c r="L34" s="37"/>
      <c r="M34" s="35"/>
      <c r="N34" s="35"/>
      <c r="O34" s="35"/>
      <c r="P34" s="35"/>
      <c r="Q34" s="35"/>
      <c r="R34" s="37"/>
      <c r="S34" s="35"/>
      <c r="T34" s="35"/>
      <c r="U34" s="35"/>
      <c r="V34" s="35"/>
      <c r="W34" s="35"/>
      <c r="X34" s="37"/>
      <c r="Y34" s="35"/>
      <c r="Z34" s="35"/>
      <c r="AA34" s="35"/>
      <c r="AB34" s="35"/>
      <c r="AC34" s="35"/>
      <c r="AD34" s="37"/>
      <c r="AE34" s="35"/>
      <c r="AF34" s="35"/>
      <c r="AG34" s="35"/>
      <c r="AH34" s="35"/>
      <c r="AI34" s="35"/>
      <c r="AJ34" s="37"/>
      <c r="AK34" s="35"/>
      <c r="AL34" s="35"/>
      <c r="AM34" s="35"/>
      <c r="AN34" s="35"/>
      <c r="AO34" s="35"/>
      <c r="AP34" s="37"/>
      <c r="AQ34" s="35"/>
      <c r="AR34" s="35"/>
      <c r="AS34" s="35"/>
      <c r="AT34" s="35"/>
      <c r="AU34" s="35"/>
      <c r="AV34" s="37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</row>
    <row r="35">
      <c r="A35" s="32">
        <v>34.0</v>
      </c>
      <c r="B35" s="32">
        <v>22.0</v>
      </c>
      <c r="C35" s="32"/>
      <c r="D35" s="32" t="s">
        <v>274</v>
      </c>
      <c r="E35" s="32"/>
      <c r="F35" s="32">
        <v>6.0</v>
      </c>
      <c r="G35" s="35"/>
      <c r="H35" s="35"/>
      <c r="I35" s="35"/>
      <c r="J35" s="35"/>
      <c r="K35" s="35"/>
      <c r="L35" s="37"/>
      <c r="M35" s="35"/>
      <c r="N35" s="35"/>
      <c r="O35" s="35"/>
      <c r="P35" s="35"/>
      <c r="Q35" s="35"/>
      <c r="R35" s="37"/>
      <c r="S35" s="35"/>
      <c r="T35" s="35"/>
      <c r="U35" s="35"/>
      <c r="V35" s="35"/>
      <c r="W35" s="35"/>
      <c r="X35" s="37"/>
      <c r="Y35" s="35"/>
      <c r="Z35" s="35"/>
      <c r="AA35" s="35"/>
      <c r="AB35" s="35"/>
      <c r="AC35" s="35"/>
      <c r="AD35" s="37"/>
      <c r="AE35" s="35"/>
      <c r="AF35" s="35"/>
      <c r="AG35" s="35"/>
      <c r="AH35" s="35"/>
      <c r="AI35" s="35"/>
      <c r="AJ35" s="37"/>
      <c r="AK35" s="35"/>
      <c r="AL35" s="35"/>
      <c r="AM35" s="35"/>
      <c r="AN35" s="35"/>
      <c r="AO35" s="35"/>
      <c r="AP35" s="37"/>
      <c r="AQ35" s="35"/>
      <c r="AR35" s="35"/>
      <c r="AS35" s="35"/>
      <c r="AT35" s="35"/>
      <c r="AU35" s="35"/>
      <c r="AV35" s="37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</row>
    <row r="36">
      <c r="A36" s="32">
        <v>35.0</v>
      </c>
      <c r="B36" s="32">
        <v>23.0</v>
      </c>
      <c r="C36" s="32"/>
      <c r="D36" s="32" t="s">
        <v>278</v>
      </c>
      <c r="E36" s="32"/>
      <c r="F36" s="32">
        <v>1.0</v>
      </c>
      <c r="G36" s="35"/>
      <c r="H36" s="35"/>
      <c r="I36" s="35"/>
      <c r="J36" s="35"/>
      <c r="K36" s="35"/>
      <c r="L36" s="37"/>
      <c r="M36" s="35"/>
      <c r="N36" s="35"/>
      <c r="O36" s="35"/>
      <c r="P36" s="35"/>
      <c r="Q36" s="35"/>
      <c r="R36" s="37"/>
      <c r="S36" s="35"/>
      <c r="T36" s="35"/>
      <c r="U36" s="35"/>
      <c r="V36" s="35"/>
      <c r="W36" s="35"/>
      <c r="X36" s="37"/>
      <c r="Y36" s="35"/>
      <c r="Z36" s="35"/>
      <c r="AA36" s="35"/>
      <c r="AB36" s="35"/>
      <c r="AC36" s="35"/>
      <c r="AD36" s="37"/>
      <c r="AE36" s="35"/>
      <c r="AF36" s="35"/>
      <c r="AG36" s="35"/>
      <c r="AH36" s="35"/>
      <c r="AI36" s="35"/>
      <c r="AJ36" s="37"/>
      <c r="AK36" s="35"/>
      <c r="AL36" s="35"/>
      <c r="AM36" s="35"/>
      <c r="AN36" s="35"/>
      <c r="AO36" s="35"/>
      <c r="AP36" s="37"/>
      <c r="AQ36" s="35"/>
      <c r="AR36" s="35"/>
      <c r="AS36" s="35"/>
      <c r="AT36" s="35"/>
      <c r="AU36" s="35"/>
      <c r="AV36" s="37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</row>
    <row r="37">
      <c r="A37" s="32">
        <v>36.0</v>
      </c>
      <c r="B37" s="32">
        <v>24.0</v>
      </c>
      <c r="C37" s="32"/>
      <c r="D37" s="32" t="s">
        <v>287</v>
      </c>
      <c r="E37" s="32"/>
      <c r="F37" s="32">
        <v>1.0</v>
      </c>
      <c r="G37" s="35"/>
      <c r="H37" s="35"/>
      <c r="I37" s="35"/>
      <c r="J37" s="35"/>
      <c r="K37" s="35"/>
      <c r="L37" s="37"/>
      <c r="M37" s="35"/>
      <c r="N37" s="35"/>
      <c r="O37" s="35"/>
      <c r="P37" s="35"/>
      <c r="Q37" s="35"/>
      <c r="R37" s="37"/>
      <c r="S37" s="35"/>
      <c r="T37" s="35"/>
      <c r="U37" s="35"/>
      <c r="V37" s="35"/>
      <c r="W37" s="35"/>
      <c r="X37" s="37"/>
      <c r="Y37" s="35"/>
      <c r="Z37" s="35"/>
      <c r="AA37" s="35"/>
      <c r="AB37" s="35"/>
      <c r="AC37" s="35"/>
      <c r="AD37" s="37"/>
      <c r="AE37" s="35"/>
      <c r="AF37" s="35"/>
      <c r="AG37" s="35"/>
      <c r="AH37" s="35"/>
      <c r="AI37" s="35"/>
      <c r="AJ37" s="37"/>
      <c r="AK37" s="35"/>
      <c r="AL37" s="35"/>
      <c r="AM37" s="35"/>
      <c r="AN37" s="35"/>
      <c r="AO37" s="35"/>
      <c r="AP37" s="37"/>
      <c r="AQ37" s="35"/>
      <c r="AR37" s="35"/>
      <c r="AS37" s="35"/>
      <c r="AT37" s="35"/>
      <c r="AU37" s="35"/>
      <c r="AV37" s="37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</row>
    <row r="38">
      <c r="A38" s="32">
        <v>37.0</v>
      </c>
      <c r="B38" s="32">
        <v>25.0</v>
      </c>
      <c r="C38" s="32"/>
      <c r="D38" s="32" t="s">
        <v>290</v>
      </c>
      <c r="E38" s="32"/>
      <c r="F38" s="32">
        <v>6.0</v>
      </c>
      <c r="G38" s="35"/>
      <c r="H38" s="35"/>
      <c r="I38" s="35"/>
      <c r="J38" s="35"/>
      <c r="K38" s="35"/>
      <c r="L38" s="37"/>
      <c r="M38" s="35"/>
      <c r="N38" s="35"/>
      <c r="O38" s="35"/>
      <c r="P38" s="35"/>
      <c r="Q38" s="35"/>
      <c r="R38" s="37"/>
      <c r="S38" s="35"/>
      <c r="T38" s="35"/>
      <c r="U38" s="35"/>
      <c r="V38" s="35"/>
      <c r="W38" s="35"/>
      <c r="X38" s="37"/>
      <c r="Y38" s="35"/>
      <c r="Z38" s="35"/>
      <c r="AA38" s="35"/>
      <c r="AB38" s="35"/>
      <c r="AC38" s="35"/>
      <c r="AD38" s="37"/>
      <c r="AE38" s="35"/>
      <c r="AF38" s="35"/>
      <c r="AG38" s="35"/>
      <c r="AH38" s="35"/>
      <c r="AI38" s="35"/>
      <c r="AJ38" s="37"/>
      <c r="AK38" s="35"/>
      <c r="AL38" s="35"/>
      <c r="AM38" s="35"/>
      <c r="AN38" s="35"/>
      <c r="AO38" s="35"/>
      <c r="AP38" s="37"/>
      <c r="AQ38" s="35"/>
      <c r="AR38" s="35"/>
      <c r="AS38" s="35"/>
      <c r="AT38" s="35"/>
      <c r="AU38" s="35"/>
      <c r="AV38" s="37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</row>
    <row r="39">
      <c r="A39" s="32">
        <v>38.0</v>
      </c>
      <c r="B39" s="32">
        <v>26.0</v>
      </c>
      <c r="C39" s="32"/>
      <c r="D39" s="32" t="s">
        <v>294</v>
      </c>
      <c r="E39" s="32"/>
      <c r="F39" s="32">
        <v>3.0</v>
      </c>
      <c r="G39" s="35"/>
      <c r="H39" s="35"/>
      <c r="I39" s="35"/>
      <c r="J39" s="35"/>
      <c r="K39" s="35"/>
      <c r="L39" s="37"/>
      <c r="M39" s="35"/>
      <c r="N39" s="35"/>
      <c r="O39" s="35"/>
      <c r="P39" s="35"/>
      <c r="Q39" s="35"/>
      <c r="R39" s="37"/>
      <c r="S39" s="35"/>
      <c r="T39" s="35"/>
      <c r="U39" s="35"/>
      <c r="V39" s="35"/>
      <c r="W39" s="35"/>
      <c r="X39" s="37"/>
      <c r="Y39" s="35"/>
      <c r="Z39" s="35"/>
      <c r="AA39" s="35"/>
      <c r="AB39" s="35"/>
      <c r="AC39" s="35"/>
      <c r="AD39" s="37"/>
      <c r="AE39" s="35"/>
      <c r="AF39" s="35"/>
      <c r="AG39" s="35"/>
      <c r="AH39" s="35"/>
      <c r="AI39" s="35"/>
      <c r="AJ39" s="37"/>
      <c r="AK39" s="35"/>
      <c r="AL39" s="35"/>
      <c r="AM39" s="35"/>
      <c r="AN39" s="35"/>
      <c r="AO39" s="35"/>
      <c r="AP39" s="37"/>
      <c r="AQ39" s="35"/>
      <c r="AR39" s="35"/>
      <c r="AS39" s="35"/>
      <c r="AT39" s="35"/>
      <c r="AU39" s="35"/>
      <c r="AV39" s="37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</row>
    <row r="40">
      <c r="A40" s="32">
        <v>39.0</v>
      </c>
      <c r="B40" s="32">
        <v>27.0</v>
      </c>
      <c r="C40" s="32"/>
      <c r="D40" s="32" t="s">
        <v>299</v>
      </c>
      <c r="E40" s="32"/>
      <c r="F40" s="32">
        <v>1.0</v>
      </c>
      <c r="G40" s="35"/>
      <c r="H40" s="35"/>
      <c r="I40" s="35"/>
      <c r="J40" s="35"/>
      <c r="K40" s="35"/>
      <c r="L40" s="37"/>
      <c r="M40" s="35"/>
      <c r="N40" s="35"/>
      <c r="O40" s="35"/>
      <c r="P40" s="35"/>
      <c r="Q40" s="35"/>
      <c r="R40" s="37"/>
      <c r="S40" s="35"/>
      <c r="T40" s="35"/>
      <c r="U40" s="35"/>
      <c r="V40" s="35"/>
      <c r="W40" s="35"/>
      <c r="X40" s="37"/>
      <c r="Y40" s="35"/>
      <c r="Z40" s="35"/>
      <c r="AA40" s="35"/>
      <c r="AB40" s="35"/>
      <c r="AC40" s="35"/>
      <c r="AD40" s="37"/>
      <c r="AE40" s="35"/>
      <c r="AF40" s="35"/>
      <c r="AG40" s="35"/>
      <c r="AH40" s="35"/>
      <c r="AI40" s="35"/>
      <c r="AJ40" s="37"/>
      <c r="AK40" s="35"/>
      <c r="AL40" s="35"/>
      <c r="AM40" s="35"/>
      <c r="AN40" s="35"/>
      <c r="AO40" s="35"/>
      <c r="AP40" s="37"/>
      <c r="AQ40" s="35"/>
      <c r="AR40" s="35"/>
      <c r="AS40" s="35"/>
      <c r="AT40" s="35"/>
      <c r="AU40" s="35"/>
      <c r="AV40" s="37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</row>
    <row r="41">
      <c r="A41" s="32">
        <v>40.0</v>
      </c>
      <c r="B41" s="32">
        <v>28.0</v>
      </c>
      <c r="C41" s="32"/>
      <c r="D41" s="32" t="s">
        <v>305</v>
      </c>
      <c r="E41" s="32"/>
      <c r="F41" s="32">
        <v>1.0</v>
      </c>
      <c r="G41" s="35"/>
      <c r="H41" s="35"/>
      <c r="I41" s="35"/>
      <c r="J41" s="35"/>
      <c r="K41" s="35"/>
      <c r="L41" s="37"/>
      <c r="M41" s="35"/>
      <c r="N41" s="35"/>
      <c r="O41" s="35"/>
      <c r="P41" s="35"/>
      <c r="Q41" s="35"/>
      <c r="R41" s="37"/>
      <c r="S41" s="35"/>
      <c r="T41" s="35"/>
      <c r="U41" s="35"/>
      <c r="V41" s="35"/>
      <c r="W41" s="35"/>
      <c r="X41" s="37"/>
      <c r="Y41" s="35"/>
      <c r="Z41" s="35"/>
      <c r="AA41" s="35"/>
      <c r="AB41" s="35"/>
      <c r="AC41" s="35"/>
      <c r="AD41" s="37"/>
      <c r="AE41" s="35"/>
      <c r="AF41" s="35"/>
      <c r="AG41" s="35"/>
      <c r="AH41" s="35"/>
      <c r="AI41" s="35"/>
      <c r="AJ41" s="37"/>
      <c r="AK41" s="35"/>
      <c r="AL41" s="35"/>
      <c r="AM41" s="35"/>
      <c r="AN41" s="35"/>
      <c r="AO41" s="35"/>
      <c r="AP41" s="37"/>
      <c r="AQ41" s="35"/>
      <c r="AR41" s="35"/>
      <c r="AS41" s="35"/>
      <c r="AT41" s="35"/>
      <c r="AU41" s="35"/>
      <c r="AV41" s="37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</row>
    <row r="42">
      <c r="A42" s="32">
        <v>41.0</v>
      </c>
      <c r="B42" s="32">
        <v>29.0</v>
      </c>
      <c r="C42" s="32"/>
      <c r="D42" s="32" t="s">
        <v>307</v>
      </c>
      <c r="E42" s="32"/>
      <c r="F42" s="32">
        <v>3.0</v>
      </c>
      <c r="G42" s="35"/>
      <c r="H42" s="35"/>
      <c r="I42" s="35"/>
      <c r="J42" s="35"/>
      <c r="K42" s="35"/>
      <c r="L42" s="37"/>
      <c r="M42" s="35"/>
      <c r="N42" s="35"/>
      <c r="O42" s="35"/>
      <c r="P42" s="35"/>
      <c r="Q42" s="35"/>
      <c r="R42" s="37"/>
      <c r="S42" s="35"/>
      <c r="T42" s="35"/>
      <c r="U42" s="35"/>
      <c r="V42" s="35"/>
      <c r="W42" s="35"/>
      <c r="X42" s="37"/>
      <c r="Y42" s="35"/>
      <c r="Z42" s="35"/>
      <c r="AA42" s="35"/>
      <c r="AB42" s="35"/>
      <c r="AC42" s="35"/>
      <c r="AD42" s="37"/>
      <c r="AE42" s="35"/>
      <c r="AF42" s="35"/>
      <c r="AG42" s="35"/>
      <c r="AH42" s="35"/>
      <c r="AI42" s="35"/>
      <c r="AJ42" s="37"/>
      <c r="AK42" s="35"/>
      <c r="AL42" s="35"/>
      <c r="AM42" s="35"/>
      <c r="AN42" s="35"/>
      <c r="AO42" s="35"/>
      <c r="AP42" s="37"/>
      <c r="AQ42" s="35"/>
      <c r="AR42" s="35"/>
      <c r="AS42" s="35"/>
      <c r="AT42" s="35"/>
      <c r="AU42" s="35"/>
      <c r="AV42" s="37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</row>
    <row r="43">
      <c r="A43" s="32">
        <v>42.0</v>
      </c>
      <c r="B43" s="32">
        <v>30.0</v>
      </c>
      <c r="C43" s="32"/>
      <c r="D43" s="32" t="s">
        <v>309</v>
      </c>
      <c r="E43" s="32"/>
      <c r="F43" s="32">
        <v>1.0</v>
      </c>
      <c r="G43" s="35"/>
      <c r="H43" s="35"/>
      <c r="I43" s="35"/>
      <c r="J43" s="35"/>
      <c r="K43" s="35"/>
      <c r="L43" s="37"/>
      <c r="M43" s="35"/>
      <c r="N43" s="35"/>
      <c r="O43" s="35"/>
      <c r="P43" s="35"/>
      <c r="Q43" s="35"/>
      <c r="R43" s="37"/>
      <c r="S43" s="35"/>
      <c r="T43" s="35"/>
      <c r="U43" s="35"/>
      <c r="V43" s="35"/>
      <c r="W43" s="35"/>
      <c r="X43" s="37"/>
      <c r="Y43" s="35"/>
      <c r="Z43" s="35"/>
      <c r="AA43" s="35"/>
      <c r="AB43" s="35"/>
      <c r="AC43" s="35"/>
      <c r="AD43" s="37"/>
      <c r="AE43" s="35"/>
      <c r="AF43" s="35"/>
      <c r="AG43" s="35"/>
      <c r="AH43" s="35"/>
      <c r="AI43" s="35"/>
      <c r="AJ43" s="37"/>
      <c r="AK43" s="35"/>
      <c r="AL43" s="35"/>
      <c r="AM43" s="35"/>
      <c r="AN43" s="35"/>
      <c r="AO43" s="35"/>
      <c r="AP43" s="37"/>
      <c r="AQ43" s="35"/>
      <c r="AR43" s="35"/>
      <c r="AS43" s="35"/>
      <c r="AT43" s="35"/>
      <c r="AU43" s="35"/>
      <c r="AV43" s="37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</row>
    <row r="44">
      <c r="A44" s="32">
        <v>43.0</v>
      </c>
      <c r="B44" s="32">
        <v>31.0</v>
      </c>
      <c r="C44" s="32"/>
      <c r="D44" s="32" t="s">
        <v>311</v>
      </c>
      <c r="E44" s="32"/>
      <c r="F44" s="32">
        <v>1.0</v>
      </c>
      <c r="G44" s="35"/>
      <c r="H44" s="35"/>
      <c r="I44" s="35"/>
      <c r="J44" s="35"/>
      <c r="K44" s="35"/>
      <c r="L44" s="37"/>
      <c r="M44" s="35"/>
      <c r="N44" s="35"/>
      <c r="O44" s="35"/>
      <c r="P44" s="35"/>
      <c r="Q44" s="35"/>
      <c r="R44" s="37"/>
      <c r="S44" s="35"/>
      <c r="T44" s="35"/>
      <c r="U44" s="35"/>
      <c r="V44" s="35"/>
      <c r="W44" s="35"/>
      <c r="X44" s="37"/>
      <c r="Y44" s="35"/>
      <c r="Z44" s="35"/>
      <c r="AA44" s="35"/>
      <c r="AB44" s="35"/>
      <c r="AC44" s="35"/>
      <c r="AD44" s="37"/>
      <c r="AE44" s="35"/>
      <c r="AF44" s="35"/>
      <c r="AG44" s="35"/>
      <c r="AH44" s="35"/>
      <c r="AI44" s="35"/>
      <c r="AJ44" s="37"/>
      <c r="AK44" s="35"/>
      <c r="AL44" s="35"/>
      <c r="AM44" s="35"/>
      <c r="AN44" s="35"/>
      <c r="AO44" s="35"/>
      <c r="AP44" s="37"/>
      <c r="AQ44" s="35"/>
      <c r="AR44" s="35"/>
      <c r="AS44" s="35"/>
      <c r="AT44" s="35"/>
      <c r="AU44" s="35"/>
      <c r="AV44" s="37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</row>
    <row r="45">
      <c r="A45" s="32">
        <v>44.0</v>
      </c>
      <c r="B45" s="32">
        <v>32.0</v>
      </c>
      <c r="C45" s="32"/>
      <c r="D45" s="32" t="s">
        <v>313</v>
      </c>
      <c r="E45" s="32"/>
      <c r="F45" s="32">
        <v>1.0</v>
      </c>
      <c r="G45" s="35"/>
      <c r="H45" s="35"/>
      <c r="I45" s="35"/>
      <c r="J45" s="35"/>
      <c r="K45" s="35"/>
      <c r="L45" s="37"/>
      <c r="M45" s="35"/>
      <c r="N45" s="35"/>
      <c r="O45" s="35"/>
      <c r="P45" s="35"/>
      <c r="Q45" s="35"/>
      <c r="R45" s="37"/>
      <c r="S45" s="35"/>
      <c r="T45" s="35"/>
      <c r="U45" s="35"/>
      <c r="V45" s="35"/>
      <c r="W45" s="35"/>
      <c r="X45" s="37"/>
      <c r="Y45" s="35"/>
      <c r="Z45" s="35"/>
      <c r="AA45" s="35"/>
      <c r="AB45" s="35"/>
      <c r="AC45" s="35"/>
      <c r="AD45" s="37"/>
      <c r="AE45" s="35"/>
      <c r="AF45" s="35"/>
      <c r="AG45" s="35"/>
      <c r="AH45" s="35"/>
      <c r="AI45" s="35"/>
      <c r="AJ45" s="37"/>
      <c r="AK45" s="35"/>
      <c r="AL45" s="35"/>
      <c r="AM45" s="35"/>
      <c r="AN45" s="35"/>
      <c r="AO45" s="35"/>
      <c r="AP45" s="37"/>
      <c r="AQ45" s="35"/>
      <c r="AR45" s="35"/>
      <c r="AS45" s="35"/>
      <c r="AT45" s="35"/>
      <c r="AU45" s="35"/>
      <c r="AV45" s="37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</row>
    <row r="46">
      <c r="A46" s="32">
        <v>45.0</v>
      </c>
      <c r="B46" s="32">
        <v>33.0</v>
      </c>
      <c r="C46" s="32"/>
      <c r="D46" s="32" t="s">
        <v>315</v>
      </c>
      <c r="E46" s="32"/>
      <c r="F46" s="32">
        <v>1.0</v>
      </c>
      <c r="G46" s="35"/>
      <c r="H46" s="35"/>
      <c r="I46" s="35"/>
      <c r="J46" s="35"/>
      <c r="K46" s="35"/>
      <c r="L46" s="37"/>
      <c r="M46" s="35"/>
      <c r="N46" s="35"/>
      <c r="O46" s="35"/>
      <c r="P46" s="35"/>
      <c r="Q46" s="35"/>
      <c r="R46" s="37"/>
      <c r="S46" s="35"/>
      <c r="T46" s="35"/>
      <c r="U46" s="35"/>
      <c r="V46" s="35"/>
      <c r="W46" s="35"/>
      <c r="X46" s="37"/>
      <c r="Y46" s="35"/>
      <c r="Z46" s="35"/>
      <c r="AA46" s="35"/>
      <c r="AB46" s="35"/>
      <c r="AC46" s="35"/>
      <c r="AD46" s="37"/>
      <c r="AE46" s="35"/>
      <c r="AF46" s="35"/>
      <c r="AG46" s="35"/>
      <c r="AH46" s="35"/>
      <c r="AI46" s="35"/>
      <c r="AJ46" s="37"/>
      <c r="AK46" s="35"/>
      <c r="AL46" s="35"/>
      <c r="AM46" s="35"/>
      <c r="AN46" s="35"/>
      <c r="AO46" s="35"/>
      <c r="AP46" s="37"/>
      <c r="AQ46" s="35"/>
      <c r="AR46" s="35"/>
      <c r="AS46" s="35"/>
      <c r="AT46" s="35"/>
      <c r="AU46" s="35"/>
      <c r="AV46" s="37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</row>
    <row r="47">
      <c r="A47" s="32">
        <v>46.0</v>
      </c>
      <c r="B47" s="32">
        <v>34.0</v>
      </c>
      <c r="C47" s="32"/>
      <c r="D47" s="32" t="s">
        <v>319</v>
      </c>
      <c r="E47" s="32"/>
      <c r="F47" s="32">
        <v>1.0</v>
      </c>
      <c r="G47" s="35"/>
      <c r="H47" s="35"/>
      <c r="I47" s="35"/>
      <c r="J47" s="35"/>
      <c r="K47" s="35"/>
      <c r="L47" s="37"/>
      <c r="M47" s="35"/>
      <c r="N47" s="35"/>
      <c r="O47" s="35"/>
      <c r="P47" s="35"/>
      <c r="Q47" s="35"/>
      <c r="R47" s="37"/>
      <c r="S47" s="35"/>
      <c r="T47" s="35"/>
      <c r="U47" s="35"/>
      <c r="V47" s="35"/>
      <c r="W47" s="35"/>
      <c r="X47" s="37"/>
      <c r="Y47" s="35"/>
      <c r="Z47" s="35"/>
      <c r="AA47" s="35"/>
      <c r="AB47" s="35"/>
      <c r="AC47" s="35"/>
      <c r="AD47" s="37"/>
      <c r="AE47" s="35"/>
      <c r="AF47" s="35"/>
      <c r="AG47" s="35"/>
      <c r="AH47" s="35"/>
      <c r="AI47" s="35"/>
      <c r="AJ47" s="37"/>
      <c r="AK47" s="35"/>
      <c r="AL47" s="35"/>
      <c r="AM47" s="35"/>
      <c r="AN47" s="35"/>
      <c r="AO47" s="35"/>
      <c r="AP47" s="37"/>
      <c r="AQ47" s="35"/>
      <c r="AR47" s="35"/>
      <c r="AS47" s="35"/>
      <c r="AT47" s="35"/>
      <c r="AU47" s="35"/>
      <c r="AV47" s="37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</row>
    <row r="48">
      <c r="A48" s="32">
        <v>47.0</v>
      </c>
      <c r="B48" s="32">
        <v>35.0</v>
      </c>
      <c r="C48" s="32"/>
      <c r="D48" s="32" t="s">
        <v>327</v>
      </c>
      <c r="E48" s="32"/>
      <c r="F48" s="32">
        <v>1.0</v>
      </c>
      <c r="G48" s="35"/>
      <c r="H48" s="35"/>
      <c r="I48" s="35"/>
      <c r="J48" s="35"/>
      <c r="K48" s="35"/>
      <c r="L48" s="37"/>
      <c r="M48" s="35"/>
      <c r="N48" s="35"/>
      <c r="O48" s="35"/>
      <c r="P48" s="35"/>
      <c r="Q48" s="35"/>
      <c r="R48" s="37"/>
      <c r="S48" s="35"/>
      <c r="T48" s="35"/>
      <c r="U48" s="35"/>
      <c r="V48" s="35"/>
      <c r="W48" s="35"/>
      <c r="X48" s="37"/>
      <c r="Y48" s="35"/>
      <c r="Z48" s="35"/>
      <c r="AA48" s="35"/>
      <c r="AB48" s="35"/>
      <c r="AC48" s="35"/>
      <c r="AD48" s="37"/>
      <c r="AE48" s="35"/>
      <c r="AF48" s="35"/>
      <c r="AG48" s="35"/>
      <c r="AH48" s="35"/>
      <c r="AI48" s="35"/>
      <c r="AJ48" s="37"/>
      <c r="AK48" s="35"/>
      <c r="AL48" s="35"/>
      <c r="AM48" s="35"/>
      <c r="AN48" s="35"/>
      <c r="AO48" s="35"/>
      <c r="AP48" s="37"/>
      <c r="AQ48" s="35"/>
      <c r="AR48" s="35"/>
      <c r="AS48" s="35"/>
      <c r="AT48" s="35"/>
      <c r="AU48" s="35"/>
      <c r="AV48" s="37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</row>
    <row r="49">
      <c r="A49" s="32">
        <v>48.0</v>
      </c>
      <c r="B49" s="32">
        <v>36.0</v>
      </c>
      <c r="C49" s="32"/>
      <c r="D49" s="32" t="s">
        <v>335</v>
      </c>
      <c r="E49" s="32"/>
      <c r="F49" s="32">
        <v>2.0</v>
      </c>
      <c r="G49" s="35"/>
      <c r="H49" s="35"/>
      <c r="I49" s="35"/>
      <c r="J49" s="35"/>
      <c r="K49" s="35"/>
      <c r="L49" s="37"/>
      <c r="M49" s="35"/>
      <c r="N49" s="35"/>
      <c r="O49" s="35"/>
      <c r="P49" s="35"/>
      <c r="Q49" s="35"/>
      <c r="R49" s="37"/>
      <c r="S49" s="35"/>
      <c r="T49" s="35"/>
      <c r="U49" s="35"/>
      <c r="V49" s="35"/>
      <c r="W49" s="35"/>
      <c r="X49" s="37"/>
      <c r="Y49" s="35"/>
      <c r="Z49" s="35"/>
      <c r="AA49" s="35"/>
      <c r="AB49" s="35"/>
      <c r="AC49" s="35"/>
      <c r="AD49" s="37"/>
      <c r="AE49" s="35"/>
      <c r="AF49" s="35"/>
      <c r="AG49" s="35"/>
      <c r="AH49" s="35"/>
      <c r="AI49" s="35"/>
      <c r="AJ49" s="37"/>
      <c r="AK49" s="35"/>
      <c r="AL49" s="35"/>
      <c r="AM49" s="35"/>
      <c r="AN49" s="35"/>
      <c r="AO49" s="35"/>
      <c r="AP49" s="37"/>
      <c r="AQ49" s="35"/>
      <c r="AR49" s="35"/>
      <c r="AS49" s="35"/>
      <c r="AT49" s="35"/>
      <c r="AU49" s="35"/>
      <c r="AV49" s="37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</row>
    <row r="50">
      <c r="A50" s="32">
        <v>49.0</v>
      </c>
      <c r="B50" s="32">
        <v>37.0</v>
      </c>
      <c r="C50" s="32"/>
      <c r="D50" s="32" t="s">
        <v>341</v>
      </c>
      <c r="E50" s="32"/>
      <c r="F50" s="32">
        <v>2.0</v>
      </c>
      <c r="G50" s="35"/>
      <c r="H50" s="35"/>
      <c r="I50" s="35"/>
      <c r="J50" s="35"/>
      <c r="K50" s="35"/>
      <c r="L50" s="37"/>
      <c r="M50" s="35"/>
      <c r="N50" s="35"/>
      <c r="O50" s="35"/>
      <c r="P50" s="35"/>
      <c r="Q50" s="35"/>
      <c r="R50" s="37"/>
      <c r="S50" s="35"/>
      <c r="T50" s="35"/>
      <c r="U50" s="35"/>
      <c r="V50" s="35"/>
      <c r="W50" s="35"/>
      <c r="X50" s="37"/>
      <c r="Y50" s="35"/>
      <c r="Z50" s="35"/>
      <c r="AA50" s="35"/>
      <c r="AB50" s="35"/>
      <c r="AC50" s="35"/>
      <c r="AD50" s="37"/>
      <c r="AE50" s="35"/>
      <c r="AF50" s="35"/>
      <c r="AG50" s="35"/>
      <c r="AH50" s="35"/>
      <c r="AI50" s="35"/>
      <c r="AJ50" s="37"/>
      <c r="AK50" s="35"/>
      <c r="AL50" s="35"/>
      <c r="AM50" s="35"/>
      <c r="AN50" s="35"/>
      <c r="AO50" s="35"/>
      <c r="AP50" s="37"/>
      <c r="AQ50" s="35"/>
      <c r="AR50" s="35"/>
      <c r="AS50" s="35"/>
      <c r="AT50" s="35"/>
      <c r="AU50" s="35"/>
      <c r="AV50" s="37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</row>
    <row r="51">
      <c r="A51" s="32">
        <v>50.0</v>
      </c>
      <c r="B51" s="32">
        <v>38.0</v>
      </c>
      <c r="C51" s="32"/>
      <c r="D51" s="32" t="s">
        <v>349</v>
      </c>
      <c r="E51" s="32"/>
      <c r="F51" s="32">
        <v>2.0</v>
      </c>
      <c r="G51" s="35"/>
      <c r="H51" s="35"/>
      <c r="I51" s="35"/>
      <c r="J51" s="35"/>
      <c r="K51" s="35"/>
      <c r="L51" s="37"/>
      <c r="M51" s="35"/>
      <c r="N51" s="35"/>
      <c r="O51" s="35"/>
      <c r="P51" s="35"/>
      <c r="Q51" s="35"/>
      <c r="R51" s="37"/>
      <c r="S51" s="35"/>
      <c r="T51" s="35"/>
      <c r="U51" s="35"/>
      <c r="V51" s="35"/>
      <c r="W51" s="35"/>
      <c r="X51" s="37"/>
      <c r="Y51" s="35"/>
      <c r="Z51" s="35"/>
      <c r="AA51" s="35"/>
      <c r="AB51" s="35"/>
      <c r="AC51" s="35"/>
      <c r="AD51" s="37"/>
      <c r="AE51" s="35"/>
      <c r="AF51" s="35"/>
      <c r="AG51" s="35"/>
      <c r="AH51" s="35"/>
      <c r="AI51" s="35"/>
      <c r="AJ51" s="37"/>
      <c r="AK51" s="35"/>
      <c r="AL51" s="35"/>
      <c r="AM51" s="35"/>
      <c r="AN51" s="35"/>
      <c r="AO51" s="35"/>
      <c r="AP51" s="37"/>
      <c r="AQ51" s="35"/>
      <c r="AR51" s="35"/>
      <c r="AS51" s="35"/>
      <c r="AT51" s="35"/>
      <c r="AU51" s="35"/>
      <c r="AV51" s="37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</row>
    <row r="52">
      <c r="A52" s="32">
        <v>51.0</v>
      </c>
      <c r="B52" s="32">
        <v>39.0</v>
      </c>
      <c r="C52" s="32"/>
      <c r="D52" s="32" t="s">
        <v>353</v>
      </c>
      <c r="E52" s="32"/>
      <c r="F52" s="32">
        <v>3.0</v>
      </c>
      <c r="G52" s="35"/>
      <c r="H52" s="35"/>
      <c r="I52" s="35"/>
      <c r="J52" s="35"/>
      <c r="K52" s="35"/>
      <c r="L52" s="37"/>
      <c r="M52" s="35"/>
      <c r="N52" s="35"/>
      <c r="O52" s="35"/>
      <c r="P52" s="35"/>
      <c r="Q52" s="35"/>
      <c r="R52" s="37"/>
      <c r="S52" s="35"/>
      <c r="T52" s="35"/>
      <c r="U52" s="35"/>
      <c r="V52" s="35"/>
      <c r="W52" s="35"/>
      <c r="X52" s="37"/>
      <c r="Y52" s="35"/>
      <c r="Z52" s="35"/>
      <c r="AA52" s="35"/>
      <c r="AB52" s="35"/>
      <c r="AC52" s="35"/>
      <c r="AD52" s="37"/>
      <c r="AE52" s="35"/>
      <c r="AF52" s="35"/>
      <c r="AG52" s="35"/>
      <c r="AH52" s="35"/>
      <c r="AI52" s="35"/>
      <c r="AJ52" s="37"/>
      <c r="AK52" s="35"/>
      <c r="AL52" s="35"/>
      <c r="AM52" s="35"/>
      <c r="AN52" s="35"/>
      <c r="AO52" s="35"/>
      <c r="AP52" s="37"/>
      <c r="AQ52" s="35"/>
      <c r="AR52" s="35"/>
      <c r="AS52" s="35"/>
      <c r="AT52" s="35"/>
      <c r="AU52" s="35"/>
      <c r="AV52" s="37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</row>
    <row r="53">
      <c r="A53" s="32">
        <v>52.0</v>
      </c>
      <c r="B53" s="57">
        <v>40.0</v>
      </c>
      <c r="C53" s="57" t="s">
        <v>361</v>
      </c>
      <c r="D53" s="57" t="s">
        <v>362</v>
      </c>
      <c r="E53" s="57" t="s">
        <v>363</v>
      </c>
      <c r="F53" s="58"/>
      <c r="G53" s="35"/>
      <c r="H53" s="35"/>
      <c r="I53" s="35"/>
      <c r="J53" s="35"/>
      <c r="K53" s="35"/>
      <c r="L53" s="37"/>
      <c r="M53" s="35"/>
      <c r="N53" s="35"/>
      <c r="O53" s="35"/>
      <c r="P53" s="35"/>
      <c r="Q53" s="35"/>
      <c r="R53" s="37"/>
      <c r="S53" s="35"/>
      <c r="T53" s="35"/>
      <c r="U53" s="35"/>
      <c r="V53" s="35"/>
      <c r="W53" s="35"/>
      <c r="X53" s="37"/>
      <c r="Y53" s="35"/>
      <c r="Z53" s="35"/>
      <c r="AA53" s="35"/>
      <c r="AB53" s="35"/>
      <c r="AC53" s="35"/>
      <c r="AD53" s="37"/>
      <c r="AE53" s="35"/>
      <c r="AF53" s="35"/>
      <c r="AG53" s="35"/>
      <c r="AH53" s="35"/>
      <c r="AI53" s="35"/>
      <c r="AJ53" s="37"/>
      <c r="AK53" s="35"/>
      <c r="AL53" s="35"/>
      <c r="AM53" s="35"/>
      <c r="AN53" s="35"/>
      <c r="AO53" s="35"/>
      <c r="AP53" s="37"/>
      <c r="AQ53" s="35"/>
      <c r="AR53" s="35"/>
      <c r="AS53" s="35"/>
      <c r="AT53" s="35"/>
      <c r="AU53" s="35"/>
      <c r="AV53" s="37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</row>
    <row r="54">
      <c r="A54" s="32">
        <v>53.0</v>
      </c>
      <c r="B54" s="57">
        <v>40.0</v>
      </c>
      <c r="C54" s="57" t="s">
        <v>361</v>
      </c>
      <c r="D54" s="57" t="s">
        <v>375</v>
      </c>
      <c r="E54" s="57" t="s">
        <v>377</v>
      </c>
      <c r="F54" s="58"/>
      <c r="G54" s="35"/>
      <c r="H54" s="35"/>
      <c r="I54" s="35"/>
      <c r="J54" s="35"/>
      <c r="K54" s="35"/>
      <c r="L54" s="37"/>
      <c r="M54" s="35"/>
      <c r="N54" s="35"/>
      <c r="O54" s="35"/>
      <c r="P54" s="35"/>
      <c r="Q54" s="35"/>
      <c r="R54" s="37"/>
      <c r="S54" s="35"/>
      <c r="T54" s="35"/>
      <c r="U54" s="35"/>
      <c r="V54" s="35"/>
      <c r="W54" s="35"/>
      <c r="X54" s="37"/>
      <c r="Y54" s="35"/>
      <c r="Z54" s="35"/>
      <c r="AA54" s="35"/>
      <c r="AB54" s="35"/>
      <c r="AC54" s="35"/>
      <c r="AD54" s="37"/>
      <c r="AE54" s="35"/>
      <c r="AF54" s="35"/>
      <c r="AG54" s="35"/>
      <c r="AH54" s="35"/>
      <c r="AI54" s="35"/>
      <c r="AJ54" s="37"/>
      <c r="AK54" s="35"/>
      <c r="AL54" s="35"/>
      <c r="AM54" s="35"/>
      <c r="AN54" s="35"/>
      <c r="AO54" s="35"/>
      <c r="AP54" s="37"/>
      <c r="AQ54" s="35"/>
      <c r="AR54" s="35"/>
      <c r="AS54" s="35"/>
      <c r="AT54" s="35"/>
      <c r="AU54" s="35"/>
      <c r="AV54" s="37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</row>
    <row r="55">
      <c r="A55" s="32">
        <v>54.0</v>
      </c>
      <c r="B55" s="57">
        <v>40.0</v>
      </c>
      <c r="C55" s="57" t="s">
        <v>361</v>
      </c>
      <c r="D55" s="57" t="s">
        <v>383</v>
      </c>
      <c r="E55" s="57" t="s">
        <v>385</v>
      </c>
      <c r="F55" s="58"/>
      <c r="G55" s="35"/>
      <c r="H55" s="35"/>
      <c r="I55" s="35"/>
      <c r="J55" s="35"/>
      <c r="K55" s="35"/>
      <c r="L55" s="37"/>
      <c r="M55" s="35"/>
      <c r="N55" s="35"/>
      <c r="O55" s="35"/>
      <c r="P55" s="35"/>
      <c r="Q55" s="35"/>
      <c r="R55" s="37"/>
      <c r="S55" s="35"/>
      <c r="T55" s="35"/>
      <c r="U55" s="35"/>
      <c r="V55" s="35"/>
      <c r="W55" s="35"/>
      <c r="X55" s="37"/>
      <c r="Y55" s="35"/>
      <c r="Z55" s="35"/>
      <c r="AA55" s="35"/>
      <c r="AB55" s="35"/>
      <c r="AC55" s="35"/>
      <c r="AD55" s="37"/>
      <c r="AE55" s="35"/>
      <c r="AF55" s="35"/>
      <c r="AG55" s="35"/>
      <c r="AH55" s="35"/>
      <c r="AI55" s="35"/>
      <c r="AJ55" s="37"/>
      <c r="AK55" s="35"/>
      <c r="AL55" s="35"/>
      <c r="AM55" s="35"/>
      <c r="AN55" s="35"/>
      <c r="AO55" s="35"/>
      <c r="AP55" s="37"/>
      <c r="AQ55" s="35"/>
      <c r="AR55" s="35"/>
      <c r="AS55" s="35"/>
      <c r="AT55" s="35"/>
      <c r="AU55" s="35"/>
      <c r="AV55" s="37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</row>
    <row r="56">
      <c r="A56" s="32">
        <v>55.0</v>
      </c>
      <c r="B56" s="57">
        <v>40.0</v>
      </c>
      <c r="C56" s="57" t="s">
        <v>361</v>
      </c>
      <c r="D56" s="57" t="s">
        <v>396</v>
      </c>
      <c r="E56" s="57" t="s">
        <v>397</v>
      </c>
      <c r="F56" s="58"/>
      <c r="G56" s="35"/>
      <c r="H56" s="35"/>
      <c r="I56" s="35"/>
      <c r="J56" s="35"/>
      <c r="K56" s="35"/>
      <c r="L56" s="37"/>
      <c r="M56" s="35"/>
      <c r="N56" s="35"/>
      <c r="O56" s="35"/>
      <c r="P56" s="35"/>
      <c r="Q56" s="35"/>
      <c r="R56" s="37"/>
      <c r="S56" s="35"/>
      <c r="T56" s="35"/>
      <c r="U56" s="35"/>
      <c r="V56" s="35"/>
      <c r="W56" s="35"/>
      <c r="X56" s="37"/>
      <c r="Y56" s="35"/>
      <c r="Z56" s="35"/>
      <c r="AA56" s="35"/>
      <c r="AB56" s="35"/>
      <c r="AC56" s="35"/>
      <c r="AD56" s="37"/>
      <c r="AE56" s="35"/>
      <c r="AF56" s="35"/>
      <c r="AG56" s="35"/>
      <c r="AH56" s="35"/>
      <c r="AI56" s="35"/>
      <c r="AJ56" s="37"/>
      <c r="AK56" s="35"/>
      <c r="AL56" s="35"/>
      <c r="AM56" s="35"/>
      <c r="AN56" s="35"/>
      <c r="AO56" s="35"/>
      <c r="AP56" s="37"/>
      <c r="AQ56" s="35"/>
      <c r="AR56" s="35"/>
      <c r="AS56" s="35"/>
      <c r="AT56" s="35"/>
      <c r="AU56" s="35"/>
      <c r="AV56" s="37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</row>
    <row r="57">
      <c r="A57" s="32">
        <v>56.0</v>
      </c>
      <c r="B57" s="57">
        <v>40.0</v>
      </c>
      <c r="C57" s="57" t="s">
        <v>361</v>
      </c>
      <c r="D57" s="57" t="s">
        <v>403</v>
      </c>
      <c r="E57" s="57" t="s">
        <v>404</v>
      </c>
      <c r="F57" s="58"/>
      <c r="G57" s="35"/>
      <c r="H57" s="35"/>
      <c r="I57" s="35"/>
      <c r="J57" s="35"/>
      <c r="K57" s="35"/>
      <c r="L57" s="37"/>
      <c r="M57" s="35"/>
      <c r="N57" s="35"/>
      <c r="O57" s="35"/>
      <c r="P57" s="35"/>
      <c r="Q57" s="35"/>
      <c r="R57" s="37"/>
      <c r="S57" s="35"/>
      <c r="T57" s="35"/>
      <c r="U57" s="35"/>
      <c r="V57" s="35"/>
      <c r="W57" s="35"/>
      <c r="X57" s="37"/>
      <c r="Y57" s="35"/>
      <c r="Z57" s="35"/>
      <c r="AA57" s="35"/>
      <c r="AB57" s="35"/>
      <c r="AC57" s="35"/>
      <c r="AD57" s="37"/>
      <c r="AE57" s="35"/>
      <c r="AF57" s="35"/>
      <c r="AG57" s="35"/>
      <c r="AH57" s="35"/>
      <c r="AI57" s="35"/>
      <c r="AJ57" s="37"/>
      <c r="AK57" s="35"/>
      <c r="AL57" s="35"/>
      <c r="AM57" s="35"/>
      <c r="AN57" s="35"/>
      <c r="AO57" s="35"/>
      <c r="AP57" s="37"/>
      <c r="AQ57" s="35"/>
      <c r="AR57" s="35"/>
      <c r="AS57" s="35"/>
      <c r="AT57" s="35"/>
      <c r="AU57" s="35"/>
      <c r="AV57" s="37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</row>
    <row r="58">
      <c r="A58" s="32">
        <v>57.0</v>
      </c>
      <c r="B58" s="57">
        <v>40.0</v>
      </c>
      <c r="C58" s="57" t="s">
        <v>361</v>
      </c>
      <c r="D58" s="57" t="s">
        <v>413</v>
      </c>
      <c r="E58" s="57" t="s">
        <v>414</v>
      </c>
      <c r="F58" s="58"/>
      <c r="G58" s="35"/>
      <c r="H58" s="35"/>
      <c r="I58" s="35"/>
      <c r="J58" s="35"/>
      <c r="K58" s="35"/>
      <c r="L58" s="37"/>
      <c r="M58" s="35"/>
      <c r="N58" s="35"/>
      <c r="O58" s="35"/>
      <c r="P58" s="35"/>
      <c r="Q58" s="35"/>
      <c r="R58" s="37"/>
      <c r="S58" s="35"/>
      <c r="T58" s="35"/>
      <c r="U58" s="35"/>
      <c r="V58" s="35"/>
      <c r="W58" s="35"/>
      <c r="X58" s="37"/>
      <c r="Y58" s="35"/>
      <c r="Z58" s="35"/>
      <c r="AA58" s="35"/>
      <c r="AB58" s="35"/>
      <c r="AC58" s="35"/>
      <c r="AD58" s="37"/>
      <c r="AE58" s="35"/>
      <c r="AF58" s="35"/>
      <c r="AG58" s="35"/>
      <c r="AH58" s="35"/>
      <c r="AI58" s="35"/>
      <c r="AJ58" s="37"/>
      <c r="AK58" s="35"/>
      <c r="AL58" s="35"/>
      <c r="AM58" s="35"/>
      <c r="AN58" s="35"/>
      <c r="AO58" s="35"/>
      <c r="AP58" s="37"/>
      <c r="AQ58" s="35"/>
      <c r="AR58" s="35"/>
      <c r="AS58" s="35"/>
      <c r="AT58" s="35"/>
      <c r="AU58" s="35"/>
      <c r="AV58" s="37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</row>
    <row r="59">
      <c r="A59" s="32">
        <v>58.0</v>
      </c>
      <c r="B59" s="43">
        <v>41.0</v>
      </c>
      <c r="C59" s="32"/>
      <c r="D59" s="43" t="s">
        <v>425</v>
      </c>
      <c r="E59" s="43"/>
      <c r="F59" s="43"/>
      <c r="G59" s="59"/>
      <c r="H59" s="35"/>
      <c r="I59" s="35"/>
      <c r="J59" s="35"/>
      <c r="K59" s="35"/>
      <c r="L59" s="37"/>
      <c r="M59" s="35"/>
      <c r="N59" s="35"/>
      <c r="O59" s="35"/>
      <c r="P59" s="35"/>
      <c r="Q59" s="35"/>
      <c r="R59" s="37"/>
      <c r="S59" s="35"/>
      <c r="T59" s="35"/>
      <c r="U59" s="35"/>
      <c r="V59" s="35"/>
      <c r="W59" s="35"/>
      <c r="X59" s="37"/>
      <c r="Y59" s="35"/>
      <c r="Z59" s="35"/>
      <c r="AA59" s="35"/>
      <c r="AB59" s="35"/>
      <c r="AC59" s="35"/>
      <c r="AD59" s="37"/>
      <c r="AE59" s="35"/>
      <c r="AF59" s="35"/>
      <c r="AG59" s="35"/>
      <c r="AH59" s="35"/>
      <c r="AI59" s="35"/>
      <c r="AJ59" s="37"/>
      <c r="AK59" s="35"/>
      <c r="AL59" s="35"/>
      <c r="AM59" s="35"/>
      <c r="AN59" s="35"/>
      <c r="AO59" s="35"/>
      <c r="AP59" s="37"/>
      <c r="AQ59" s="35"/>
      <c r="AR59" s="35"/>
      <c r="AS59" s="35"/>
      <c r="AT59" s="35"/>
      <c r="AU59" s="35"/>
      <c r="AV59" s="37"/>
      <c r="AW59" s="38"/>
      <c r="AX59" s="38"/>
      <c r="AY59" s="38"/>
      <c r="AZ59" s="60" t="s">
        <v>434</v>
      </c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</row>
    <row r="60">
      <c r="A60" s="32">
        <v>59.0</v>
      </c>
      <c r="B60" s="43">
        <v>41.0</v>
      </c>
      <c r="C60" s="32"/>
      <c r="D60" s="43" t="s">
        <v>436</v>
      </c>
      <c r="E60" s="43" t="s">
        <v>437</v>
      </c>
      <c r="F60" s="43"/>
      <c r="G60" s="59"/>
      <c r="H60" s="35"/>
      <c r="I60" s="35"/>
      <c r="J60" s="35"/>
      <c r="K60" s="35"/>
      <c r="L60" s="37"/>
      <c r="M60" s="35"/>
      <c r="N60" s="35"/>
      <c r="O60" s="35"/>
      <c r="P60" s="35"/>
      <c r="Q60" s="35"/>
      <c r="R60" s="37"/>
      <c r="S60" s="35"/>
      <c r="T60" s="35"/>
      <c r="U60" s="35"/>
      <c r="V60" s="35"/>
      <c r="W60" s="35"/>
      <c r="X60" s="37"/>
      <c r="Y60" s="35"/>
      <c r="Z60" s="35"/>
      <c r="AA60" s="35"/>
      <c r="AB60" s="35"/>
      <c r="AC60" s="35"/>
      <c r="AD60" s="37"/>
      <c r="AE60" s="35"/>
      <c r="AF60" s="35"/>
      <c r="AG60" s="35"/>
      <c r="AH60" s="35"/>
      <c r="AI60" s="35"/>
      <c r="AJ60" s="37"/>
      <c r="AK60" s="35"/>
      <c r="AL60" s="35"/>
      <c r="AM60" s="35"/>
      <c r="AN60" s="35"/>
      <c r="AO60" s="35"/>
      <c r="AP60" s="37"/>
      <c r="AQ60" s="35"/>
      <c r="AR60" s="35"/>
      <c r="AS60" s="35"/>
      <c r="AT60" s="35"/>
      <c r="AU60" s="35"/>
      <c r="AV60" s="37"/>
      <c r="AW60" s="38"/>
      <c r="AX60" s="38"/>
      <c r="AY60" s="38"/>
      <c r="AZ60" s="60" t="s">
        <v>434</v>
      </c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</row>
    <row r="61">
      <c r="A61" s="32">
        <v>60.0</v>
      </c>
      <c r="B61" s="43">
        <v>41.0</v>
      </c>
      <c r="C61" s="32"/>
      <c r="D61" s="43" t="s">
        <v>445</v>
      </c>
      <c r="E61" s="43" t="s">
        <v>437</v>
      </c>
      <c r="F61" s="43"/>
      <c r="G61" s="59"/>
      <c r="H61" s="35"/>
      <c r="I61" s="35"/>
      <c r="J61" s="35"/>
      <c r="K61" s="35"/>
      <c r="L61" s="37"/>
      <c r="M61" s="35"/>
      <c r="N61" s="35"/>
      <c r="O61" s="35"/>
      <c r="P61" s="35"/>
      <c r="Q61" s="35"/>
      <c r="R61" s="37"/>
      <c r="S61" s="35"/>
      <c r="T61" s="35"/>
      <c r="U61" s="35"/>
      <c r="V61" s="35"/>
      <c r="W61" s="35"/>
      <c r="X61" s="37"/>
      <c r="Y61" s="35"/>
      <c r="Z61" s="35"/>
      <c r="AA61" s="35"/>
      <c r="AB61" s="35"/>
      <c r="AC61" s="35"/>
      <c r="AD61" s="37"/>
      <c r="AE61" s="35"/>
      <c r="AF61" s="35"/>
      <c r="AG61" s="35"/>
      <c r="AH61" s="35"/>
      <c r="AI61" s="35"/>
      <c r="AJ61" s="37"/>
      <c r="AK61" s="35"/>
      <c r="AL61" s="35"/>
      <c r="AM61" s="35"/>
      <c r="AN61" s="35"/>
      <c r="AO61" s="35"/>
      <c r="AP61" s="37"/>
      <c r="AQ61" s="35"/>
      <c r="AR61" s="35"/>
      <c r="AS61" s="35"/>
      <c r="AT61" s="35"/>
      <c r="AU61" s="35"/>
      <c r="AV61" s="37"/>
      <c r="AW61" s="38"/>
      <c r="AX61" s="38"/>
      <c r="AY61" s="38"/>
      <c r="AZ61" s="60" t="s">
        <v>434</v>
      </c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</row>
    <row r="62">
      <c r="A62" s="32">
        <v>61.0</v>
      </c>
      <c r="B62" s="43">
        <v>41.0</v>
      </c>
      <c r="C62" s="32"/>
      <c r="D62" s="43" t="s">
        <v>449</v>
      </c>
      <c r="E62" s="43" t="s">
        <v>437</v>
      </c>
      <c r="F62" s="43"/>
      <c r="G62" s="61"/>
      <c r="H62" s="35"/>
      <c r="I62" s="35"/>
      <c r="J62" s="35"/>
      <c r="K62" s="35"/>
      <c r="L62" s="37"/>
      <c r="M62" s="35"/>
      <c r="N62" s="35"/>
      <c r="O62" s="35"/>
      <c r="P62" s="35"/>
      <c r="Q62" s="35"/>
      <c r="R62" s="37"/>
      <c r="S62" s="35"/>
      <c r="T62" s="35"/>
      <c r="U62" s="35"/>
      <c r="V62" s="35"/>
      <c r="W62" s="35"/>
      <c r="X62" s="37"/>
      <c r="Y62" s="35"/>
      <c r="Z62" s="35"/>
      <c r="AA62" s="35"/>
      <c r="AB62" s="35"/>
      <c r="AC62" s="35"/>
      <c r="AD62" s="37"/>
      <c r="AE62" s="35"/>
      <c r="AF62" s="35"/>
      <c r="AG62" s="35"/>
      <c r="AH62" s="35"/>
      <c r="AI62" s="35"/>
      <c r="AJ62" s="37"/>
      <c r="AK62" s="35"/>
      <c r="AL62" s="35"/>
      <c r="AM62" s="35"/>
      <c r="AN62" s="35"/>
      <c r="AO62" s="35"/>
      <c r="AP62" s="37"/>
      <c r="AQ62" s="35"/>
      <c r="AR62" s="35"/>
      <c r="AS62" s="35"/>
      <c r="AT62" s="35"/>
      <c r="AU62" s="35"/>
      <c r="AV62" s="37"/>
      <c r="AW62" s="38"/>
      <c r="AX62" s="38"/>
      <c r="AY62" s="38"/>
      <c r="AZ62" s="60" t="s">
        <v>434</v>
      </c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</row>
    <row r="63">
      <c r="A63" s="32">
        <v>62.0</v>
      </c>
      <c r="B63" s="43">
        <v>41.0</v>
      </c>
      <c r="C63" s="32"/>
      <c r="D63" s="43" t="s">
        <v>458</v>
      </c>
      <c r="E63" s="43" t="s">
        <v>437</v>
      </c>
      <c r="F63" s="43"/>
      <c r="G63" s="61"/>
      <c r="H63" s="35"/>
      <c r="I63" s="35"/>
      <c r="J63" s="35"/>
      <c r="K63" s="35"/>
      <c r="L63" s="37"/>
      <c r="M63" s="35"/>
      <c r="N63" s="35"/>
      <c r="O63" s="35"/>
      <c r="P63" s="35"/>
      <c r="Q63" s="35"/>
      <c r="R63" s="37"/>
      <c r="S63" s="35"/>
      <c r="T63" s="35"/>
      <c r="U63" s="35"/>
      <c r="V63" s="35"/>
      <c r="W63" s="35"/>
      <c r="X63" s="37"/>
      <c r="Y63" s="35"/>
      <c r="Z63" s="35"/>
      <c r="AA63" s="35"/>
      <c r="AB63" s="35"/>
      <c r="AC63" s="35"/>
      <c r="AD63" s="37"/>
      <c r="AE63" s="35"/>
      <c r="AF63" s="35"/>
      <c r="AG63" s="35"/>
      <c r="AH63" s="35"/>
      <c r="AI63" s="35"/>
      <c r="AJ63" s="37"/>
      <c r="AK63" s="35"/>
      <c r="AL63" s="35"/>
      <c r="AM63" s="35"/>
      <c r="AN63" s="35"/>
      <c r="AO63" s="35"/>
      <c r="AP63" s="37"/>
      <c r="AQ63" s="35"/>
      <c r="AR63" s="35"/>
      <c r="AS63" s="35"/>
      <c r="AT63" s="35"/>
      <c r="AU63" s="35"/>
      <c r="AV63" s="37"/>
      <c r="AW63" s="38"/>
      <c r="AX63" s="38"/>
      <c r="AY63" s="38"/>
      <c r="AZ63" s="60" t="s">
        <v>434</v>
      </c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</row>
    <row r="64">
      <c r="A64" s="32">
        <v>63.0</v>
      </c>
      <c r="B64" s="43">
        <v>41.0</v>
      </c>
      <c r="C64" s="32"/>
      <c r="D64" s="43" t="s">
        <v>464</v>
      </c>
      <c r="E64" s="43" t="s">
        <v>437</v>
      </c>
      <c r="F64" s="43"/>
      <c r="G64" s="59"/>
      <c r="H64" s="35"/>
      <c r="I64" s="35"/>
      <c r="J64" s="35"/>
      <c r="K64" s="35"/>
      <c r="L64" s="37"/>
      <c r="M64" s="35"/>
      <c r="N64" s="35"/>
      <c r="O64" s="35"/>
      <c r="P64" s="35"/>
      <c r="Q64" s="35"/>
      <c r="R64" s="37"/>
      <c r="S64" s="35"/>
      <c r="T64" s="35"/>
      <c r="U64" s="35"/>
      <c r="V64" s="35"/>
      <c r="W64" s="35"/>
      <c r="X64" s="37"/>
      <c r="Y64" s="35"/>
      <c r="Z64" s="35"/>
      <c r="AA64" s="35"/>
      <c r="AB64" s="35"/>
      <c r="AC64" s="35"/>
      <c r="AD64" s="37"/>
      <c r="AE64" s="35"/>
      <c r="AF64" s="35"/>
      <c r="AG64" s="35"/>
      <c r="AH64" s="35"/>
      <c r="AI64" s="35"/>
      <c r="AJ64" s="37"/>
      <c r="AK64" s="35"/>
      <c r="AL64" s="35"/>
      <c r="AM64" s="35"/>
      <c r="AN64" s="35"/>
      <c r="AO64" s="35"/>
      <c r="AP64" s="37"/>
      <c r="AQ64" s="35"/>
      <c r="AR64" s="35"/>
      <c r="AS64" s="35"/>
      <c r="AT64" s="35"/>
      <c r="AU64" s="35"/>
      <c r="AV64" s="37"/>
      <c r="AW64" s="38"/>
      <c r="AX64" s="38"/>
      <c r="AY64" s="38"/>
      <c r="AZ64" s="60" t="s">
        <v>434</v>
      </c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</row>
    <row r="65">
      <c r="A65" s="32">
        <v>64.0</v>
      </c>
      <c r="B65" s="43">
        <v>41.0</v>
      </c>
      <c r="C65" s="32"/>
      <c r="D65" s="43" t="s">
        <v>470</v>
      </c>
      <c r="E65" s="43" t="s">
        <v>437</v>
      </c>
      <c r="F65" s="43"/>
      <c r="G65" s="59"/>
      <c r="H65" s="35"/>
      <c r="I65" s="35"/>
      <c r="J65" s="35"/>
      <c r="K65" s="35"/>
      <c r="L65" s="37"/>
      <c r="M65" s="35"/>
      <c r="N65" s="35"/>
      <c r="O65" s="35"/>
      <c r="P65" s="35"/>
      <c r="Q65" s="35"/>
      <c r="R65" s="37"/>
      <c r="S65" s="35"/>
      <c r="T65" s="35"/>
      <c r="U65" s="35"/>
      <c r="V65" s="35"/>
      <c r="W65" s="35"/>
      <c r="X65" s="37"/>
      <c r="Y65" s="35"/>
      <c r="Z65" s="35"/>
      <c r="AA65" s="35"/>
      <c r="AB65" s="35"/>
      <c r="AC65" s="35"/>
      <c r="AD65" s="37"/>
      <c r="AE65" s="35"/>
      <c r="AF65" s="35"/>
      <c r="AG65" s="35"/>
      <c r="AH65" s="35"/>
      <c r="AI65" s="35"/>
      <c r="AJ65" s="37"/>
      <c r="AK65" s="35"/>
      <c r="AL65" s="35"/>
      <c r="AM65" s="35"/>
      <c r="AN65" s="35"/>
      <c r="AO65" s="35"/>
      <c r="AP65" s="37"/>
      <c r="AQ65" s="35"/>
      <c r="AR65" s="35"/>
      <c r="AS65" s="35"/>
      <c r="AT65" s="35"/>
      <c r="AU65" s="35"/>
      <c r="AV65" s="37"/>
      <c r="AW65" s="38"/>
      <c r="AX65" s="38"/>
      <c r="AY65" s="38"/>
      <c r="AZ65" s="60" t="s">
        <v>434</v>
      </c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</row>
    <row r="66">
      <c r="A66" s="32">
        <v>65.0</v>
      </c>
      <c r="B66" s="43">
        <v>42.0</v>
      </c>
      <c r="C66" s="32"/>
      <c r="D66" s="43" t="s">
        <v>484</v>
      </c>
      <c r="E66" s="43" t="s">
        <v>437</v>
      </c>
      <c r="F66" s="43"/>
      <c r="G66" s="15"/>
      <c r="H66" s="35"/>
      <c r="I66" s="35"/>
      <c r="J66" s="35"/>
      <c r="K66" s="35"/>
      <c r="L66" s="37"/>
      <c r="M66" s="35"/>
      <c r="N66" s="35"/>
      <c r="O66" s="35"/>
      <c r="P66" s="35"/>
      <c r="Q66" s="35"/>
      <c r="R66" s="37"/>
      <c r="S66" s="35"/>
      <c r="T66" s="35"/>
      <c r="U66" s="35"/>
      <c r="V66" s="35"/>
      <c r="W66" s="35"/>
      <c r="X66" s="37"/>
      <c r="Y66" s="35"/>
      <c r="Z66" s="35"/>
      <c r="AA66" s="35"/>
      <c r="AB66" s="35"/>
      <c r="AC66" s="35"/>
      <c r="AD66" s="37"/>
      <c r="AE66" s="35"/>
      <c r="AF66" s="35"/>
      <c r="AG66" s="35"/>
      <c r="AH66" s="35"/>
      <c r="AI66" s="35"/>
      <c r="AJ66" s="37"/>
      <c r="AK66" s="35"/>
      <c r="AL66" s="35"/>
      <c r="AM66" s="35"/>
      <c r="AN66" s="35"/>
      <c r="AO66" s="35"/>
      <c r="AP66" s="37"/>
      <c r="AQ66" s="35"/>
      <c r="AR66" s="35"/>
      <c r="AS66" s="35"/>
      <c r="AT66" s="35"/>
      <c r="AU66" s="35"/>
      <c r="AV66" s="37"/>
      <c r="AW66" s="38"/>
      <c r="AX66" s="38"/>
      <c r="AY66" s="38"/>
      <c r="AZ66" s="60" t="s">
        <v>489</v>
      </c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</row>
    <row r="67">
      <c r="A67" s="32">
        <v>66.0</v>
      </c>
      <c r="B67" s="43">
        <v>42.0</v>
      </c>
      <c r="C67" s="32"/>
      <c r="D67" s="43" t="s">
        <v>493</v>
      </c>
      <c r="E67" s="43" t="s">
        <v>437</v>
      </c>
      <c r="F67" s="43"/>
      <c r="G67" s="59"/>
      <c r="H67" s="35"/>
      <c r="I67" s="35"/>
      <c r="J67" s="35"/>
      <c r="K67" s="35"/>
      <c r="L67" s="37"/>
      <c r="M67" s="35"/>
      <c r="N67" s="35"/>
      <c r="O67" s="35"/>
      <c r="P67" s="35"/>
      <c r="Q67" s="35"/>
      <c r="R67" s="37"/>
      <c r="S67" s="35"/>
      <c r="T67" s="35"/>
      <c r="U67" s="35"/>
      <c r="V67" s="35"/>
      <c r="W67" s="35"/>
      <c r="X67" s="37"/>
      <c r="Y67" s="35"/>
      <c r="Z67" s="35"/>
      <c r="AA67" s="35"/>
      <c r="AB67" s="35"/>
      <c r="AC67" s="35"/>
      <c r="AD67" s="37"/>
      <c r="AE67" s="35"/>
      <c r="AF67" s="35"/>
      <c r="AG67" s="35"/>
      <c r="AH67" s="35"/>
      <c r="AI67" s="35"/>
      <c r="AJ67" s="37"/>
      <c r="AK67" s="35"/>
      <c r="AL67" s="35"/>
      <c r="AM67" s="35"/>
      <c r="AN67" s="35"/>
      <c r="AO67" s="35"/>
      <c r="AP67" s="37"/>
      <c r="AQ67" s="35"/>
      <c r="AR67" s="35"/>
      <c r="AS67" s="35"/>
      <c r="AT67" s="35"/>
      <c r="AU67" s="35"/>
      <c r="AV67" s="37"/>
      <c r="AW67" s="38"/>
      <c r="AX67" s="38"/>
      <c r="AY67" s="38"/>
      <c r="AZ67" s="60" t="s">
        <v>489</v>
      </c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</row>
    <row r="68">
      <c r="A68" s="32">
        <v>67.0</v>
      </c>
      <c r="B68" s="43">
        <v>42.0</v>
      </c>
      <c r="C68" s="32"/>
      <c r="D68" s="43" t="s">
        <v>497</v>
      </c>
      <c r="E68" s="43" t="s">
        <v>437</v>
      </c>
      <c r="F68" s="43"/>
      <c r="G68" s="59"/>
      <c r="H68" s="35"/>
      <c r="I68" s="35"/>
      <c r="J68" s="35"/>
      <c r="K68" s="35"/>
      <c r="L68" s="37"/>
      <c r="M68" s="35"/>
      <c r="N68" s="35"/>
      <c r="O68" s="35"/>
      <c r="P68" s="35"/>
      <c r="Q68" s="35"/>
      <c r="R68" s="37"/>
      <c r="S68" s="35"/>
      <c r="T68" s="35"/>
      <c r="U68" s="35"/>
      <c r="V68" s="35"/>
      <c r="W68" s="35"/>
      <c r="X68" s="37"/>
      <c r="Y68" s="35"/>
      <c r="Z68" s="35"/>
      <c r="AA68" s="35"/>
      <c r="AB68" s="35"/>
      <c r="AC68" s="35"/>
      <c r="AD68" s="37"/>
      <c r="AE68" s="35"/>
      <c r="AF68" s="35"/>
      <c r="AG68" s="35"/>
      <c r="AH68" s="35"/>
      <c r="AI68" s="35"/>
      <c r="AJ68" s="37"/>
      <c r="AK68" s="35"/>
      <c r="AL68" s="35"/>
      <c r="AM68" s="35"/>
      <c r="AN68" s="35"/>
      <c r="AO68" s="35"/>
      <c r="AP68" s="37"/>
      <c r="AQ68" s="35"/>
      <c r="AR68" s="35"/>
      <c r="AS68" s="35"/>
      <c r="AT68" s="35"/>
      <c r="AU68" s="35"/>
      <c r="AV68" s="37"/>
      <c r="AW68" s="38"/>
      <c r="AX68" s="38"/>
      <c r="AY68" s="38"/>
      <c r="AZ68" s="60" t="s">
        <v>489</v>
      </c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</row>
    <row r="69">
      <c r="A69" s="32">
        <v>68.0</v>
      </c>
      <c r="B69" s="43">
        <v>42.0</v>
      </c>
      <c r="C69" s="32"/>
      <c r="D69" s="43" t="s">
        <v>509</v>
      </c>
      <c r="E69" s="43" t="s">
        <v>437</v>
      </c>
      <c r="F69" s="43"/>
      <c r="G69" s="59"/>
      <c r="H69" s="35"/>
      <c r="I69" s="35"/>
      <c r="J69" s="35"/>
      <c r="K69" s="35"/>
      <c r="L69" s="37"/>
      <c r="M69" s="35"/>
      <c r="N69" s="35"/>
      <c r="O69" s="35"/>
      <c r="P69" s="35"/>
      <c r="Q69" s="35"/>
      <c r="R69" s="37"/>
      <c r="S69" s="35"/>
      <c r="T69" s="35"/>
      <c r="U69" s="35"/>
      <c r="V69" s="35"/>
      <c r="W69" s="35"/>
      <c r="X69" s="37"/>
      <c r="Y69" s="35"/>
      <c r="Z69" s="35"/>
      <c r="AA69" s="35"/>
      <c r="AB69" s="35"/>
      <c r="AC69" s="35"/>
      <c r="AD69" s="37"/>
      <c r="AE69" s="35"/>
      <c r="AF69" s="35"/>
      <c r="AG69" s="35"/>
      <c r="AH69" s="35"/>
      <c r="AI69" s="35"/>
      <c r="AJ69" s="37"/>
      <c r="AK69" s="35"/>
      <c r="AL69" s="35"/>
      <c r="AM69" s="35"/>
      <c r="AN69" s="35"/>
      <c r="AO69" s="35"/>
      <c r="AP69" s="37"/>
      <c r="AQ69" s="35"/>
      <c r="AR69" s="35"/>
      <c r="AS69" s="35"/>
      <c r="AT69" s="35"/>
      <c r="AU69" s="35"/>
      <c r="AV69" s="37"/>
      <c r="AW69" s="38"/>
      <c r="AX69" s="38"/>
      <c r="AY69" s="38"/>
      <c r="AZ69" s="60" t="s">
        <v>489</v>
      </c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</row>
    <row r="70">
      <c r="A70" s="32">
        <v>69.0</v>
      </c>
      <c r="B70" s="43">
        <v>42.0</v>
      </c>
      <c r="C70" s="32"/>
      <c r="D70" s="43" t="s">
        <v>523</v>
      </c>
      <c r="E70" s="43" t="s">
        <v>437</v>
      </c>
      <c r="F70" s="43"/>
      <c r="G70" s="59"/>
      <c r="H70" s="35"/>
      <c r="I70" s="35"/>
      <c r="J70" s="35"/>
      <c r="K70" s="35"/>
      <c r="L70" s="37"/>
      <c r="M70" s="35"/>
      <c r="N70" s="35"/>
      <c r="O70" s="35"/>
      <c r="P70" s="35"/>
      <c r="Q70" s="35"/>
      <c r="R70" s="37"/>
      <c r="S70" s="35"/>
      <c r="T70" s="35"/>
      <c r="U70" s="35"/>
      <c r="V70" s="35"/>
      <c r="W70" s="35"/>
      <c r="X70" s="37"/>
      <c r="Y70" s="35"/>
      <c r="Z70" s="35"/>
      <c r="AA70" s="35"/>
      <c r="AB70" s="35"/>
      <c r="AC70" s="35"/>
      <c r="AD70" s="37"/>
      <c r="AE70" s="35"/>
      <c r="AF70" s="35"/>
      <c r="AG70" s="35"/>
      <c r="AH70" s="35"/>
      <c r="AI70" s="35"/>
      <c r="AJ70" s="37"/>
      <c r="AK70" s="35"/>
      <c r="AL70" s="35"/>
      <c r="AM70" s="35"/>
      <c r="AN70" s="35"/>
      <c r="AO70" s="35"/>
      <c r="AP70" s="37"/>
      <c r="AQ70" s="35"/>
      <c r="AR70" s="35"/>
      <c r="AS70" s="35"/>
      <c r="AT70" s="35"/>
      <c r="AU70" s="35"/>
      <c r="AV70" s="37"/>
      <c r="AW70" s="38"/>
      <c r="AX70" s="38"/>
      <c r="AY70" s="38"/>
      <c r="AZ70" s="60" t="s">
        <v>489</v>
      </c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</row>
    <row r="71">
      <c r="A71" s="32">
        <v>70.0</v>
      </c>
      <c r="B71" s="43">
        <v>42.0</v>
      </c>
      <c r="C71" s="32"/>
      <c r="D71" s="43" t="s">
        <v>534</v>
      </c>
      <c r="E71" s="43" t="s">
        <v>437</v>
      </c>
      <c r="F71" s="43"/>
      <c r="G71" s="59"/>
      <c r="H71" s="35"/>
      <c r="I71" s="35"/>
      <c r="J71" s="35"/>
      <c r="K71" s="35"/>
      <c r="L71" s="37"/>
      <c r="M71" s="35"/>
      <c r="N71" s="35"/>
      <c r="O71" s="35"/>
      <c r="P71" s="35"/>
      <c r="Q71" s="35"/>
      <c r="R71" s="37"/>
      <c r="S71" s="35"/>
      <c r="T71" s="35"/>
      <c r="U71" s="35"/>
      <c r="V71" s="35"/>
      <c r="W71" s="35"/>
      <c r="X71" s="37"/>
      <c r="Y71" s="35"/>
      <c r="Z71" s="35"/>
      <c r="AA71" s="35"/>
      <c r="AB71" s="35"/>
      <c r="AC71" s="35"/>
      <c r="AD71" s="37"/>
      <c r="AE71" s="35"/>
      <c r="AF71" s="35"/>
      <c r="AG71" s="35"/>
      <c r="AH71" s="35"/>
      <c r="AI71" s="35"/>
      <c r="AJ71" s="37"/>
      <c r="AK71" s="35"/>
      <c r="AL71" s="35"/>
      <c r="AM71" s="35"/>
      <c r="AN71" s="35"/>
      <c r="AO71" s="35"/>
      <c r="AP71" s="37"/>
      <c r="AQ71" s="35"/>
      <c r="AR71" s="35"/>
      <c r="AS71" s="35"/>
      <c r="AT71" s="35"/>
      <c r="AU71" s="35"/>
      <c r="AV71" s="37"/>
      <c r="AW71" s="38"/>
      <c r="AX71" s="38"/>
      <c r="AY71" s="38"/>
      <c r="AZ71" s="60" t="s">
        <v>489</v>
      </c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</row>
    <row r="72">
      <c r="A72" s="32">
        <v>71.0</v>
      </c>
      <c r="B72" s="43">
        <v>42.0</v>
      </c>
      <c r="C72" s="32"/>
      <c r="D72" s="43" t="s">
        <v>545</v>
      </c>
      <c r="E72" s="43" t="s">
        <v>437</v>
      </c>
      <c r="F72" s="43"/>
      <c r="G72" s="59"/>
      <c r="H72" s="35"/>
      <c r="I72" s="35"/>
      <c r="J72" s="35"/>
      <c r="K72" s="35"/>
      <c r="L72" s="37"/>
      <c r="M72" s="35"/>
      <c r="N72" s="35"/>
      <c r="O72" s="35"/>
      <c r="P72" s="35"/>
      <c r="Q72" s="35"/>
      <c r="R72" s="37"/>
      <c r="S72" s="35"/>
      <c r="T72" s="35"/>
      <c r="U72" s="35"/>
      <c r="V72" s="35"/>
      <c r="W72" s="35"/>
      <c r="X72" s="37"/>
      <c r="Y72" s="35"/>
      <c r="Z72" s="35"/>
      <c r="AA72" s="35"/>
      <c r="AB72" s="35"/>
      <c r="AC72" s="35"/>
      <c r="AD72" s="37"/>
      <c r="AE72" s="35"/>
      <c r="AF72" s="35"/>
      <c r="AG72" s="35"/>
      <c r="AH72" s="35"/>
      <c r="AI72" s="35"/>
      <c r="AJ72" s="37"/>
      <c r="AK72" s="35"/>
      <c r="AL72" s="35"/>
      <c r="AM72" s="35"/>
      <c r="AN72" s="35"/>
      <c r="AO72" s="35"/>
      <c r="AP72" s="37"/>
      <c r="AQ72" s="35"/>
      <c r="AR72" s="35"/>
      <c r="AS72" s="35"/>
      <c r="AT72" s="35"/>
      <c r="AU72" s="35"/>
      <c r="AV72" s="37"/>
      <c r="AW72" s="38"/>
      <c r="AX72" s="38"/>
      <c r="AY72" s="38"/>
      <c r="AZ72" s="60" t="s">
        <v>489</v>
      </c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</row>
    <row r="73">
      <c r="A73" s="32">
        <v>72.0</v>
      </c>
      <c r="B73" s="43">
        <v>42.0</v>
      </c>
      <c r="C73" s="32"/>
      <c r="D73" s="43" t="s">
        <v>497</v>
      </c>
      <c r="E73" s="43" t="s">
        <v>437</v>
      </c>
      <c r="F73" s="43"/>
      <c r="G73" s="59"/>
      <c r="H73" s="35"/>
      <c r="I73" s="35"/>
      <c r="J73" s="35"/>
      <c r="K73" s="35"/>
      <c r="L73" s="37"/>
      <c r="M73" s="35"/>
      <c r="N73" s="35"/>
      <c r="O73" s="35"/>
      <c r="P73" s="35"/>
      <c r="Q73" s="35"/>
      <c r="R73" s="37"/>
      <c r="S73" s="35"/>
      <c r="T73" s="35"/>
      <c r="U73" s="35"/>
      <c r="V73" s="35"/>
      <c r="W73" s="35"/>
      <c r="X73" s="37"/>
      <c r="Y73" s="35"/>
      <c r="Z73" s="35"/>
      <c r="AA73" s="35"/>
      <c r="AB73" s="35"/>
      <c r="AC73" s="35"/>
      <c r="AD73" s="37"/>
      <c r="AE73" s="35"/>
      <c r="AF73" s="35"/>
      <c r="AG73" s="35"/>
      <c r="AH73" s="35"/>
      <c r="AI73" s="35"/>
      <c r="AJ73" s="37"/>
      <c r="AK73" s="35"/>
      <c r="AL73" s="35"/>
      <c r="AM73" s="35"/>
      <c r="AN73" s="35"/>
      <c r="AO73" s="35"/>
      <c r="AP73" s="37"/>
      <c r="AQ73" s="35"/>
      <c r="AR73" s="35"/>
      <c r="AS73" s="35"/>
      <c r="AT73" s="35"/>
      <c r="AU73" s="35"/>
      <c r="AV73" s="37"/>
      <c r="AW73" s="38"/>
      <c r="AX73" s="38"/>
      <c r="AY73" s="38"/>
      <c r="AZ73" s="60" t="s">
        <v>489</v>
      </c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</row>
    <row r="74">
      <c r="A74" s="32">
        <v>73.0</v>
      </c>
      <c r="B74" s="43">
        <v>42.0</v>
      </c>
      <c r="C74" s="32"/>
      <c r="D74" s="43" t="s">
        <v>557</v>
      </c>
      <c r="E74" s="43" t="s">
        <v>437</v>
      </c>
      <c r="F74" s="43"/>
      <c r="G74" s="59"/>
      <c r="H74" s="35"/>
      <c r="I74" s="35"/>
      <c r="J74" s="35"/>
      <c r="K74" s="35"/>
      <c r="L74" s="37"/>
      <c r="M74" s="35"/>
      <c r="N74" s="35"/>
      <c r="O74" s="35"/>
      <c r="P74" s="35"/>
      <c r="Q74" s="35"/>
      <c r="R74" s="37"/>
      <c r="S74" s="35"/>
      <c r="T74" s="35"/>
      <c r="U74" s="35"/>
      <c r="V74" s="35"/>
      <c r="W74" s="35"/>
      <c r="X74" s="37"/>
      <c r="Y74" s="35"/>
      <c r="Z74" s="35"/>
      <c r="AA74" s="35"/>
      <c r="AB74" s="35"/>
      <c r="AC74" s="35"/>
      <c r="AD74" s="37"/>
      <c r="AE74" s="35"/>
      <c r="AF74" s="35"/>
      <c r="AG74" s="35"/>
      <c r="AH74" s="35"/>
      <c r="AI74" s="35"/>
      <c r="AJ74" s="37"/>
      <c r="AK74" s="35"/>
      <c r="AL74" s="35"/>
      <c r="AM74" s="35"/>
      <c r="AN74" s="35"/>
      <c r="AO74" s="35"/>
      <c r="AP74" s="37"/>
      <c r="AQ74" s="35"/>
      <c r="AR74" s="35"/>
      <c r="AS74" s="35"/>
      <c r="AT74" s="35"/>
      <c r="AU74" s="35"/>
      <c r="AV74" s="37"/>
      <c r="AW74" s="38"/>
      <c r="AX74" s="38"/>
      <c r="AY74" s="38"/>
      <c r="AZ74" s="60" t="s">
        <v>489</v>
      </c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</row>
    <row r="75">
      <c r="A75" s="32">
        <v>74.0</v>
      </c>
      <c r="B75" s="43">
        <v>42.0</v>
      </c>
      <c r="C75" s="32"/>
      <c r="D75" s="43" t="s">
        <v>558</v>
      </c>
      <c r="E75" s="43" t="s">
        <v>437</v>
      </c>
      <c r="F75" s="43"/>
      <c r="G75" s="59"/>
      <c r="H75" s="35"/>
      <c r="I75" s="35"/>
      <c r="J75" s="35"/>
      <c r="K75" s="35"/>
      <c r="L75" s="37"/>
      <c r="M75" s="35"/>
      <c r="N75" s="35"/>
      <c r="O75" s="35"/>
      <c r="P75" s="35"/>
      <c r="Q75" s="35"/>
      <c r="R75" s="37"/>
      <c r="S75" s="35"/>
      <c r="T75" s="35"/>
      <c r="U75" s="35"/>
      <c r="V75" s="35"/>
      <c r="W75" s="35"/>
      <c r="X75" s="37"/>
      <c r="Y75" s="35"/>
      <c r="Z75" s="35"/>
      <c r="AA75" s="35"/>
      <c r="AB75" s="35"/>
      <c r="AC75" s="35"/>
      <c r="AD75" s="37"/>
      <c r="AE75" s="35"/>
      <c r="AF75" s="35"/>
      <c r="AG75" s="35"/>
      <c r="AH75" s="35"/>
      <c r="AI75" s="35"/>
      <c r="AJ75" s="37"/>
      <c r="AK75" s="35"/>
      <c r="AL75" s="35"/>
      <c r="AM75" s="35"/>
      <c r="AN75" s="35"/>
      <c r="AO75" s="35"/>
      <c r="AP75" s="37"/>
      <c r="AQ75" s="35"/>
      <c r="AR75" s="35"/>
      <c r="AS75" s="35"/>
      <c r="AT75" s="35"/>
      <c r="AU75" s="35"/>
      <c r="AV75" s="37"/>
      <c r="AW75" s="38"/>
      <c r="AX75" s="38"/>
      <c r="AY75" s="38"/>
      <c r="AZ75" s="60" t="s">
        <v>489</v>
      </c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</row>
    <row r="76">
      <c r="A76" s="43">
        <v>75.0</v>
      </c>
      <c r="B76" s="43">
        <v>42.0</v>
      </c>
      <c r="C76" s="73"/>
      <c r="D76" s="74" t="s">
        <v>562</v>
      </c>
      <c r="E76" s="74"/>
      <c r="F76" s="74"/>
      <c r="G76" s="75"/>
      <c r="H76" s="35"/>
      <c r="I76" s="35"/>
      <c r="J76" s="35"/>
      <c r="K76" s="35"/>
      <c r="L76" s="37"/>
      <c r="M76" s="35"/>
      <c r="N76" s="35"/>
      <c r="O76" s="35"/>
      <c r="P76" s="35"/>
      <c r="Q76" s="35"/>
      <c r="R76" s="37"/>
      <c r="S76" s="35"/>
      <c r="T76" s="35"/>
      <c r="U76" s="35"/>
      <c r="V76" s="35"/>
      <c r="W76" s="35"/>
      <c r="X76" s="37"/>
      <c r="Y76" s="35"/>
      <c r="Z76" s="35"/>
      <c r="AA76" s="35"/>
      <c r="AB76" s="35"/>
      <c r="AC76" s="35"/>
      <c r="AD76" s="37"/>
      <c r="AE76" s="35"/>
      <c r="AF76" s="35"/>
      <c r="AG76" s="35"/>
      <c r="AH76" s="35"/>
      <c r="AI76" s="35"/>
      <c r="AJ76" s="37"/>
      <c r="AK76" s="35"/>
      <c r="AL76" s="35"/>
      <c r="AM76" s="35"/>
      <c r="AN76" s="35"/>
      <c r="AO76" s="35"/>
      <c r="AP76" s="37"/>
      <c r="AQ76" s="35"/>
      <c r="AR76" s="35"/>
      <c r="AS76" s="35"/>
      <c r="AT76" s="35"/>
      <c r="AU76" s="35"/>
      <c r="AV76" s="37"/>
      <c r="AW76" s="35"/>
      <c r="AX76" s="35"/>
      <c r="AY76" s="35"/>
      <c r="AZ76" s="35"/>
      <c r="BA76" s="35"/>
      <c r="BB76" s="37"/>
      <c r="BC76" s="38"/>
      <c r="BD76" s="38"/>
      <c r="BE76" s="38"/>
      <c r="BF76" s="60" t="s">
        <v>564</v>
      </c>
      <c r="BG76" s="38"/>
      <c r="BH76" s="38"/>
      <c r="BI76" s="38"/>
      <c r="BJ76" s="38"/>
      <c r="BK76" s="38"/>
    </row>
    <row r="77">
      <c r="L77" s="76"/>
      <c r="R77" s="76"/>
      <c r="X77" s="76"/>
      <c r="AD77" s="76"/>
      <c r="AJ77" s="76"/>
      <c r="AP77" s="76"/>
      <c r="AV77" s="76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</row>
    <row r="78">
      <c r="L78" s="76"/>
      <c r="R78" s="76"/>
      <c r="X78" s="76"/>
      <c r="AD78" s="76"/>
      <c r="AJ78" s="76"/>
      <c r="AP78" s="76"/>
      <c r="AV78" s="76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</row>
    <row r="79">
      <c r="L79" s="76"/>
      <c r="R79" s="76"/>
      <c r="X79" s="76"/>
      <c r="AD79" s="76"/>
      <c r="AJ79" s="76"/>
      <c r="AP79" s="76"/>
      <c r="AV79" s="76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</row>
    <row r="80">
      <c r="L80" s="76"/>
      <c r="R80" s="76"/>
      <c r="X80" s="76"/>
      <c r="AD80" s="76"/>
      <c r="AJ80" s="76"/>
      <c r="AP80" s="76"/>
      <c r="AV80" s="76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</row>
    <row r="81">
      <c r="L81" s="76"/>
      <c r="R81" s="76"/>
      <c r="X81" s="76"/>
      <c r="AD81" s="76"/>
      <c r="AJ81" s="76"/>
      <c r="AP81" s="76"/>
      <c r="AV81" s="76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</row>
    <row r="82">
      <c r="L82" s="76"/>
      <c r="R82" s="76"/>
      <c r="X82" s="76"/>
      <c r="AD82" s="76"/>
      <c r="AJ82" s="76"/>
      <c r="AP82" s="76"/>
      <c r="AV82" s="76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</row>
    <row r="83">
      <c r="L83" s="76"/>
      <c r="R83" s="76"/>
      <c r="X83" s="76"/>
      <c r="AD83" s="76"/>
      <c r="AJ83" s="76"/>
      <c r="AP83" s="76"/>
      <c r="AV83" s="76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</row>
    <row r="84">
      <c r="L84" s="76"/>
      <c r="R84" s="76"/>
      <c r="X84" s="76"/>
      <c r="AD84" s="76"/>
      <c r="AJ84" s="76"/>
      <c r="AP84" s="76"/>
      <c r="AV84" s="76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</row>
    <row r="85">
      <c r="L85" s="76"/>
      <c r="R85" s="76"/>
      <c r="X85" s="76"/>
      <c r="AD85" s="76"/>
      <c r="AJ85" s="76"/>
      <c r="AP85" s="76"/>
      <c r="AV85" s="76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</row>
    <row r="86">
      <c r="L86" s="76"/>
      <c r="R86" s="76"/>
      <c r="X86" s="76"/>
      <c r="AD86" s="76"/>
      <c r="AJ86" s="76"/>
      <c r="AP86" s="76"/>
      <c r="AV86" s="76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</row>
    <row r="87">
      <c r="L87" s="76"/>
      <c r="R87" s="76"/>
      <c r="X87" s="76"/>
      <c r="AD87" s="76"/>
      <c r="AJ87" s="76"/>
      <c r="AP87" s="76"/>
      <c r="AV87" s="76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</row>
    <row r="88">
      <c r="L88" s="76"/>
      <c r="R88" s="76"/>
      <c r="X88" s="76"/>
      <c r="AD88" s="76"/>
      <c r="AJ88" s="76"/>
      <c r="AP88" s="76"/>
      <c r="AV88" s="76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</row>
    <row r="89">
      <c r="L89" s="76"/>
      <c r="R89" s="76"/>
      <c r="X89" s="76"/>
      <c r="AD89" s="76"/>
      <c r="AJ89" s="76"/>
      <c r="AP89" s="76"/>
      <c r="AV89" s="76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</row>
    <row r="90">
      <c r="L90" s="76"/>
      <c r="R90" s="76"/>
      <c r="X90" s="76"/>
      <c r="AD90" s="76"/>
      <c r="AJ90" s="76"/>
      <c r="AP90" s="76"/>
      <c r="AV90" s="76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</row>
    <row r="91">
      <c r="L91" s="76"/>
      <c r="R91" s="76"/>
      <c r="X91" s="76"/>
      <c r="AD91" s="76"/>
      <c r="AJ91" s="76"/>
      <c r="AP91" s="76"/>
      <c r="AV91" s="76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</row>
    <row r="92">
      <c r="L92" s="76"/>
      <c r="R92" s="76"/>
      <c r="X92" s="76"/>
      <c r="AD92" s="76"/>
      <c r="AJ92" s="76"/>
      <c r="AP92" s="76"/>
      <c r="AV92" s="76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</row>
    <row r="93">
      <c r="L93" s="76"/>
      <c r="R93" s="76"/>
      <c r="X93" s="76"/>
      <c r="AD93" s="76"/>
      <c r="AJ93" s="76"/>
      <c r="AP93" s="76"/>
      <c r="AV93" s="76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</row>
    <row r="94">
      <c r="L94" s="76"/>
      <c r="R94" s="76"/>
      <c r="X94" s="76"/>
      <c r="AD94" s="76"/>
      <c r="AJ94" s="76"/>
      <c r="AP94" s="76"/>
      <c r="AV94" s="76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</row>
    <row r="95">
      <c r="L95" s="76"/>
      <c r="R95" s="76"/>
      <c r="X95" s="76"/>
      <c r="AD95" s="76"/>
      <c r="AJ95" s="76"/>
      <c r="AP95" s="76"/>
      <c r="AV95" s="76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</row>
    <row r="96">
      <c r="L96" s="76"/>
      <c r="R96" s="76"/>
      <c r="X96" s="76"/>
      <c r="AD96" s="76"/>
      <c r="AJ96" s="76"/>
      <c r="AP96" s="76"/>
      <c r="AV96" s="76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</row>
    <row r="97">
      <c r="L97" s="76"/>
      <c r="R97" s="76"/>
      <c r="X97" s="76"/>
      <c r="AD97" s="76"/>
      <c r="AJ97" s="76"/>
      <c r="AP97" s="76"/>
      <c r="AV97" s="76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</row>
    <row r="98">
      <c r="L98" s="76"/>
      <c r="R98" s="76"/>
      <c r="X98" s="76"/>
      <c r="AD98" s="76"/>
      <c r="AJ98" s="76"/>
      <c r="AP98" s="76"/>
      <c r="AV98" s="76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</row>
    <row r="99">
      <c r="L99" s="76"/>
      <c r="R99" s="76"/>
      <c r="X99" s="76"/>
      <c r="AD99" s="76"/>
      <c r="AJ99" s="76"/>
      <c r="AP99" s="76"/>
      <c r="AV99" s="76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</row>
    <row r="100">
      <c r="L100" s="76"/>
      <c r="R100" s="76"/>
      <c r="X100" s="76"/>
      <c r="AD100" s="76"/>
      <c r="AJ100" s="76"/>
      <c r="AP100" s="76"/>
      <c r="AV100" s="76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</row>
    <row r="101">
      <c r="L101" s="76"/>
      <c r="R101" s="76"/>
      <c r="X101" s="76"/>
      <c r="AD101" s="76"/>
      <c r="AJ101" s="76"/>
      <c r="AP101" s="76"/>
      <c r="AV101" s="76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</row>
    <row r="102">
      <c r="L102" s="76"/>
      <c r="R102" s="76"/>
      <c r="X102" s="76"/>
      <c r="AD102" s="76"/>
      <c r="AJ102" s="76"/>
      <c r="AP102" s="76"/>
      <c r="AV102" s="76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</row>
    <row r="103">
      <c r="L103" s="76"/>
      <c r="R103" s="76"/>
      <c r="X103" s="76"/>
      <c r="AD103" s="76"/>
      <c r="AJ103" s="76"/>
      <c r="AP103" s="76"/>
      <c r="AV103" s="76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</row>
    <row r="104">
      <c r="L104" s="76"/>
      <c r="R104" s="76"/>
      <c r="X104" s="76"/>
      <c r="AD104" s="76"/>
      <c r="AJ104" s="76"/>
      <c r="AP104" s="76"/>
      <c r="AV104" s="76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</row>
    <row r="105">
      <c r="L105" s="76"/>
      <c r="R105" s="76"/>
      <c r="X105" s="76"/>
      <c r="AD105" s="76"/>
      <c r="AJ105" s="76"/>
      <c r="AP105" s="76"/>
      <c r="AV105" s="76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</row>
    <row r="106">
      <c r="L106" s="76"/>
      <c r="R106" s="76"/>
      <c r="X106" s="76"/>
      <c r="AD106" s="76"/>
      <c r="AJ106" s="76"/>
      <c r="AP106" s="76"/>
      <c r="AV106" s="76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</row>
    <row r="107">
      <c r="L107" s="76"/>
      <c r="R107" s="76"/>
      <c r="X107" s="76"/>
      <c r="AD107" s="76"/>
      <c r="AJ107" s="76"/>
      <c r="AP107" s="76"/>
      <c r="AV107" s="76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</row>
    <row r="108">
      <c r="L108" s="76"/>
      <c r="R108" s="76"/>
      <c r="X108" s="76"/>
      <c r="AD108" s="76"/>
      <c r="AJ108" s="76"/>
      <c r="AP108" s="76"/>
      <c r="AV108" s="76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</row>
    <row r="109">
      <c r="L109" s="76"/>
      <c r="R109" s="76"/>
      <c r="X109" s="76"/>
      <c r="AD109" s="76"/>
      <c r="AJ109" s="76"/>
      <c r="AP109" s="76"/>
      <c r="AV109" s="76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</row>
    <row r="110">
      <c r="L110" s="76"/>
      <c r="R110" s="76"/>
      <c r="X110" s="76"/>
      <c r="AD110" s="76"/>
      <c r="AJ110" s="76"/>
      <c r="AP110" s="76"/>
      <c r="AV110" s="76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</row>
    <row r="111">
      <c r="L111" s="76"/>
      <c r="R111" s="76"/>
      <c r="X111" s="76"/>
      <c r="AD111" s="76"/>
      <c r="AJ111" s="76"/>
      <c r="AP111" s="76"/>
      <c r="AV111" s="76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</row>
    <row r="112">
      <c r="L112" s="76"/>
      <c r="R112" s="76"/>
      <c r="X112" s="76"/>
      <c r="AD112" s="76"/>
      <c r="AJ112" s="76"/>
      <c r="AP112" s="76"/>
      <c r="AV112" s="76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</row>
    <row r="113">
      <c r="L113" s="76"/>
      <c r="R113" s="76"/>
      <c r="X113" s="76"/>
      <c r="AD113" s="76"/>
      <c r="AJ113" s="76"/>
      <c r="AP113" s="76"/>
      <c r="AV113" s="76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</row>
    <row r="114">
      <c r="L114" s="76"/>
      <c r="R114" s="76"/>
      <c r="X114" s="76"/>
      <c r="AD114" s="76"/>
      <c r="AJ114" s="76"/>
      <c r="AP114" s="76"/>
      <c r="AV114" s="76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</row>
    <row r="115">
      <c r="L115" s="76"/>
      <c r="R115" s="76"/>
      <c r="X115" s="76"/>
      <c r="AD115" s="76"/>
      <c r="AJ115" s="76"/>
      <c r="AP115" s="76"/>
      <c r="AV115" s="76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</row>
    <row r="116">
      <c r="L116" s="76"/>
      <c r="R116" s="76"/>
      <c r="X116" s="76"/>
      <c r="AD116" s="76"/>
      <c r="AJ116" s="76"/>
      <c r="AP116" s="76"/>
      <c r="AV116" s="76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</row>
    <row r="117">
      <c r="L117" s="76"/>
      <c r="R117" s="76"/>
      <c r="X117" s="76"/>
      <c r="AD117" s="76"/>
      <c r="AJ117" s="76"/>
      <c r="AP117" s="76"/>
      <c r="AV117" s="76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</row>
    <row r="118">
      <c r="L118" s="76"/>
      <c r="R118" s="76"/>
      <c r="X118" s="76"/>
      <c r="AD118" s="76"/>
      <c r="AJ118" s="76"/>
      <c r="AP118" s="76"/>
      <c r="AV118" s="76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</row>
    <row r="119">
      <c r="L119" s="76"/>
      <c r="R119" s="76"/>
      <c r="X119" s="76"/>
      <c r="AD119" s="76"/>
      <c r="AJ119" s="76"/>
      <c r="AP119" s="76"/>
      <c r="AV119" s="76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</row>
    <row r="120">
      <c r="L120" s="76"/>
      <c r="R120" s="76"/>
      <c r="X120" s="76"/>
      <c r="AD120" s="76"/>
      <c r="AJ120" s="76"/>
      <c r="AP120" s="76"/>
      <c r="AV120" s="76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</row>
    <row r="121">
      <c r="L121" s="76"/>
      <c r="R121" s="76"/>
      <c r="X121" s="76"/>
      <c r="AD121" s="76"/>
      <c r="AJ121" s="76"/>
      <c r="AP121" s="76"/>
      <c r="AV121" s="76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</row>
    <row r="122">
      <c r="L122" s="76"/>
      <c r="R122" s="76"/>
      <c r="X122" s="76"/>
      <c r="AD122" s="76"/>
      <c r="AJ122" s="76"/>
      <c r="AP122" s="76"/>
      <c r="AV122" s="76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</row>
    <row r="123">
      <c r="L123" s="76"/>
      <c r="R123" s="76"/>
      <c r="X123" s="76"/>
      <c r="AD123" s="76"/>
      <c r="AJ123" s="76"/>
      <c r="AP123" s="76"/>
      <c r="AV123" s="76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</row>
    <row r="124">
      <c r="L124" s="76"/>
      <c r="R124" s="76"/>
      <c r="X124" s="76"/>
      <c r="AD124" s="76"/>
      <c r="AJ124" s="76"/>
      <c r="AP124" s="76"/>
      <c r="AV124" s="76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</row>
    <row r="125">
      <c r="L125" s="76"/>
      <c r="R125" s="76"/>
      <c r="X125" s="76"/>
      <c r="AD125" s="76"/>
      <c r="AJ125" s="76"/>
      <c r="AP125" s="76"/>
      <c r="AV125" s="76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</row>
    <row r="126">
      <c r="L126" s="76"/>
      <c r="R126" s="76"/>
      <c r="X126" s="76"/>
      <c r="AD126" s="76"/>
      <c r="AJ126" s="76"/>
      <c r="AP126" s="76"/>
      <c r="AV126" s="76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</row>
    <row r="127">
      <c r="L127" s="76"/>
      <c r="R127" s="76"/>
      <c r="X127" s="76"/>
      <c r="AD127" s="76"/>
      <c r="AJ127" s="76"/>
      <c r="AP127" s="76"/>
      <c r="AV127" s="76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</row>
    <row r="128">
      <c r="L128" s="76"/>
      <c r="R128" s="76"/>
      <c r="X128" s="76"/>
      <c r="AD128" s="76"/>
      <c r="AJ128" s="76"/>
      <c r="AP128" s="76"/>
      <c r="AV128" s="76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</row>
    <row r="129">
      <c r="L129" s="76"/>
      <c r="R129" s="76"/>
      <c r="X129" s="76"/>
      <c r="AD129" s="76"/>
      <c r="AJ129" s="76"/>
      <c r="AP129" s="76"/>
      <c r="AV129" s="76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</row>
    <row r="130">
      <c r="L130" s="76"/>
      <c r="R130" s="76"/>
      <c r="X130" s="76"/>
      <c r="AD130" s="76"/>
      <c r="AJ130" s="76"/>
      <c r="AP130" s="76"/>
      <c r="AV130" s="76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</row>
    <row r="131">
      <c r="L131" s="76"/>
      <c r="R131" s="76"/>
      <c r="X131" s="76"/>
      <c r="AD131" s="76"/>
      <c r="AJ131" s="76"/>
      <c r="AP131" s="76"/>
      <c r="AV131" s="76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</row>
    <row r="132">
      <c r="L132" s="76"/>
      <c r="R132" s="76"/>
      <c r="X132" s="76"/>
      <c r="AD132" s="76"/>
      <c r="AJ132" s="76"/>
      <c r="AP132" s="76"/>
      <c r="AV132" s="76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</row>
    <row r="133">
      <c r="L133" s="76"/>
      <c r="R133" s="76"/>
      <c r="X133" s="76"/>
      <c r="AD133" s="76"/>
      <c r="AJ133" s="76"/>
      <c r="AP133" s="76"/>
      <c r="AV133" s="76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</row>
    <row r="134">
      <c r="L134" s="76"/>
      <c r="R134" s="76"/>
      <c r="X134" s="76"/>
      <c r="AD134" s="76"/>
      <c r="AJ134" s="76"/>
      <c r="AP134" s="76"/>
      <c r="AV134" s="76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</row>
    <row r="135">
      <c r="L135" s="76"/>
      <c r="R135" s="76"/>
      <c r="X135" s="76"/>
      <c r="AD135" s="76"/>
      <c r="AJ135" s="76"/>
      <c r="AP135" s="76"/>
      <c r="AV135" s="76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</row>
    <row r="136">
      <c r="L136" s="76"/>
      <c r="R136" s="76"/>
      <c r="X136" s="76"/>
      <c r="AD136" s="76"/>
      <c r="AJ136" s="76"/>
      <c r="AP136" s="76"/>
      <c r="AV136" s="76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</row>
    <row r="137">
      <c r="L137" s="76"/>
      <c r="R137" s="76"/>
      <c r="X137" s="76"/>
      <c r="AD137" s="76"/>
      <c r="AJ137" s="76"/>
      <c r="AP137" s="76"/>
      <c r="AV137" s="76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</row>
    <row r="138">
      <c r="L138" s="76"/>
      <c r="R138" s="76"/>
      <c r="X138" s="76"/>
      <c r="AD138" s="76"/>
      <c r="AJ138" s="76"/>
      <c r="AP138" s="76"/>
      <c r="AV138" s="76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</row>
    <row r="139">
      <c r="L139" s="76"/>
      <c r="R139" s="76"/>
      <c r="X139" s="76"/>
      <c r="AD139" s="76"/>
      <c r="AJ139" s="76"/>
      <c r="AP139" s="76"/>
      <c r="AV139" s="76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</row>
    <row r="140">
      <c r="L140" s="76"/>
      <c r="R140" s="76"/>
      <c r="X140" s="76"/>
      <c r="AD140" s="76"/>
      <c r="AJ140" s="76"/>
      <c r="AP140" s="76"/>
      <c r="AV140" s="76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</row>
    <row r="141">
      <c r="L141" s="76"/>
      <c r="R141" s="76"/>
      <c r="X141" s="76"/>
      <c r="AD141" s="76"/>
      <c r="AJ141" s="76"/>
      <c r="AP141" s="76"/>
      <c r="AV141" s="76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</row>
    <row r="142">
      <c r="L142" s="76"/>
      <c r="R142" s="76"/>
      <c r="X142" s="76"/>
      <c r="AD142" s="76"/>
      <c r="AJ142" s="76"/>
      <c r="AP142" s="76"/>
      <c r="AV142" s="76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</row>
    <row r="143">
      <c r="L143" s="76"/>
      <c r="R143" s="76"/>
      <c r="X143" s="76"/>
      <c r="AD143" s="76"/>
      <c r="AJ143" s="76"/>
      <c r="AP143" s="76"/>
      <c r="AV143" s="76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</row>
    <row r="144">
      <c r="L144" s="76"/>
      <c r="R144" s="76"/>
      <c r="X144" s="76"/>
      <c r="AD144" s="76"/>
      <c r="AJ144" s="76"/>
      <c r="AP144" s="76"/>
      <c r="AV144" s="76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</row>
    <row r="145">
      <c r="L145" s="76"/>
      <c r="R145" s="76"/>
      <c r="X145" s="76"/>
      <c r="AD145" s="76"/>
      <c r="AJ145" s="76"/>
      <c r="AP145" s="76"/>
      <c r="AV145" s="76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</row>
    <row r="146">
      <c r="L146" s="76"/>
      <c r="R146" s="76"/>
      <c r="X146" s="76"/>
      <c r="AD146" s="76"/>
      <c r="AJ146" s="76"/>
      <c r="AP146" s="76"/>
      <c r="AV146" s="76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</row>
    <row r="147">
      <c r="L147" s="76"/>
      <c r="R147" s="76"/>
      <c r="X147" s="76"/>
      <c r="AD147" s="76"/>
      <c r="AJ147" s="76"/>
      <c r="AP147" s="76"/>
      <c r="AV147" s="76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</row>
    <row r="148">
      <c r="L148" s="76"/>
      <c r="R148" s="76"/>
      <c r="X148" s="76"/>
      <c r="AD148" s="76"/>
      <c r="AJ148" s="76"/>
      <c r="AP148" s="76"/>
      <c r="AV148" s="76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</row>
    <row r="149">
      <c r="L149" s="76"/>
      <c r="R149" s="76"/>
      <c r="X149" s="76"/>
      <c r="AD149" s="76"/>
      <c r="AJ149" s="76"/>
      <c r="AP149" s="76"/>
      <c r="AV149" s="76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</row>
    <row r="150">
      <c r="L150" s="76"/>
      <c r="R150" s="76"/>
      <c r="X150" s="76"/>
      <c r="AD150" s="76"/>
      <c r="AJ150" s="76"/>
      <c r="AP150" s="76"/>
      <c r="AV150" s="76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</row>
    <row r="151">
      <c r="L151" s="76"/>
      <c r="R151" s="76"/>
      <c r="X151" s="76"/>
      <c r="AD151" s="76"/>
      <c r="AJ151" s="76"/>
      <c r="AP151" s="76"/>
      <c r="AV151" s="76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</row>
    <row r="152">
      <c r="L152" s="76"/>
      <c r="R152" s="76"/>
      <c r="X152" s="76"/>
      <c r="AD152" s="76"/>
      <c r="AJ152" s="76"/>
      <c r="AP152" s="76"/>
      <c r="AV152" s="76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</row>
    <row r="153">
      <c r="L153" s="76"/>
      <c r="R153" s="76"/>
      <c r="X153" s="76"/>
      <c r="AD153" s="76"/>
      <c r="AJ153" s="76"/>
      <c r="AP153" s="76"/>
      <c r="AV153" s="76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</row>
    <row r="154">
      <c r="L154" s="76"/>
      <c r="R154" s="76"/>
      <c r="X154" s="76"/>
      <c r="AD154" s="76"/>
      <c r="AJ154" s="76"/>
      <c r="AP154" s="76"/>
      <c r="AV154" s="76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</row>
    <row r="155">
      <c r="L155" s="76"/>
      <c r="R155" s="76"/>
      <c r="X155" s="76"/>
      <c r="AD155" s="76"/>
      <c r="AJ155" s="76"/>
      <c r="AP155" s="76"/>
      <c r="AV155" s="76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</row>
    <row r="156">
      <c r="L156" s="76"/>
      <c r="R156" s="76"/>
      <c r="X156" s="76"/>
      <c r="AD156" s="76"/>
      <c r="AJ156" s="76"/>
      <c r="AP156" s="76"/>
      <c r="AV156" s="76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</row>
    <row r="157">
      <c r="L157" s="76"/>
      <c r="R157" s="76"/>
      <c r="X157" s="76"/>
      <c r="AD157" s="76"/>
      <c r="AJ157" s="76"/>
      <c r="AP157" s="76"/>
      <c r="AV157" s="76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</row>
    <row r="158">
      <c r="L158" s="76"/>
      <c r="R158" s="76"/>
      <c r="X158" s="76"/>
      <c r="AD158" s="76"/>
      <c r="AJ158" s="76"/>
      <c r="AP158" s="76"/>
      <c r="AV158" s="76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</row>
    <row r="159">
      <c r="L159" s="76"/>
      <c r="R159" s="76"/>
      <c r="X159" s="76"/>
      <c r="AD159" s="76"/>
      <c r="AJ159" s="76"/>
      <c r="AP159" s="76"/>
      <c r="AV159" s="76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</row>
    <row r="160">
      <c r="L160" s="76"/>
      <c r="R160" s="76"/>
      <c r="X160" s="76"/>
      <c r="AD160" s="76"/>
      <c r="AJ160" s="76"/>
      <c r="AP160" s="76"/>
      <c r="AV160" s="76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</row>
    <row r="161">
      <c r="L161" s="76"/>
      <c r="R161" s="76"/>
      <c r="X161" s="76"/>
      <c r="AD161" s="76"/>
      <c r="AJ161" s="76"/>
      <c r="AP161" s="76"/>
      <c r="AV161" s="76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</row>
    <row r="162">
      <c r="L162" s="76"/>
      <c r="R162" s="76"/>
      <c r="X162" s="76"/>
      <c r="AD162" s="76"/>
      <c r="AJ162" s="76"/>
      <c r="AP162" s="76"/>
      <c r="AV162" s="76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</row>
    <row r="163">
      <c r="L163" s="76"/>
      <c r="R163" s="76"/>
      <c r="X163" s="76"/>
      <c r="AD163" s="76"/>
      <c r="AJ163" s="76"/>
      <c r="AP163" s="76"/>
      <c r="AV163" s="76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</row>
    <row r="164">
      <c r="L164" s="76"/>
      <c r="R164" s="76"/>
      <c r="X164" s="76"/>
      <c r="AD164" s="76"/>
      <c r="AJ164" s="76"/>
      <c r="AP164" s="76"/>
      <c r="AV164" s="76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</row>
    <row r="165">
      <c r="L165" s="76"/>
      <c r="R165" s="76"/>
      <c r="X165" s="76"/>
      <c r="AD165" s="76"/>
      <c r="AJ165" s="76"/>
      <c r="AP165" s="76"/>
      <c r="AV165" s="76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</row>
    <row r="166">
      <c r="L166" s="76"/>
      <c r="R166" s="76"/>
      <c r="X166" s="76"/>
      <c r="AD166" s="76"/>
      <c r="AJ166" s="76"/>
      <c r="AP166" s="76"/>
      <c r="AV166" s="76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</row>
    <row r="167">
      <c r="L167" s="76"/>
      <c r="R167" s="76"/>
      <c r="X167" s="76"/>
      <c r="AD167" s="76"/>
      <c r="AJ167" s="76"/>
      <c r="AP167" s="76"/>
      <c r="AV167" s="76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</row>
    <row r="168">
      <c r="L168" s="76"/>
      <c r="R168" s="76"/>
      <c r="X168" s="76"/>
      <c r="AD168" s="76"/>
      <c r="AJ168" s="76"/>
      <c r="AP168" s="76"/>
      <c r="AV168" s="76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</row>
    <row r="169">
      <c r="L169" s="76"/>
      <c r="R169" s="76"/>
      <c r="X169" s="76"/>
      <c r="AD169" s="76"/>
      <c r="AJ169" s="76"/>
      <c r="AP169" s="76"/>
      <c r="AV169" s="76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</row>
    <row r="170">
      <c r="L170" s="76"/>
      <c r="R170" s="76"/>
      <c r="X170" s="76"/>
      <c r="AD170" s="76"/>
      <c r="AJ170" s="76"/>
      <c r="AP170" s="76"/>
      <c r="AV170" s="76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</row>
    <row r="171">
      <c r="L171" s="76"/>
      <c r="R171" s="76"/>
      <c r="X171" s="76"/>
      <c r="AD171" s="76"/>
      <c r="AJ171" s="76"/>
      <c r="AP171" s="76"/>
      <c r="AV171" s="76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</row>
    <row r="172">
      <c r="L172" s="76"/>
      <c r="R172" s="76"/>
      <c r="X172" s="76"/>
      <c r="AD172" s="76"/>
      <c r="AJ172" s="76"/>
      <c r="AP172" s="76"/>
      <c r="AV172" s="76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</row>
    <row r="173">
      <c r="L173" s="76"/>
      <c r="R173" s="76"/>
      <c r="X173" s="76"/>
      <c r="AD173" s="76"/>
      <c r="AJ173" s="76"/>
      <c r="AP173" s="76"/>
      <c r="AV173" s="76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</row>
    <row r="174">
      <c r="L174" s="76"/>
      <c r="R174" s="76"/>
      <c r="X174" s="76"/>
      <c r="AD174" s="76"/>
      <c r="AJ174" s="76"/>
      <c r="AP174" s="76"/>
      <c r="AV174" s="76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</row>
    <row r="175">
      <c r="L175" s="76"/>
      <c r="R175" s="76"/>
      <c r="X175" s="76"/>
      <c r="AD175" s="76"/>
      <c r="AJ175" s="76"/>
      <c r="AP175" s="76"/>
      <c r="AV175" s="76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</row>
    <row r="176">
      <c r="L176" s="76"/>
      <c r="R176" s="76"/>
      <c r="X176" s="76"/>
      <c r="AD176" s="76"/>
      <c r="AJ176" s="76"/>
      <c r="AP176" s="76"/>
      <c r="AV176" s="76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</row>
    <row r="177">
      <c r="L177" s="76"/>
      <c r="R177" s="76"/>
      <c r="X177" s="76"/>
      <c r="AD177" s="76"/>
      <c r="AJ177" s="76"/>
      <c r="AP177" s="76"/>
      <c r="AV177" s="76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</row>
    <row r="178">
      <c r="L178" s="76"/>
      <c r="R178" s="76"/>
      <c r="X178" s="76"/>
      <c r="AD178" s="76"/>
      <c r="AJ178" s="76"/>
      <c r="AP178" s="76"/>
      <c r="AV178" s="76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</row>
    <row r="179">
      <c r="L179" s="76"/>
      <c r="R179" s="76"/>
      <c r="X179" s="76"/>
      <c r="AD179" s="76"/>
      <c r="AJ179" s="76"/>
      <c r="AP179" s="76"/>
      <c r="AV179" s="76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</row>
    <row r="180">
      <c r="L180" s="76"/>
      <c r="R180" s="76"/>
      <c r="X180" s="76"/>
      <c r="AD180" s="76"/>
      <c r="AJ180" s="76"/>
      <c r="AP180" s="76"/>
      <c r="AV180" s="76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</row>
    <row r="181">
      <c r="L181" s="76"/>
      <c r="R181" s="76"/>
      <c r="X181" s="76"/>
      <c r="AD181" s="76"/>
      <c r="AJ181" s="76"/>
      <c r="AP181" s="76"/>
      <c r="AV181" s="76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</row>
    <row r="182">
      <c r="L182" s="76"/>
      <c r="R182" s="76"/>
      <c r="X182" s="76"/>
      <c r="AD182" s="76"/>
      <c r="AJ182" s="76"/>
      <c r="AP182" s="76"/>
      <c r="AV182" s="76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</row>
    <row r="183">
      <c r="L183" s="76"/>
      <c r="R183" s="76"/>
      <c r="X183" s="76"/>
      <c r="AD183" s="76"/>
      <c r="AJ183" s="76"/>
      <c r="AP183" s="76"/>
      <c r="AV183" s="76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</row>
    <row r="184">
      <c r="L184" s="76"/>
      <c r="R184" s="76"/>
      <c r="X184" s="76"/>
      <c r="AD184" s="76"/>
      <c r="AJ184" s="76"/>
      <c r="AP184" s="76"/>
      <c r="AV184" s="76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</row>
    <row r="185">
      <c r="L185" s="76"/>
      <c r="R185" s="76"/>
      <c r="X185" s="76"/>
      <c r="AD185" s="76"/>
      <c r="AJ185" s="76"/>
      <c r="AP185" s="76"/>
      <c r="AV185" s="76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</row>
    <row r="186">
      <c r="L186" s="76"/>
      <c r="R186" s="76"/>
      <c r="X186" s="76"/>
      <c r="AD186" s="76"/>
      <c r="AJ186" s="76"/>
      <c r="AP186" s="76"/>
      <c r="AV186" s="76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</row>
    <row r="187">
      <c r="L187" s="76"/>
      <c r="R187" s="76"/>
      <c r="X187" s="76"/>
      <c r="AD187" s="76"/>
      <c r="AJ187" s="76"/>
      <c r="AP187" s="76"/>
      <c r="AV187" s="76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</row>
    <row r="188">
      <c r="L188" s="76"/>
      <c r="R188" s="76"/>
      <c r="X188" s="76"/>
      <c r="AD188" s="76"/>
      <c r="AJ188" s="76"/>
      <c r="AP188" s="76"/>
      <c r="AV188" s="76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</row>
    <row r="189">
      <c r="L189" s="76"/>
      <c r="R189" s="76"/>
      <c r="X189" s="76"/>
      <c r="AD189" s="76"/>
      <c r="AJ189" s="76"/>
      <c r="AP189" s="76"/>
      <c r="AV189" s="76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</row>
    <row r="190">
      <c r="L190" s="76"/>
      <c r="R190" s="76"/>
      <c r="X190" s="76"/>
      <c r="AD190" s="76"/>
      <c r="AJ190" s="76"/>
      <c r="AP190" s="76"/>
      <c r="AV190" s="76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</row>
    <row r="191">
      <c r="L191" s="76"/>
      <c r="R191" s="76"/>
      <c r="X191" s="76"/>
      <c r="AD191" s="76"/>
      <c r="AJ191" s="76"/>
      <c r="AP191" s="76"/>
      <c r="AV191" s="76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</row>
    <row r="192">
      <c r="L192" s="76"/>
      <c r="R192" s="76"/>
      <c r="X192" s="76"/>
      <c r="AD192" s="76"/>
      <c r="AJ192" s="76"/>
      <c r="AP192" s="76"/>
      <c r="AV192" s="76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</row>
    <row r="193">
      <c r="L193" s="76"/>
      <c r="R193" s="76"/>
      <c r="X193" s="76"/>
      <c r="AD193" s="76"/>
      <c r="AJ193" s="76"/>
      <c r="AP193" s="76"/>
      <c r="AV193" s="76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</row>
    <row r="194">
      <c r="L194" s="76"/>
      <c r="R194" s="76"/>
      <c r="X194" s="76"/>
      <c r="AD194" s="76"/>
      <c r="AJ194" s="76"/>
      <c r="AP194" s="76"/>
      <c r="AV194" s="76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</row>
    <row r="195">
      <c r="L195" s="76"/>
      <c r="R195" s="76"/>
      <c r="X195" s="76"/>
      <c r="AD195" s="76"/>
      <c r="AJ195" s="76"/>
      <c r="AP195" s="76"/>
      <c r="AV195" s="76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</row>
    <row r="196">
      <c r="L196" s="76"/>
      <c r="R196" s="76"/>
      <c r="X196" s="76"/>
      <c r="AD196" s="76"/>
      <c r="AJ196" s="76"/>
      <c r="AP196" s="76"/>
      <c r="AV196" s="76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</row>
    <row r="197">
      <c r="L197" s="76"/>
      <c r="R197" s="76"/>
      <c r="X197" s="76"/>
      <c r="AD197" s="76"/>
      <c r="AJ197" s="76"/>
      <c r="AP197" s="76"/>
      <c r="AV197" s="76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</row>
    <row r="198">
      <c r="L198" s="76"/>
      <c r="R198" s="76"/>
      <c r="X198" s="76"/>
      <c r="AD198" s="76"/>
      <c r="AJ198" s="76"/>
      <c r="AP198" s="76"/>
      <c r="AV198" s="76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</row>
    <row r="199">
      <c r="L199" s="76"/>
      <c r="R199" s="76"/>
      <c r="X199" s="76"/>
      <c r="AD199" s="76"/>
      <c r="AJ199" s="76"/>
      <c r="AP199" s="76"/>
      <c r="AV199" s="76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</row>
    <row r="200">
      <c r="L200" s="76"/>
      <c r="R200" s="76"/>
      <c r="X200" s="76"/>
      <c r="AD200" s="76"/>
      <c r="AJ200" s="76"/>
      <c r="AP200" s="76"/>
      <c r="AV200" s="76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</row>
    <row r="201">
      <c r="L201" s="76"/>
      <c r="R201" s="76"/>
      <c r="X201" s="76"/>
      <c r="AD201" s="76"/>
      <c r="AJ201" s="76"/>
      <c r="AP201" s="76"/>
      <c r="AV201" s="76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</row>
    <row r="202">
      <c r="L202" s="76"/>
      <c r="R202" s="76"/>
      <c r="X202" s="76"/>
      <c r="AD202" s="76"/>
      <c r="AJ202" s="76"/>
      <c r="AP202" s="76"/>
      <c r="AV202" s="76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</row>
    <row r="203">
      <c r="L203" s="76"/>
      <c r="R203" s="76"/>
      <c r="X203" s="76"/>
      <c r="AD203" s="76"/>
      <c r="AJ203" s="76"/>
      <c r="AP203" s="76"/>
      <c r="AV203" s="76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</row>
    <row r="204">
      <c r="L204" s="76"/>
      <c r="R204" s="76"/>
      <c r="X204" s="76"/>
      <c r="AD204" s="76"/>
      <c r="AJ204" s="76"/>
      <c r="AP204" s="76"/>
      <c r="AV204" s="76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</row>
    <row r="205">
      <c r="L205" s="76"/>
      <c r="R205" s="76"/>
      <c r="X205" s="76"/>
      <c r="AD205" s="76"/>
      <c r="AJ205" s="76"/>
      <c r="AP205" s="76"/>
      <c r="AV205" s="76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</row>
    <row r="206">
      <c r="L206" s="76"/>
      <c r="R206" s="76"/>
      <c r="X206" s="76"/>
      <c r="AD206" s="76"/>
      <c r="AJ206" s="76"/>
      <c r="AP206" s="76"/>
      <c r="AV206" s="76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</row>
    <row r="207">
      <c r="L207" s="76"/>
      <c r="R207" s="76"/>
      <c r="X207" s="76"/>
      <c r="AD207" s="76"/>
      <c r="AJ207" s="76"/>
      <c r="AP207" s="76"/>
      <c r="AV207" s="76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</row>
    <row r="208">
      <c r="L208" s="76"/>
      <c r="R208" s="76"/>
      <c r="X208" s="76"/>
      <c r="AD208" s="76"/>
      <c r="AJ208" s="76"/>
      <c r="AP208" s="76"/>
      <c r="AV208" s="76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</row>
    <row r="209">
      <c r="L209" s="76"/>
      <c r="R209" s="76"/>
      <c r="X209" s="76"/>
      <c r="AD209" s="76"/>
      <c r="AJ209" s="76"/>
      <c r="AP209" s="76"/>
      <c r="AV209" s="76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</row>
    <row r="210">
      <c r="L210" s="76"/>
      <c r="R210" s="76"/>
      <c r="X210" s="76"/>
      <c r="AD210" s="76"/>
      <c r="AJ210" s="76"/>
      <c r="AP210" s="76"/>
      <c r="AV210" s="76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</row>
    <row r="211">
      <c r="L211" s="76"/>
      <c r="R211" s="76"/>
      <c r="X211" s="76"/>
      <c r="AD211" s="76"/>
      <c r="AJ211" s="76"/>
      <c r="AP211" s="76"/>
      <c r="AV211" s="76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</row>
    <row r="212">
      <c r="L212" s="76"/>
      <c r="R212" s="76"/>
      <c r="X212" s="76"/>
      <c r="AD212" s="76"/>
      <c r="AJ212" s="76"/>
      <c r="AP212" s="76"/>
      <c r="AV212" s="76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</row>
    <row r="213">
      <c r="L213" s="76"/>
      <c r="R213" s="76"/>
      <c r="X213" s="76"/>
      <c r="AD213" s="76"/>
      <c r="AJ213" s="76"/>
      <c r="AP213" s="76"/>
      <c r="AV213" s="76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</row>
    <row r="214">
      <c r="L214" s="76"/>
      <c r="R214" s="76"/>
      <c r="X214" s="76"/>
      <c r="AD214" s="76"/>
      <c r="AJ214" s="76"/>
      <c r="AP214" s="76"/>
      <c r="AV214" s="76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</row>
    <row r="215">
      <c r="L215" s="76"/>
      <c r="R215" s="76"/>
      <c r="X215" s="76"/>
      <c r="AD215" s="76"/>
      <c r="AJ215" s="76"/>
      <c r="AP215" s="76"/>
      <c r="AV215" s="76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</row>
    <row r="216">
      <c r="L216" s="76"/>
      <c r="R216" s="76"/>
      <c r="X216" s="76"/>
      <c r="AD216" s="76"/>
      <c r="AJ216" s="76"/>
      <c r="AP216" s="76"/>
      <c r="AV216" s="76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</row>
    <row r="217">
      <c r="L217" s="76"/>
      <c r="R217" s="76"/>
      <c r="X217" s="76"/>
      <c r="AD217" s="76"/>
      <c r="AJ217" s="76"/>
      <c r="AP217" s="76"/>
      <c r="AV217" s="76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</row>
    <row r="218">
      <c r="L218" s="76"/>
      <c r="R218" s="76"/>
      <c r="X218" s="76"/>
      <c r="AD218" s="76"/>
      <c r="AJ218" s="76"/>
      <c r="AP218" s="76"/>
      <c r="AV218" s="76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</row>
    <row r="219">
      <c r="L219" s="76"/>
      <c r="R219" s="76"/>
      <c r="X219" s="76"/>
      <c r="AD219" s="76"/>
      <c r="AJ219" s="76"/>
      <c r="AP219" s="76"/>
      <c r="AV219" s="76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</row>
    <row r="220">
      <c r="L220" s="76"/>
      <c r="R220" s="76"/>
      <c r="X220" s="76"/>
      <c r="AD220" s="76"/>
      <c r="AJ220" s="76"/>
      <c r="AP220" s="76"/>
      <c r="AV220" s="76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</row>
    <row r="221">
      <c r="L221" s="76"/>
      <c r="R221" s="76"/>
      <c r="X221" s="76"/>
      <c r="AD221" s="76"/>
      <c r="AJ221" s="76"/>
      <c r="AP221" s="76"/>
      <c r="AV221" s="76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</row>
    <row r="222">
      <c r="L222" s="76"/>
      <c r="R222" s="76"/>
      <c r="X222" s="76"/>
      <c r="AD222" s="76"/>
      <c r="AJ222" s="76"/>
      <c r="AP222" s="76"/>
      <c r="AV222" s="76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</row>
    <row r="223">
      <c r="L223" s="76"/>
      <c r="R223" s="76"/>
      <c r="X223" s="76"/>
      <c r="AD223" s="76"/>
      <c r="AJ223" s="76"/>
      <c r="AP223" s="76"/>
      <c r="AV223" s="76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</row>
    <row r="224">
      <c r="L224" s="76"/>
      <c r="R224" s="76"/>
      <c r="X224" s="76"/>
      <c r="AD224" s="76"/>
      <c r="AJ224" s="76"/>
      <c r="AP224" s="76"/>
      <c r="AV224" s="76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</row>
    <row r="225">
      <c r="L225" s="76"/>
      <c r="R225" s="76"/>
      <c r="X225" s="76"/>
      <c r="AD225" s="76"/>
      <c r="AJ225" s="76"/>
      <c r="AP225" s="76"/>
      <c r="AV225" s="76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</row>
    <row r="226">
      <c r="L226" s="76"/>
      <c r="R226" s="76"/>
      <c r="X226" s="76"/>
      <c r="AD226" s="76"/>
      <c r="AJ226" s="76"/>
      <c r="AP226" s="76"/>
      <c r="AV226" s="76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</row>
    <row r="227">
      <c r="L227" s="76"/>
      <c r="R227" s="76"/>
      <c r="X227" s="76"/>
      <c r="AD227" s="76"/>
      <c r="AJ227" s="76"/>
      <c r="AP227" s="76"/>
      <c r="AV227" s="76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</row>
    <row r="228">
      <c r="L228" s="76"/>
      <c r="R228" s="76"/>
      <c r="X228" s="76"/>
      <c r="AD228" s="76"/>
      <c r="AJ228" s="76"/>
      <c r="AP228" s="76"/>
      <c r="AV228" s="76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</row>
    <row r="229">
      <c r="L229" s="76"/>
      <c r="R229" s="76"/>
      <c r="X229" s="76"/>
      <c r="AD229" s="76"/>
      <c r="AJ229" s="76"/>
      <c r="AP229" s="76"/>
      <c r="AV229" s="76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</row>
    <row r="230">
      <c r="L230" s="76"/>
      <c r="R230" s="76"/>
      <c r="X230" s="76"/>
      <c r="AD230" s="76"/>
      <c r="AJ230" s="76"/>
      <c r="AP230" s="76"/>
      <c r="AV230" s="76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</row>
    <row r="231">
      <c r="L231" s="76"/>
      <c r="R231" s="76"/>
      <c r="X231" s="76"/>
      <c r="AD231" s="76"/>
      <c r="AJ231" s="76"/>
      <c r="AP231" s="76"/>
      <c r="AV231" s="76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</row>
    <row r="232">
      <c r="L232" s="76"/>
      <c r="R232" s="76"/>
      <c r="X232" s="76"/>
      <c r="AD232" s="76"/>
      <c r="AJ232" s="76"/>
      <c r="AP232" s="76"/>
      <c r="AV232" s="76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</row>
    <row r="233">
      <c r="L233" s="76"/>
      <c r="R233" s="76"/>
      <c r="X233" s="76"/>
      <c r="AD233" s="76"/>
      <c r="AJ233" s="76"/>
      <c r="AP233" s="76"/>
      <c r="AV233" s="76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</row>
    <row r="234">
      <c r="L234" s="76"/>
      <c r="R234" s="76"/>
      <c r="X234" s="76"/>
      <c r="AD234" s="76"/>
      <c r="AJ234" s="76"/>
      <c r="AP234" s="76"/>
      <c r="AV234" s="76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</row>
    <row r="235">
      <c r="L235" s="76"/>
      <c r="R235" s="76"/>
      <c r="X235" s="76"/>
      <c r="AD235" s="76"/>
      <c r="AJ235" s="76"/>
      <c r="AP235" s="76"/>
      <c r="AV235" s="76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</row>
    <row r="236">
      <c r="L236" s="76"/>
      <c r="R236" s="76"/>
      <c r="X236" s="76"/>
      <c r="AD236" s="76"/>
      <c r="AJ236" s="76"/>
      <c r="AP236" s="76"/>
      <c r="AV236" s="76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</row>
    <row r="237">
      <c r="L237" s="76"/>
      <c r="R237" s="76"/>
      <c r="X237" s="76"/>
      <c r="AD237" s="76"/>
      <c r="AJ237" s="76"/>
      <c r="AP237" s="76"/>
      <c r="AV237" s="76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</row>
    <row r="238">
      <c r="L238" s="76"/>
      <c r="R238" s="76"/>
      <c r="X238" s="76"/>
      <c r="AD238" s="76"/>
      <c r="AJ238" s="76"/>
      <c r="AP238" s="76"/>
      <c r="AV238" s="76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</row>
    <row r="239">
      <c r="L239" s="76"/>
      <c r="R239" s="76"/>
      <c r="X239" s="76"/>
      <c r="AD239" s="76"/>
      <c r="AJ239" s="76"/>
      <c r="AP239" s="76"/>
      <c r="AV239" s="76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</row>
    <row r="240">
      <c r="L240" s="76"/>
      <c r="R240" s="76"/>
      <c r="X240" s="76"/>
      <c r="AD240" s="76"/>
      <c r="AJ240" s="76"/>
      <c r="AP240" s="76"/>
      <c r="AV240" s="76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</row>
    <row r="241">
      <c r="L241" s="76"/>
      <c r="R241" s="76"/>
      <c r="X241" s="76"/>
      <c r="AD241" s="76"/>
      <c r="AJ241" s="76"/>
      <c r="AP241" s="76"/>
      <c r="AV241" s="76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</row>
    <row r="242">
      <c r="L242" s="76"/>
      <c r="R242" s="76"/>
      <c r="X242" s="76"/>
      <c r="AD242" s="76"/>
      <c r="AJ242" s="76"/>
      <c r="AP242" s="76"/>
      <c r="AV242" s="76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</row>
    <row r="243">
      <c r="L243" s="76"/>
      <c r="R243" s="76"/>
      <c r="X243" s="76"/>
      <c r="AD243" s="76"/>
      <c r="AJ243" s="76"/>
      <c r="AP243" s="76"/>
      <c r="AV243" s="76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</row>
    <row r="244">
      <c r="L244" s="76"/>
      <c r="R244" s="76"/>
      <c r="X244" s="76"/>
      <c r="AD244" s="76"/>
      <c r="AJ244" s="76"/>
      <c r="AP244" s="76"/>
      <c r="AV244" s="76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</row>
    <row r="245">
      <c r="L245" s="76"/>
      <c r="R245" s="76"/>
      <c r="X245" s="76"/>
      <c r="AD245" s="76"/>
      <c r="AJ245" s="76"/>
      <c r="AP245" s="76"/>
      <c r="AV245" s="76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</row>
    <row r="246">
      <c r="L246" s="76"/>
      <c r="R246" s="76"/>
      <c r="X246" s="76"/>
      <c r="AD246" s="76"/>
      <c r="AJ246" s="76"/>
      <c r="AP246" s="76"/>
      <c r="AV246" s="76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</row>
    <row r="247">
      <c r="L247" s="76"/>
      <c r="R247" s="76"/>
      <c r="X247" s="76"/>
      <c r="AD247" s="76"/>
      <c r="AJ247" s="76"/>
      <c r="AP247" s="76"/>
      <c r="AV247" s="76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</row>
    <row r="248">
      <c r="L248" s="76"/>
      <c r="R248" s="76"/>
      <c r="X248" s="76"/>
      <c r="AD248" s="76"/>
      <c r="AJ248" s="76"/>
      <c r="AP248" s="76"/>
      <c r="AV248" s="76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</row>
    <row r="249">
      <c r="L249" s="76"/>
      <c r="R249" s="76"/>
      <c r="X249" s="76"/>
      <c r="AD249" s="76"/>
      <c r="AJ249" s="76"/>
      <c r="AP249" s="76"/>
      <c r="AV249" s="76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</row>
    <row r="250">
      <c r="L250" s="76"/>
      <c r="R250" s="76"/>
      <c r="X250" s="76"/>
      <c r="AD250" s="76"/>
      <c r="AJ250" s="76"/>
      <c r="AP250" s="76"/>
      <c r="AV250" s="76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</row>
    <row r="251">
      <c r="L251" s="76"/>
      <c r="R251" s="76"/>
      <c r="X251" s="76"/>
      <c r="AD251" s="76"/>
      <c r="AJ251" s="76"/>
      <c r="AP251" s="76"/>
      <c r="AV251" s="76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</row>
    <row r="252">
      <c r="L252" s="76"/>
      <c r="R252" s="76"/>
      <c r="X252" s="76"/>
      <c r="AD252" s="76"/>
      <c r="AJ252" s="76"/>
      <c r="AP252" s="76"/>
      <c r="AV252" s="76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</row>
    <row r="253">
      <c r="L253" s="76"/>
      <c r="R253" s="76"/>
      <c r="X253" s="76"/>
      <c r="AD253" s="76"/>
      <c r="AJ253" s="76"/>
      <c r="AP253" s="76"/>
      <c r="AV253" s="76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</row>
    <row r="254">
      <c r="L254" s="76"/>
      <c r="R254" s="76"/>
      <c r="X254" s="76"/>
      <c r="AD254" s="76"/>
      <c r="AJ254" s="76"/>
      <c r="AP254" s="76"/>
      <c r="AV254" s="76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</row>
    <row r="255">
      <c r="L255" s="76"/>
      <c r="R255" s="76"/>
      <c r="X255" s="76"/>
      <c r="AD255" s="76"/>
      <c r="AJ255" s="76"/>
      <c r="AP255" s="76"/>
      <c r="AV255" s="76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</row>
    <row r="256">
      <c r="L256" s="76"/>
      <c r="R256" s="76"/>
      <c r="X256" s="76"/>
      <c r="AD256" s="76"/>
      <c r="AJ256" s="76"/>
      <c r="AP256" s="76"/>
      <c r="AV256" s="76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</row>
    <row r="257">
      <c r="L257" s="76"/>
      <c r="R257" s="76"/>
      <c r="X257" s="76"/>
      <c r="AD257" s="76"/>
      <c r="AJ257" s="76"/>
      <c r="AP257" s="76"/>
      <c r="AV257" s="76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</row>
    <row r="258">
      <c r="L258" s="76"/>
      <c r="R258" s="76"/>
      <c r="X258" s="76"/>
      <c r="AD258" s="76"/>
      <c r="AJ258" s="76"/>
      <c r="AP258" s="76"/>
      <c r="AV258" s="76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</row>
    <row r="259">
      <c r="L259" s="76"/>
      <c r="R259" s="76"/>
      <c r="X259" s="76"/>
      <c r="AD259" s="76"/>
      <c r="AJ259" s="76"/>
      <c r="AP259" s="76"/>
      <c r="AV259" s="76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</row>
    <row r="260">
      <c r="L260" s="76"/>
      <c r="R260" s="76"/>
      <c r="X260" s="76"/>
      <c r="AD260" s="76"/>
      <c r="AJ260" s="76"/>
      <c r="AP260" s="76"/>
      <c r="AV260" s="76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</row>
    <row r="261">
      <c r="L261" s="76"/>
      <c r="R261" s="76"/>
      <c r="X261" s="76"/>
      <c r="AD261" s="76"/>
      <c r="AJ261" s="76"/>
      <c r="AP261" s="76"/>
      <c r="AV261" s="76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</row>
    <row r="262">
      <c r="L262" s="76"/>
      <c r="R262" s="76"/>
      <c r="X262" s="76"/>
      <c r="AD262" s="76"/>
      <c r="AJ262" s="76"/>
      <c r="AP262" s="76"/>
      <c r="AV262" s="76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</row>
    <row r="263">
      <c r="L263" s="76"/>
      <c r="R263" s="76"/>
      <c r="X263" s="76"/>
      <c r="AD263" s="76"/>
      <c r="AJ263" s="76"/>
      <c r="AP263" s="76"/>
      <c r="AV263" s="76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</row>
    <row r="264">
      <c r="L264" s="76"/>
      <c r="R264" s="76"/>
      <c r="X264" s="76"/>
      <c r="AD264" s="76"/>
      <c r="AJ264" s="76"/>
      <c r="AP264" s="76"/>
      <c r="AV264" s="76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</row>
    <row r="265">
      <c r="L265" s="76"/>
      <c r="R265" s="76"/>
      <c r="X265" s="76"/>
      <c r="AD265" s="76"/>
      <c r="AJ265" s="76"/>
      <c r="AP265" s="76"/>
      <c r="AV265" s="76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</row>
    <row r="266">
      <c r="L266" s="76"/>
      <c r="R266" s="76"/>
      <c r="X266" s="76"/>
      <c r="AD266" s="76"/>
      <c r="AJ266" s="76"/>
      <c r="AP266" s="76"/>
      <c r="AV266" s="76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</row>
    <row r="267">
      <c r="L267" s="76"/>
      <c r="R267" s="76"/>
      <c r="X267" s="76"/>
      <c r="AD267" s="76"/>
      <c r="AJ267" s="76"/>
      <c r="AP267" s="76"/>
      <c r="AV267" s="76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</row>
    <row r="268">
      <c r="L268" s="76"/>
      <c r="R268" s="76"/>
      <c r="X268" s="76"/>
      <c r="AD268" s="76"/>
      <c r="AJ268" s="76"/>
      <c r="AP268" s="76"/>
      <c r="AV268" s="76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</row>
    <row r="269">
      <c r="L269" s="76"/>
      <c r="R269" s="76"/>
      <c r="X269" s="76"/>
      <c r="AD269" s="76"/>
      <c r="AJ269" s="76"/>
      <c r="AP269" s="76"/>
      <c r="AV269" s="76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</row>
    <row r="270">
      <c r="L270" s="76"/>
      <c r="R270" s="76"/>
      <c r="X270" s="76"/>
      <c r="AD270" s="76"/>
      <c r="AJ270" s="76"/>
      <c r="AP270" s="76"/>
      <c r="AV270" s="76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</row>
    <row r="271">
      <c r="L271" s="76"/>
      <c r="R271" s="76"/>
      <c r="X271" s="76"/>
      <c r="AD271" s="76"/>
      <c r="AJ271" s="76"/>
      <c r="AP271" s="76"/>
      <c r="AV271" s="76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</row>
    <row r="272">
      <c r="L272" s="76"/>
      <c r="R272" s="76"/>
      <c r="X272" s="76"/>
      <c r="AD272" s="76"/>
      <c r="AJ272" s="76"/>
      <c r="AP272" s="76"/>
      <c r="AV272" s="76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</row>
    <row r="273">
      <c r="L273" s="76"/>
      <c r="R273" s="76"/>
      <c r="X273" s="76"/>
      <c r="AD273" s="76"/>
      <c r="AJ273" s="76"/>
      <c r="AP273" s="76"/>
      <c r="AV273" s="76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</row>
    <row r="274">
      <c r="L274" s="76"/>
      <c r="R274" s="76"/>
      <c r="X274" s="76"/>
      <c r="AD274" s="76"/>
      <c r="AJ274" s="76"/>
      <c r="AP274" s="76"/>
      <c r="AV274" s="76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</row>
    <row r="275">
      <c r="L275" s="76"/>
      <c r="R275" s="76"/>
      <c r="X275" s="76"/>
      <c r="AD275" s="76"/>
      <c r="AJ275" s="76"/>
      <c r="AP275" s="76"/>
      <c r="AV275" s="76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</row>
    <row r="276">
      <c r="L276" s="76"/>
      <c r="R276" s="76"/>
      <c r="X276" s="76"/>
      <c r="AD276" s="76"/>
      <c r="AJ276" s="76"/>
      <c r="AP276" s="76"/>
      <c r="AV276" s="76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</row>
    <row r="277">
      <c r="L277" s="76"/>
      <c r="R277" s="76"/>
      <c r="X277" s="76"/>
      <c r="AD277" s="76"/>
      <c r="AJ277" s="76"/>
      <c r="AP277" s="76"/>
      <c r="AV277" s="76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</row>
    <row r="278">
      <c r="L278" s="76"/>
      <c r="R278" s="76"/>
      <c r="X278" s="76"/>
      <c r="AD278" s="76"/>
      <c r="AJ278" s="76"/>
      <c r="AP278" s="76"/>
      <c r="AV278" s="76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</row>
    <row r="279">
      <c r="L279" s="76"/>
      <c r="R279" s="76"/>
      <c r="X279" s="76"/>
      <c r="AD279" s="76"/>
      <c r="AJ279" s="76"/>
      <c r="AP279" s="76"/>
      <c r="AV279" s="76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</row>
    <row r="280">
      <c r="L280" s="76"/>
      <c r="R280" s="76"/>
      <c r="X280" s="76"/>
      <c r="AD280" s="76"/>
      <c r="AJ280" s="76"/>
      <c r="AP280" s="76"/>
      <c r="AV280" s="76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</row>
    <row r="281">
      <c r="L281" s="76"/>
      <c r="R281" s="76"/>
      <c r="X281" s="76"/>
      <c r="AD281" s="76"/>
      <c r="AJ281" s="76"/>
      <c r="AP281" s="76"/>
      <c r="AV281" s="76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</row>
    <row r="282">
      <c r="L282" s="76"/>
      <c r="R282" s="76"/>
      <c r="X282" s="76"/>
      <c r="AD282" s="76"/>
      <c r="AJ282" s="76"/>
      <c r="AP282" s="76"/>
      <c r="AV282" s="76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</row>
    <row r="283">
      <c r="L283" s="76"/>
      <c r="R283" s="76"/>
      <c r="X283" s="76"/>
      <c r="AD283" s="76"/>
      <c r="AJ283" s="76"/>
      <c r="AP283" s="76"/>
      <c r="AV283" s="76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</row>
    <row r="284">
      <c r="L284" s="76"/>
      <c r="R284" s="76"/>
      <c r="X284" s="76"/>
      <c r="AD284" s="76"/>
      <c r="AJ284" s="76"/>
      <c r="AP284" s="76"/>
      <c r="AV284" s="76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</row>
    <row r="285">
      <c r="L285" s="76"/>
      <c r="R285" s="76"/>
      <c r="X285" s="76"/>
      <c r="AD285" s="76"/>
      <c r="AJ285" s="76"/>
      <c r="AP285" s="76"/>
      <c r="AV285" s="76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</row>
    <row r="286">
      <c r="L286" s="76"/>
      <c r="R286" s="76"/>
      <c r="X286" s="76"/>
      <c r="AD286" s="76"/>
      <c r="AJ286" s="76"/>
      <c r="AP286" s="76"/>
      <c r="AV286" s="76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</row>
    <row r="287">
      <c r="L287" s="76"/>
      <c r="R287" s="76"/>
      <c r="X287" s="76"/>
      <c r="AD287" s="76"/>
      <c r="AJ287" s="76"/>
      <c r="AP287" s="76"/>
      <c r="AV287" s="76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</row>
    <row r="288">
      <c r="L288" s="76"/>
      <c r="R288" s="76"/>
      <c r="X288" s="76"/>
      <c r="AD288" s="76"/>
      <c r="AJ288" s="76"/>
      <c r="AP288" s="76"/>
      <c r="AV288" s="76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</row>
    <row r="289">
      <c r="L289" s="76"/>
      <c r="R289" s="76"/>
      <c r="X289" s="76"/>
      <c r="AD289" s="76"/>
      <c r="AJ289" s="76"/>
      <c r="AP289" s="76"/>
      <c r="AV289" s="76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</row>
    <row r="290">
      <c r="L290" s="76"/>
      <c r="R290" s="76"/>
      <c r="X290" s="76"/>
      <c r="AD290" s="76"/>
      <c r="AJ290" s="76"/>
      <c r="AP290" s="76"/>
      <c r="AV290" s="76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</row>
    <row r="291">
      <c r="L291" s="76"/>
      <c r="R291" s="76"/>
      <c r="X291" s="76"/>
      <c r="AD291" s="76"/>
      <c r="AJ291" s="76"/>
      <c r="AP291" s="76"/>
      <c r="AV291" s="76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</row>
    <row r="292">
      <c r="L292" s="76"/>
      <c r="R292" s="76"/>
      <c r="X292" s="76"/>
      <c r="AD292" s="76"/>
      <c r="AJ292" s="76"/>
      <c r="AP292" s="76"/>
      <c r="AV292" s="76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</row>
    <row r="293">
      <c r="L293" s="76"/>
      <c r="R293" s="76"/>
      <c r="X293" s="76"/>
      <c r="AD293" s="76"/>
      <c r="AJ293" s="76"/>
      <c r="AP293" s="76"/>
      <c r="AV293" s="76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</row>
    <row r="294">
      <c r="L294" s="76"/>
      <c r="R294" s="76"/>
      <c r="X294" s="76"/>
      <c r="AD294" s="76"/>
      <c r="AJ294" s="76"/>
      <c r="AP294" s="76"/>
      <c r="AV294" s="76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</row>
    <row r="295">
      <c r="L295" s="76"/>
      <c r="R295" s="76"/>
      <c r="X295" s="76"/>
      <c r="AD295" s="76"/>
      <c r="AJ295" s="76"/>
      <c r="AP295" s="76"/>
      <c r="AV295" s="76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</row>
    <row r="296">
      <c r="L296" s="76"/>
      <c r="R296" s="76"/>
      <c r="X296" s="76"/>
      <c r="AD296" s="76"/>
      <c r="AJ296" s="76"/>
      <c r="AP296" s="76"/>
      <c r="AV296" s="76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</row>
    <row r="297">
      <c r="L297" s="76"/>
      <c r="R297" s="76"/>
      <c r="X297" s="76"/>
      <c r="AD297" s="76"/>
      <c r="AJ297" s="76"/>
      <c r="AP297" s="76"/>
      <c r="AV297" s="76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</row>
    <row r="298">
      <c r="L298" s="76"/>
      <c r="R298" s="76"/>
      <c r="X298" s="76"/>
      <c r="AD298" s="76"/>
      <c r="AJ298" s="76"/>
      <c r="AP298" s="76"/>
      <c r="AV298" s="76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</row>
    <row r="299">
      <c r="L299" s="76"/>
      <c r="R299" s="76"/>
      <c r="X299" s="76"/>
      <c r="AD299" s="76"/>
      <c r="AJ299" s="76"/>
      <c r="AP299" s="76"/>
      <c r="AV299" s="76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</row>
    <row r="300">
      <c r="L300" s="76"/>
      <c r="R300" s="76"/>
      <c r="X300" s="76"/>
      <c r="AD300" s="76"/>
      <c r="AJ300" s="76"/>
      <c r="AP300" s="76"/>
      <c r="AV300" s="76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</row>
    <row r="301">
      <c r="L301" s="76"/>
      <c r="R301" s="76"/>
      <c r="X301" s="76"/>
      <c r="AD301" s="76"/>
      <c r="AJ301" s="76"/>
      <c r="AP301" s="76"/>
      <c r="AV301" s="76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</row>
    <row r="302">
      <c r="L302" s="76"/>
      <c r="R302" s="76"/>
      <c r="X302" s="76"/>
      <c r="AD302" s="76"/>
      <c r="AJ302" s="76"/>
      <c r="AP302" s="76"/>
      <c r="AV302" s="76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</row>
    <row r="303">
      <c r="L303" s="76"/>
      <c r="R303" s="76"/>
      <c r="X303" s="76"/>
      <c r="AD303" s="76"/>
      <c r="AJ303" s="76"/>
      <c r="AP303" s="76"/>
      <c r="AV303" s="76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</row>
    <row r="304">
      <c r="L304" s="76"/>
      <c r="R304" s="76"/>
      <c r="X304" s="76"/>
      <c r="AD304" s="76"/>
      <c r="AJ304" s="76"/>
      <c r="AP304" s="76"/>
      <c r="AV304" s="76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</row>
    <row r="305">
      <c r="L305" s="76"/>
      <c r="R305" s="76"/>
      <c r="X305" s="76"/>
      <c r="AD305" s="76"/>
      <c r="AJ305" s="76"/>
      <c r="AP305" s="76"/>
      <c r="AV305" s="76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</row>
    <row r="306">
      <c r="L306" s="76"/>
      <c r="R306" s="76"/>
      <c r="X306" s="76"/>
      <c r="AD306" s="76"/>
      <c r="AJ306" s="76"/>
      <c r="AP306" s="76"/>
      <c r="AV306" s="76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</row>
    <row r="307">
      <c r="L307" s="76"/>
      <c r="R307" s="76"/>
      <c r="X307" s="76"/>
      <c r="AD307" s="76"/>
      <c r="AJ307" s="76"/>
      <c r="AP307" s="76"/>
      <c r="AV307" s="76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</row>
    <row r="308">
      <c r="L308" s="76"/>
      <c r="R308" s="76"/>
      <c r="X308" s="76"/>
      <c r="AD308" s="76"/>
      <c r="AJ308" s="76"/>
      <c r="AP308" s="76"/>
      <c r="AV308" s="76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</row>
    <row r="309">
      <c r="L309" s="76"/>
      <c r="R309" s="76"/>
      <c r="X309" s="76"/>
      <c r="AD309" s="76"/>
      <c r="AJ309" s="76"/>
      <c r="AP309" s="76"/>
      <c r="AV309" s="76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</row>
    <row r="310">
      <c r="L310" s="76"/>
      <c r="R310" s="76"/>
      <c r="X310" s="76"/>
      <c r="AD310" s="76"/>
      <c r="AJ310" s="76"/>
      <c r="AP310" s="76"/>
      <c r="AV310" s="76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</row>
    <row r="311">
      <c r="L311" s="76"/>
      <c r="R311" s="76"/>
      <c r="X311" s="76"/>
      <c r="AD311" s="76"/>
      <c r="AJ311" s="76"/>
      <c r="AP311" s="76"/>
      <c r="AV311" s="76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</row>
    <row r="312">
      <c r="L312" s="76"/>
      <c r="R312" s="76"/>
      <c r="X312" s="76"/>
      <c r="AD312" s="76"/>
      <c r="AJ312" s="76"/>
      <c r="AP312" s="76"/>
      <c r="AV312" s="76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</row>
    <row r="313">
      <c r="L313" s="76"/>
      <c r="R313" s="76"/>
      <c r="X313" s="76"/>
      <c r="AD313" s="76"/>
      <c r="AJ313" s="76"/>
      <c r="AP313" s="76"/>
      <c r="AV313" s="76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</row>
    <row r="314">
      <c r="L314" s="76"/>
      <c r="R314" s="76"/>
      <c r="X314" s="76"/>
      <c r="AD314" s="76"/>
      <c r="AJ314" s="76"/>
      <c r="AP314" s="76"/>
      <c r="AV314" s="76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</row>
    <row r="315">
      <c r="L315" s="76"/>
      <c r="R315" s="76"/>
      <c r="X315" s="76"/>
      <c r="AD315" s="76"/>
      <c r="AJ315" s="76"/>
      <c r="AP315" s="76"/>
      <c r="AV315" s="76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</row>
    <row r="316">
      <c r="L316" s="76"/>
      <c r="R316" s="76"/>
      <c r="X316" s="76"/>
      <c r="AD316" s="76"/>
      <c r="AJ316" s="76"/>
      <c r="AP316" s="76"/>
      <c r="AV316" s="76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</row>
    <row r="317">
      <c r="L317" s="76"/>
      <c r="R317" s="76"/>
      <c r="X317" s="76"/>
      <c r="AD317" s="76"/>
      <c r="AJ317" s="76"/>
      <c r="AP317" s="76"/>
      <c r="AV317" s="76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</row>
    <row r="318">
      <c r="L318" s="76"/>
      <c r="R318" s="76"/>
      <c r="X318" s="76"/>
      <c r="AD318" s="76"/>
      <c r="AJ318" s="76"/>
      <c r="AP318" s="76"/>
      <c r="AV318" s="76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</row>
    <row r="319">
      <c r="L319" s="76"/>
      <c r="R319" s="76"/>
      <c r="X319" s="76"/>
      <c r="AD319" s="76"/>
      <c r="AJ319" s="76"/>
      <c r="AP319" s="76"/>
      <c r="AV319" s="76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</row>
    <row r="320">
      <c r="L320" s="76"/>
      <c r="R320" s="76"/>
      <c r="X320" s="76"/>
      <c r="AD320" s="76"/>
      <c r="AJ320" s="76"/>
      <c r="AP320" s="76"/>
      <c r="AV320" s="76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</row>
    <row r="321">
      <c r="L321" s="76"/>
      <c r="R321" s="76"/>
      <c r="X321" s="76"/>
      <c r="AD321" s="76"/>
      <c r="AJ321" s="76"/>
      <c r="AP321" s="76"/>
      <c r="AV321" s="76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</row>
    <row r="322">
      <c r="L322" s="76"/>
      <c r="R322" s="76"/>
      <c r="X322" s="76"/>
      <c r="AD322" s="76"/>
      <c r="AJ322" s="76"/>
      <c r="AP322" s="76"/>
      <c r="AV322" s="76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</row>
    <row r="323">
      <c r="L323" s="76"/>
      <c r="R323" s="76"/>
      <c r="X323" s="76"/>
      <c r="AD323" s="76"/>
      <c r="AJ323" s="76"/>
      <c r="AP323" s="76"/>
      <c r="AV323" s="76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</row>
    <row r="324">
      <c r="L324" s="76"/>
      <c r="R324" s="76"/>
      <c r="X324" s="76"/>
      <c r="AD324" s="76"/>
      <c r="AJ324" s="76"/>
      <c r="AP324" s="76"/>
      <c r="AV324" s="76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</row>
    <row r="325">
      <c r="L325" s="76"/>
      <c r="R325" s="76"/>
      <c r="X325" s="76"/>
      <c r="AD325" s="76"/>
      <c r="AJ325" s="76"/>
      <c r="AP325" s="76"/>
      <c r="AV325" s="76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</row>
    <row r="326">
      <c r="L326" s="76"/>
      <c r="R326" s="76"/>
      <c r="X326" s="76"/>
      <c r="AD326" s="76"/>
      <c r="AJ326" s="76"/>
      <c r="AP326" s="76"/>
      <c r="AV326" s="76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</row>
    <row r="327">
      <c r="L327" s="76"/>
      <c r="R327" s="76"/>
      <c r="X327" s="76"/>
      <c r="AD327" s="76"/>
      <c r="AJ327" s="76"/>
      <c r="AP327" s="76"/>
      <c r="AV327" s="76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</row>
    <row r="328">
      <c r="L328" s="76"/>
      <c r="R328" s="76"/>
      <c r="X328" s="76"/>
      <c r="AD328" s="76"/>
      <c r="AJ328" s="76"/>
      <c r="AP328" s="76"/>
      <c r="AV328" s="76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</row>
    <row r="329">
      <c r="L329" s="76"/>
      <c r="R329" s="76"/>
      <c r="X329" s="76"/>
      <c r="AD329" s="76"/>
      <c r="AJ329" s="76"/>
      <c r="AP329" s="76"/>
      <c r="AV329" s="76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</row>
    <row r="330">
      <c r="L330" s="76"/>
      <c r="R330" s="76"/>
      <c r="X330" s="76"/>
      <c r="AD330" s="76"/>
      <c r="AJ330" s="76"/>
      <c r="AP330" s="76"/>
      <c r="AV330" s="76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</row>
    <row r="331">
      <c r="L331" s="76"/>
      <c r="R331" s="76"/>
      <c r="X331" s="76"/>
      <c r="AD331" s="76"/>
      <c r="AJ331" s="76"/>
      <c r="AP331" s="76"/>
      <c r="AV331" s="76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</row>
    <row r="332">
      <c r="L332" s="76"/>
      <c r="R332" s="76"/>
      <c r="X332" s="76"/>
      <c r="AD332" s="76"/>
      <c r="AJ332" s="76"/>
      <c r="AP332" s="76"/>
      <c r="AV332" s="76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</row>
    <row r="333">
      <c r="L333" s="76"/>
      <c r="R333" s="76"/>
      <c r="X333" s="76"/>
      <c r="AD333" s="76"/>
      <c r="AJ333" s="76"/>
      <c r="AP333" s="76"/>
      <c r="AV333" s="76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</row>
    <row r="334">
      <c r="L334" s="76"/>
      <c r="R334" s="76"/>
      <c r="X334" s="76"/>
      <c r="AD334" s="76"/>
      <c r="AJ334" s="76"/>
      <c r="AP334" s="76"/>
      <c r="AV334" s="76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</row>
    <row r="335">
      <c r="L335" s="76"/>
      <c r="R335" s="76"/>
      <c r="X335" s="76"/>
      <c r="AD335" s="76"/>
      <c r="AJ335" s="76"/>
      <c r="AP335" s="76"/>
      <c r="AV335" s="76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</row>
    <row r="336">
      <c r="L336" s="76"/>
      <c r="R336" s="76"/>
      <c r="X336" s="76"/>
      <c r="AD336" s="76"/>
      <c r="AJ336" s="76"/>
      <c r="AP336" s="76"/>
      <c r="AV336" s="76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</row>
    <row r="337">
      <c r="L337" s="76"/>
      <c r="R337" s="76"/>
      <c r="X337" s="76"/>
      <c r="AD337" s="76"/>
      <c r="AJ337" s="76"/>
      <c r="AP337" s="76"/>
      <c r="AV337" s="76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</row>
    <row r="338">
      <c r="L338" s="76"/>
      <c r="R338" s="76"/>
      <c r="X338" s="76"/>
      <c r="AD338" s="76"/>
      <c r="AJ338" s="76"/>
      <c r="AP338" s="76"/>
      <c r="AV338" s="76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</row>
    <row r="339">
      <c r="L339" s="76"/>
      <c r="R339" s="76"/>
      <c r="X339" s="76"/>
      <c r="AD339" s="76"/>
      <c r="AJ339" s="76"/>
      <c r="AP339" s="76"/>
      <c r="AV339" s="76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</row>
    <row r="340">
      <c r="L340" s="76"/>
      <c r="R340" s="76"/>
      <c r="X340" s="76"/>
      <c r="AD340" s="76"/>
      <c r="AJ340" s="76"/>
      <c r="AP340" s="76"/>
      <c r="AV340" s="76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</row>
    <row r="341">
      <c r="L341" s="76"/>
      <c r="R341" s="76"/>
      <c r="X341" s="76"/>
      <c r="AD341" s="76"/>
      <c r="AJ341" s="76"/>
      <c r="AP341" s="76"/>
      <c r="AV341" s="76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</row>
    <row r="342">
      <c r="L342" s="76"/>
      <c r="R342" s="76"/>
      <c r="X342" s="76"/>
      <c r="AD342" s="76"/>
      <c r="AJ342" s="76"/>
      <c r="AP342" s="76"/>
      <c r="AV342" s="76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</row>
    <row r="343">
      <c r="L343" s="76"/>
      <c r="R343" s="76"/>
      <c r="X343" s="76"/>
      <c r="AD343" s="76"/>
      <c r="AJ343" s="76"/>
      <c r="AP343" s="76"/>
      <c r="AV343" s="76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</row>
    <row r="344">
      <c r="L344" s="76"/>
      <c r="R344" s="76"/>
      <c r="X344" s="76"/>
      <c r="AD344" s="76"/>
      <c r="AJ344" s="76"/>
      <c r="AP344" s="76"/>
      <c r="AV344" s="76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</row>
    <row r="345">
      <c r="L345" s="76"/>
      <c r="R345" s="76"/>
      <c r="X345" s="76"/>
      <c r="AD345" s="76"/>
      <c r="AJ345" s="76"/>
      <c r="AP345" s="76"/>
      <c r="AV345" s="76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</row>
    <row r="346">
      <c r="L346" s="76"/>
      <c r="R346" s="76"/>
      <c r="X346" s="76"/>
      <c r="AD346" s="76"/>
      <c r="AJ346" s="76"/>
      <c r="AP346" s="76"/>
      <c r="AV346" s="76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</row>
    <row r="347">
      <c r="L347" s="76"/>
      <c r="R347" s="76"/>
      <c r="X347" s="76"/>
      <c r="AD347" s="76"/>
      <c r="AJ347" s="76"/>
      <c r="AP347" s="76"/>
      <c r="AV347" s="76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</row>
    <row r="348">
      <c r="L348" s="76"/>
      <c r="R348" s="76"/>
      <c r="X348" s="76"/>
      <c r="AD348" s="76"/>
      <c r="AJ348" s="76"/>
      <c r="AP348" s="76"/>
      <c r="AV348" s="76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</row>
    <row r="349">
      <c r="L349" s="76"/>
      <c r="R349" s="76"/>
      <c r="X349" s="76"/>
      <c r="AD349" s="76"/>
      <c r="AJ349" s="76"/>
      <c r="AP349" s="76"/>
      <c r="AV349" s="76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</row>
    <row r="350">
      <c r="L350" s="76"/>
      <c r="R350" s="76"/>
      <c r="X350" s="76"/>
      <c r="AD350" s="76"/>
      <c r="AJ350" s="76"/>
      <c r="AP350" s="76"/>
      <c r="AV350" s="76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</row>
    <row r="351">
      <c r="L351" s="76"/>
      <c r="R351" s="76"/>
      <c r="X351" s="76"/>
      <c r="AD351" s="76"/>
      <c r="AJ351" s="76"/>
      <c r="AP351" s="76"/>
      <c r="AV351" s="76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</row>
    <row r="352">
      <c r="L352" s="76"/>
      <c r="R352" s="76"/>
      <c r="X352" s="76"/>
      <c r="AD352" s="76"/>
      <c r="AJ352" s="76"/>
      <c r="AP352" s="76"/>
      <c r="AV352" s="76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</row>
    <row r="353">
      <c r="L353" s="76"/>
      <c r="R353" s="76"/>
      <c r="X353" s="76"/>
      <c r="AD353" s="76"/>
      <c r="AJ353" s="76"/>
      <c r="AP353" s="76"/>
      <c r="AV353" s="76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</row>
    <row r="354">
      <c r="L354" s="76"/>
      <c r="R354" s="76"/>
      <c r="X354" s="76"/>
      <c r="AD354" s="76"/>
      <c r="AJ354" s="76"/>
      <c r="AP354" s="76"/>
      <c r="AV354" s="76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</row>
    <row r="355">
      <c r="L355" s="76"/>
      <c r="R355" s="76"/>
      <c r="X355" s="76"/>
      <c r="AD355" s="76"/>
      <c r="AJ355" s="76"/>
      <c r="AP355" s="76"/>
      <c r="AV355" s="76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</row>
    <row r="356">
      <c r="L356" s="76"/>
      <c r="R356" s="76"/>
      <c r="X356" s="76"/>
      <c r="AD356" s="76"/>
      <c r="AJ356" s="76"/>
      <c r="AP356" s="76"/>
      <c r="AV356" s="76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</row>
    <row r="357">
      <c r="L357" s="76"/>
      <c r="R357" s="76"/>
      <c r="X357" s="76"/>
      <c r="AD357" s="76"/>
      <c r="AJ357" s="76"/>
      <c r="AP357" s="76"/>
      <c r="AV357" s="76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</row>
    <row r="358">
      <c r="L358" s="76"/>
      <c r="R358" s="76"/>
      <c r="X358" s="76"/>
      <c r="AD358" s="76"/>
      <c r="AJ358" s="76"/>
      <c r="AP358" s="76"/>
      <c r="AV358" s="76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</row>
    <row r="359">
      <c r="L359" s="76"/>
      <c r="R359" s="76"/>
      <c r="X359" s="76"/>
      <c r="AD359" s="76"/>
      <c r="AJ359" s="76"/>
      <c r="AP359" s="76"/>
      <c r="AV359" s="76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</row>
    <row r="360">
      <c r="L360" s="76"/>
      <c r="R360" s="76"/>
      <c r="X360" s="76"/>
      <c r="AD360" s="76"/>
      <c r="AJ360" s="76"/>
      <c r="AP360" s="76"/>
      <c r="AV360" s="76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</row>
    <row r="361">
      <c r="L361" s="76"/>
      <c r="R361" s="76"/>
      <c r="X361" s="76"/>
      <c r="AD361" s="76"/>
      <c r="AJ361" s="76"/>
      <c r="AP361" s="76"/>
      <c r="AV361" s="76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</row>
    <row r="362">
      <c r="L362" s="76"/>
      <c r="R362" s="76"/>
      <c r="X362" s="76"/>
      <c r="AD362" s="76"/>
      <c r="AJ362" s="76"/>
      <c r="AP362" s="76"/>
      <c r="AV362" s="76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</row>
    <row r="363">
      <c r="L363" s="76"/>
      <c r="R363" s="76"/>
      <c r="X363" s="76"/>
      <c r="AD363" s="76"/>
      <c r="AJ363" s="76"/>
      <c r="AP363" s="76"/>
      <c r="AV363" s="76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</row>
    <row r="364">
      <c r="L364" s="76"/>
      <c r="R364" s="76"/>
      <c r="X364" s="76"/>
      <c r="AD364" s="76"/>
      <c r="AJ364" s="76"/>
      <c r="AP364" s="76"/>
      <c r="AV364" s="76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</row>
    <row r="365">
      <c r="L365" s="76"/>
      <c r="R365" s="76"/>
      <c r="X365" s="76"/>
      <c r="AD365" s="76"/>
      <c r="AJ365" s="76"/>
      <c r="AP365" s="76"/>
      <c r="AV365" s="76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</row>
    <row r="366">
      <c r="L366" s="76"/>
      <c r="R366" s="76"/>
      <c r="X366" s="76"/>
      <c r="AD366" s="76"/>
      <c r="AJ366" s="76"/>
      <c r="AP366" s="76"/>
      <c r="AV366" s="76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</row>
    <row r="367">
      <c r="L367" s="76"/>
      <c r="R367" s="76"/>
      <c r="X367" s="76"/>
      <c r="AD367" s="76"/>
      <c r="AJ367" s="76"/>
      <c r="AP367" s="76"/>
      <c r="AV367" s="76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</row>
    <row r="368">
      <c r="L368" s="76"/>
      <c r="R368" s="76"/>
      <c r="X368" s="76"/>
      <c r="AD368" s="76"/>
      <c r="AJ368" s="76"/>
      <c r="AP368" s="76"/>
      <c r="AV368" s="76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</row>
    <row r="369">
      <c r="L369" s="76"/>
      <c r="R369" s="76"/>
      <c r="X369" s="76"/>
      <c r="AD369" s="76"/>
      <c r="AJ369" s="76"/>
      <c r="AP369" s="76"/>
      <c r="AV369" s="76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</row>
    <row r="370">
      <c r="L370" s="76"/>
      <c r="R370" s="76"/>
      <c r="X370" s="76"/>
      <c r="AD370" s="76"/>
      <c r="AJ370" s="76"/>
      <c r="AP370" s="76"/>
      <c r="AV370" s="76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</row>
    <row r="371">
      <c r="L371" s="76"/>
      <c r="R371" s="76"/>
      <c r="X371" s="76"/>
      <c r="AD371" s="76"/>
      <c r="AJ371" s="76"/>
      <c r="AP371" s="76"/>
      <c r="AV371" s="76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</row>
    <row r="372">
      <c r="L372" s="76"/>
      <c r="R372" s="76"/>
      <c r="X372" s="76"/>
      <c r="AD372" s="76"/>
      <c r="AJ372" s="76"/>
      <c r="AP372" s="76"/>
      <c r="AV372" s="76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</row>
    <row r="373">
      <c r="L373" s="76"/>
      <c r="R373" s="76"/>
      <c r="X373" s="76"/>
      <c r="AD373" s="76"/>
      <c r="AJ373" s="76"/>
      <c r="AP373" s="76"/>
      <c r="AV373" s="76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</row>
    <row r="374">
      <c r="L374" s="76"/>
      <c r="R374" s="76"/>
      <c r="X374" s="76"/>
      <c r="AD374" s="76"/>
      <c r="AJ374" s="76"/>
      <c r="AP374" s="76"/>
      <c r="AV374" s="76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</row>
    <row r="375">
      <c r="L375" s="76"/>
      <c r="R375" s="76"/>
      <c r="X375" s="76"/>
      <c r="AD375" s="76"/>
      <c r="AJ375" s="76"/>
      <c r="AP375" s="76"/>
      <c r="AV375" s="76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</row>
    <row r="376">
      <c r="L376" s="76"/>
      <c r="R376" s="76"/>
      <c r="X376" s="76"/>
      <c r="AD376" s="76"/>
      <c r="AJ376" s="76"/>
      <c r="AP376" s="76"/>
      <c r="AV376" s="76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</row>
    <row r="377">
      <c r="L377" s="76"/>
      <c r="R377" s="76"/>
      <c r="X377" s="76"/>
      <c r="AD377" s="76"/>
      <c r="AJ377" s="76"/>
      <c r="AP377" s="76"/>
      <c r="AV377" s="76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</row>
    <row r="378">
      <c r="L378" s="76"/>
      <c r="R378" s="76"/>
      <c r="X378" s="76"/>
      <c r="AD378" s="76"/>
      <c r="AJ378" s="76"/>
      <c r="AP378" s="76"/>
      <c r="AV378" s="76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</row>
    <row r="379">
      <c r="L379" s="76"/>
      <c r="R379" s="76"/>
      <c r="X379" s="76"/>
      <c r="AD379" s="76"/>
      <c r="AJ379" s="76"/>
      <c r="AP379" s="76"/>
      <c r="AV379" s="76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</row>
    <row r="380">
      <c r="L380" s="76"/>
      <c r="R380" s="76"/>
      <c r="X380" s="76"/>
      <c r="AD380" s="76"/>
      <c r="AJ380" s="76"/>
      <c r="AP380" s="76"/>
      <c r="AV380" s="76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</row>
    <row r="381">
      <c r="L381" s="76"/>
      <c r="R381" s="76"/>
      <c r="X381" s="76"/>
      <c r="AD381" s="76"/>
      <c r="AJ381" s="76"/>
      <c r="AP381" s="76"/>
      <c r="AV381" s="76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</row>
    <row r="382">
      <c r="L382" s="76"/>
      <c r="R382" s="76"/>
      <c r="X382" s="76"/>
      <c r="AD382" s="76"/>
      <c r="AJ382" s="76"/>
      <c r="AP382" s="76"/>
      <c r="AV382" s="76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</row>
    <row r="383">
      <c r="L383" s="76"/>
      <c r="R383" s="76"/>
      <c r="X383" s="76"/>
      <c r="AD383" s="76"/>
      <c r="AJ383" s="76"/>
      <c r="AP383" s="76"/>
      <c r="AV383" s="76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</row>
    <row r="384">
      <c r="L384" s="76"/>
      <c r="R384" s="76"/>
      <c r="X384" s="76"/>
      <c r="AD384" s="76"/>
      <c r="AJ384" s="76"/>
      <c r="AP384" s="76"/>
      <c r="AV384" s="76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</row>
    <row r="385">
      <c r="L385" s="76"/>
      <c r="R385" s="76"/>
      <c r="X385" s="76"/>
      <c r="AD385" s="76"/>
      <c r="AJ385" s="76"/>
      <c r="AP385" s="76"/>
      <c r="AV385" s="76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</row>
    <row r="386">
      <c r="L386" s="76"/>
      <c r="R386" s="76"/>
      <c r="X386" s="76"/>
      <c r="AD386" s="76"/>
      <c r="AJ386" s="76"/>
      <c r="AP386" s="76"/>
      <c r="AV386" s="76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</row>
    <row r="387">
      <c r="L387" s="76"/>
      <c r="R387" s="76"/>
      <c r="X387" s="76"/>
      <c r="AD387" s="76"/>
      <c r="AJ387" s="76"/>
      <c r="AP387" s="76"/>
      <c r="AV387" s="76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</row>
    <row r="388">
      <c r="L388" s="76"/>
      <c r="R388" s="76"/>
      <c r="X388" s="76"/>
      <c r="AD388" s="76"/>
      <c r="AJ388" s="76"/>
      <c r="AP388" s="76"/>
      <c r="AV388" s="76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</row>
    <row r="389">
      <c r="L389" s="76"/>
      <c r="R389" s="76"/>
      <c r="X389" s="76"/>
      <c r="AD389" s="76"/>
      <c r="AJ389" s="76"/>
      <c r="AP389" s="76"/>
      <c r="AV389" s="76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</row>
    <row r="390">
      <c r="L390" s="76"/>
      <c r="R390" s="76"/>
      <c r="X390" s="76"/>
      <c r="AD390" s="76"/>
      <c r="AJ390" s="76"/>
      <c r="AP390" s="76"/>
      <c r="AV390" s="76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</row>
    <row r="391">
      <c r="L391" s="76"/>
      <c r="R391" s="76"/>
      <c r="X391" s="76"/>
      <c r="AD391" s="76"/>
      <c r="AJ391" s="76"/>
      <c r="AP391" s="76"/>
      <c r="AV391" s="76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</row>
    <row r="392">
      <c r="L392" s="76"/>
      <c r="R392" s="76"/>
      <c r="X392" s="76"/>
      <c r="AD392" s="76"/>
      <c r="AJ392" s="76"/>
      <c r="AP392" s="76"/>
      <c r="AV392" s="76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</row>
    <row r="393">
      <c r="L393" s="76"/>
      <c r="R393" s="76"/>
      <c r="X393" s="76"/>
      <c r="AD393" s="76"/>
      <c r="AJ393" s="76"/>
      <c r="AP393" s="76"/>
      <c r="AV393" s="76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</row>
    <row r="394">
      <c r="L394" s="76"/>
      <c r="R394" s="76"/>
      <c r="X394" s="76"/>
      <c r="AD394" s="76"/>
      <c r="AJ394" s="76"/>
      <c r="AP394" s="76"/>
      <c r="AV394" s="76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</row>
    <row r="395">
      <c r="L395" s="76"/>
      <c r="R395" s="76"/>
      <c r="X395" s="76"/>
      <c r="AD395" s="76"/>
      <c r="AJ395" s="76"/>
      <c r="AP395" s="76"/>
      <c r="AV395" s="76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</row>
    <row r="396">
      <c r="L396" s="76"/>
      <c r="R396" s="76"/>
      <c r="X396" s="76"/>
      <c r="AD396" s="76"/>
      <c r="AJ396" s="76"/>
      <c r="AP396" s="76"/>
      <c r="AV396" s="76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</row>
    <row r="397">
      <c r="L397" s="76"/>
      <c r="R397" s="76"/>
      <c r="X397" s="76"/>
      <c r="AD397" s="76"/>
      <c r="AJ397" s="76"/>
      <c r="AP397" s="76"/>
      <c r="AV397" s="76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</row>
    <row r="398">
      <c r="L398" s="76"/>
      <c r="R398" s="76"/>
      <c r="X398" s="76"/>
      <c r="AD398" s="76"/>
      <c r="AJ398" s="76"/>
      <c r="AP398" s="76"/>
      <c r="AV398" s="76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</row>
    <row r="399">
      <c r="L399" s="76"/>
      <c r="R399" s="76"/>
      <c r="X399" s="76"/>
      <c r="AD399" s="76"/>
      <c r="AJ399" s="76"/>
      <c r="AP399" s="76"/>
      <c r="AV399" s="76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</row>
    <row r="400">
      <c r="L400" s="76"/>
      <c r="R400" s="76"/>
      <c r="X400" s="76"/>
      <c r="AD400" s="76"/>
      <c r="AJ400" s="76"/>
      <c r="AP400" s="76"/>
      <c r="AV400" s="76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</row>
    <row r="401">
      <c r="L401" s="76"/>
      <c r="R401" s="76"/>
      <c r="X401" s="76"/>
      <c r="AD401" s="76"/>
      <c r="AJ401" s="76"/>
      <c r="AP401" s="76"/>
      <c r="AV401" s="76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</row>
    <row r="402">
      <c r="L402" s="76"/>
      <c r="R402" s="76"/>
      <c r="X402" s="76"/>
      <c r="AD402" s="76"/>
      <c r="AJ402" s="76"/>
      <c r="AP402" s="76"/>
      <c r="AV402" s="76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</row>
    <row r="403">
      <c r="L403" s="76"/>
      <c r="R403" s="76"/>
      <c r="X403" s="76"/>
      <c r="AD403" s="76"/>
      <c r="AJ403" s="76"/>
      <c r="AP403" s="76"/>
      <c r="AV403" s="76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</row>
    <row r="404">
      <c r="L404" s="76"/>
      <c r="R404" s="76"/>
      <c r="X404" s="76"/>
      <c r="AD404" s="76"/>
      <c r="AJ404" s="76"/>
      <c r="AP404" s="76"/>
      <c r="AV404" s="76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</row>
    <row r="405">
      <c r="L405" s="76"/>
      <c r="R405" s="76"/>
      <c r="X405" s="76"/>
      <c r="AD405" s="76"/>
      <c r="AJ405" s="76"/>
      <c r="AP405" s="76"/>
      <c r="AV405" s="76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</row>
    <row r="406">
      <c r="L406" s="76"/>
      <c r="R406" s="76"/>
      <c r="X406" s="76"/>
      <c r="AD406" s="76"/>
      <c r="AJ406" s="76"/>
      <c r="AP406" s="76"/>
      <c r="AV406" s="76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</row>
    <row r="407">
      <c r="L407" s="76"/>
      <c r="R407" s="76"/>
      <c r="X407" s="76"/>
      <c r="AD407" s="76"/>
      <c r="AJ407" s="76"/>
      <c r="AP407" s="76"/>
      <c r="AV407" s="76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</row>
    <row r="408">
      <c r="L408" s="76"/>
      <c r="R408" s="76"/>
      <c r="X408" s="76"/>
      <c r="AD408" s="76"/>
      <c r="AJ408" s="76"/>
      <c r="AP408" s="76"/>
      <c r="AV408" s="76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</row>
    <row r="409">
      <c r="L409" s="76"/>
      <c r="R409" s="76"/>
      <c r="X409" s="76"/>
      <c r="AD409" s="76"/>
      <c r="AJ409" s="76"/>
      <c r="AP409" s="76"/>
      <c r="AV409" s="76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</row>
    <row r="410">
      <c r="L410" s="76"/>
      <c r="R410" s="76"/>
      <c r="X410" s="76"/>
      <c r="AD410" s="76"/>
      <c r="AJ410" s="76"/>
      <c r="AP410" s="76"/>
      <c r="AV410" s="76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</row>
    <row r="411">
      <c r="L411" s="76"/>
      <c r="R411" s="76"/>
      <c r="X411" s="76"/>
      <c r="AD411" s="76"/>
      <c r="AJ411" s="76"/>
      <c r="AP411" s="76"/>
      <c r="AV411" s="76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</row>
    <row r="412">
      <c r="L412" s="76"/>
      <c r="R412" s="76"/>
      <c r="X412" s="76"/>
      <c r="AD412" s="76"/>
      <c r="AJ412" s="76"/>
      <c r="AP412" s="76"/>
      <c r="AV412" s="76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</row>
    <row r="413">
      <c r="L413" s="76"/>
      <c r="R413" s="76"/>
      <c r="X413" s="76"/>
      <c r="AD413" s="76"/>
      <c r="AJ413" s="76"/>
      <c r="AP413" s="76"/>
      <c r="AV413" s="76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</row>
    <row r="414">
      <c r="L414" s="76"/>
      <c r="R414" s="76"/>
      <c r="X414" s="76"/>
      <c r="AD414" s="76"/>
      <c r="AJ414" s="76"/>
      <c r="AP414" s="76"/>
      <c r="AV414" s="76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</row>
    <row r="415">
      <c r="L415" s="76"/>
      <c r="R415" s="76"/>
      <c r="X415" s="76"/>
      <c r="AD415" s="76"/>
      <c r="AJ415" s="76"/>
      <c r="AP415" s="76"/>
      <c r="AV415" s="76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</row>
    <row r="416">
      <c r="L416" s="76"/>
      <c r="R416" s="76"/>
      <c r="X416" s="76"/>
      <c r="AD416" s="76"/>
      <c r="AJ416" s="76"/>
      <c r="AP416" s="76"/>
      <c r="AV416" s="76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</row>
    <row r="417">
      <c r="L417" s="76"/>
      <c r="R417" s="76"/>
      <c r="X417" s="76"/>
      <c r="AD417" s="76"/>
      <c r="AJ417" s="76"/>
      <c r="AP417" s="76"/>
      <c r="AV417" s="76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</row>
    <row r="418">
      <c r="L418" s="76"/>
      <c r="R418" s="76"/>
      <c r="X418" s="76"/>
      <c r="AD418" s="76"/>
      <c r="AJ418" s="76"/>
      <c r="AP418" s="76"/>
      <c r="AV418" s="76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</row>
    <row r="419">
      <c r="L419" s="76"/>
      <c r="R419" s="76"/>
      <c r="X419" s="76"/>
      <c r="AD419" s="76"/>
      <c r="AJ419" s="76"/>
      <c r="AP419" s="76"/>
      <c r="AV419" s="76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</row>
    <row r="420">
      <c r="L420" s="76"/>
      <c r="R420" s="76"/>
      <c r="X420" s="76"/>
      <c r="AD420" s="76"/>
      <c r="AJ420" s="76"/>
      <c r="AP420" s="76"/>
      <c r="AV420" s="76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</row>
    <row r="421">
      <c r="L421" s="76"/>
      <c r="R421" s="76"/>
      <c r="X421" s="76"/>
      <c r="AD421" s="76"/>
      <c r="AJ421" s="76"/>
      <c r="AP421" s="76"/>
      <c r="AV421" s="76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</row>
    <row r="422">
      <c r="L422" s="76"/>
      <c r="R422" s="76"/>
      <c r="X422" s="76"/>
      <c r="AD422" s="76"/>
      <c r="AJ422" s="76"/>
      <c r="AP422" s="76"/>
      <c r="AV422" s="76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</row>
    <row r="423">
      <c r="L423" s="76"/>
      <c r="R423" s="76"/>
      <c r="X423" s="76"/>
      <c r="AD423" s="76"/>
      <c r="AJ423" s="76"/>
      <c r="AP423" s="76"/>
      <c r="AV423" s="76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</row>
    <row r="424">
      <c r="L424" s="76"/>
      <c r="R424" s="76"/>
      <c r="X424" s="76"/>
      <c r="AD424" s="76"/>
      <c r="AJ424" s="76"/>
      <c r="AP424" s="76"/>
      <c r="AV424" s="76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</row>
    <row r="425">
      <c r="L425" s="76"/>
      <c r="R425" s="76"/>
      <c r="X425" s="76"/>
      <c r="AD425" s="76"/>
      <c r="AJ425" s="76"/>
      <c r="AP425" s="76"/>
      <c r="AV425" s="76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</row>
    <row r="426">
      <c r="L426" s="76"/>
      <c r="R426" s="76"/>
      <c r="X426" s="76"/>
      <c r="AD426" s="76"/>
      <c r="AJ426" s="76"/>
      <c r="AP426" s="76"/>
      <c r="AV426" s="76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</row>
    <row r="427">
      <c r="L427" s="76"/>
      <c r="R427" s="76"/>
      <c r="X427" s="76"/>
      <c r="AD427" s="76"/>
      <c r="AJ427" s="76"/>
      <c r="AP427" s="76"/>
      <c r="AV427" s="76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</row>
    <row r="428">
      <c r="L428" s="76"/>
      <c r="R428" s="76"/>
      <c r="X428" s="76"/>
      <c r="AD428" s="76"/>
      <c r="AJ428" s="76"/>
      <c r="AP428" s="76"/>
      <c r="AV428" s="76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</row>
    <row r="429">
      <c r="L429" s="76"/>
      <c r="R429" s="76"/>
      <c r="X429" s="76"/>
      <c r="AD429" s="76"/>
      <c r="AJ429" s="76"/>
      <c r="AP429" s="76"/>
      <c r="AV429" s="76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</row>
    <row r="430">
      <c r="L430" s="76"/>
      <c r="R430" s="76"/>
      <c r="X430" s="76"/>
      <c r="AD430" s="76"/>
      <c r="AJ430" s="76"/>
      <c r="AP430" s="76"/>
      <c r="AV430" s="76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</row>
    <row r="431">
      <c r="L431" s="76"/>
      <c r="R431" s="76"/>
      <c r="X431" s="76"/>
      <c r="AD431" s="76"/>
      <c r="AJ431" s="76"/>
      <c r="AP431" s="76"/>
      <c r="AV431" s="76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</row>
    <row r="432">
      <c r="L432" s="76"/>
      <c r="R432" s="76"/>
      <c r="X432" s="76"/>
      <c r="AD432" s="76"/>
      <c r="AJ432" s="76"/>
      <c r="AP432" s="76"/>
      <c r="AV432" s="76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</row>
    <row r="433">
      <c r="L433" s="76"/>
      <c r="R433" s="76"/>
      <c r="X433" s="76"/>
      <c r="AD433" s="76"/>
      <c r="AJ433" s="76"/>
      <c r="AP433" s="76"/>
      <c r="AV433" s="76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</row>
    <row r="434">
      <c r="L434" s="76"/>
      <c r="R434" s="76"/>
      <c r="X434" s="76"/>
      <c r="AD434" s="76"/>
      <c r="AJ434" s="76"/>
      <c r="AP434" s="76"/>
      <c r="AV434" s="76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</row>
    <row r="435">
      <c r="L435" s="76"/>
      <c r="R435" s="76"/>
      <c r="X435" s="76"/>
      <c r="AD435" s="76"/>
      <c r="AJ435" s="76"/>
      <c r="AP435" s="76"/>
      <c r="AV435" s="76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</row>
    <row r="436">
      <c r="L436" s="76"/>
      <c r="R436" s="76"/>
      <c r="X436" s="76"/>
      <c r="AD436" s="76"/>
      <c r="AJ436" s="76"/>
      <c r="AP436" s="76"/>
      <c r="AV436" s="76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</row>
    <row r="437">
      <c r="L437" s="76"/>
      <c r="R437" s="76"/>
      <c r="X437" s="76"/>
      <c r="AD437" s="76"/>
      <c r="AJ437" s="76"/>
      <c r="AP437" s="76"/>
      <c r="AV437" s="76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</row>
    <row r="438">
      <c r="L438" s="76"/>
      <c r="R438" s="76"/>
      <c r="X438" s="76"/>
      <c r="AD438" s="76"/>
      <c r="AJ438" s="76"/>
      <c r="AP438" s="76"/>
      <c r="AV438" s="76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</row>
    <row r="439">
      <c r="L439" s="76"/>
      <c r="R439" s="76"/>
      <c r="X439" s="76"/>
      <c r="AD439" s="76"/>
      <c r="AJ439" s="76"/>
      <c r="AP439" s="76"/>
      <c r="AV439" s="76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</row>
    <row r="440">
      <c r="L440" s="76"/>
      <c r="R440" s="76"/>
      <c r="X440" s="76"/>
      <c r="AD440" s="76"/>
      <c r="AJ440" s="76"/>
      <c r="AP440" s="76"/>
      <c r="AV440" s="76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</row>
    <row r="441">
      <c r="L441" s="76"/>
      <c r="R441" s="76"/>
      <c r="X441" s="76"/>
      <c r="AD441" s="76"/>
      <c r="AJ441" s="76"/>
      <c r="AP441" s="76"/>
      <c r="AV441" s="76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</row>
    <row r="442">
      <c r="L442" s="76"/>
      <c r="R442" s="76"/>
      <c r="X442" s="76"/>
      <c r="AD442" s="76"/>
      <c r="AJ442" s="76"/>
      <c r="AP442" s="76"/>
      <c r="AV442" s="76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</row>
    <row r="443">
      <c r="L443" s="76"/>
      <c r="R443" s="76"/>
      <c r="X443" s="76"/>
      <c r="AD443" s="76"/>
      <c r="AJ443" s="76"/>
      <c r="AP443" s="76"/>
      <c r="AV443" s="76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</row>
    <row r="444">
      <c r="L444" s="76"/>
      <c r="R444" s="76"/>
      <c r="X444" s="76"/>
      <c r="AD444" s="76"/>
      <c r="AJ444" s="76"/>
      <c r="AP444" s="76"/>
      <c r="AV444" s="76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</row>
    <row r="445">
      <c r="L445" s="76"/>
      <c r="R445" s="76"/>
      <c r="X445" s="76"/>
      <c r="AD445" s="76"/>
      <c r="AJ445" s="76"/>
      <c r="AP445" s="76"/>
      <c r="AV445" s="76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</row>
    <row r="446">
      <c r="L446" s="76"/>
      <c r="R446" s="76"/>
      <c r="X446" s="76"/>
      <c r="AD446" s="76"/>
      <c r="AJ446" s="76"/>
      <c r="AP446" s="76"/>
      <c r="AV446" s="76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</row>
    <row r="447">
      <c r="L447" s="76"/>
      <c r="R447" s="76"/>
      <c r="X447" s="76"/>
      <c r="AD447" s="76"/>
      <c r="AJ447" s="76"/>
      <c r="AP447" s="76"/>
      <c r="AV447" s="76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</row>
    <row r="448">
      <c r="L448" s="76"/>
      <c r="R448" s="76"/>
      <c r="X448" s="76"/>
      <c r="AD448" s="76"/>
      <c r="AJ448" s="76"/>
      <c r="AP448" s="76"/>
      <c r="AV448" s="76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</row>
    <row r="449">
      <c r="L449" s="76"/>
      <c r="R449" s="76"/>
      <c r="X449" s="76"/>
      <c r="AD449" s="76"/>
      <c r="AJ449" s="76"/>
      <c r="AP449" s="76"/>
      <c r="AV449" s="76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</row>
    <row r="450">
      <c r="L450" s="76"/>
      <c r="R450" s="76"/>
      <c r="X450" s="76"/>
      <c r="AD450" s="76"/>
      <c r="AJ450" s="76"/>
      <c r="AP450" s="76"/>
      <c r="AV450" s="76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</row>
    <row r="451">
      <c r="L451" s="76"/>
      <c r="R451" s="76"/>
      <c r="X451" s="76"/>
      <c r="AD451" s="76"/>
      <c r="AJ451" s="76"/>
      <c r="AP451" s="76"/>
      <c r="AV451" s="76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</row>
    <row r="452">
      <c r="L452" s="76"/>
      <c r="R452" s="76"/>
      <c r="X452" s="76"/>
      <c r="AD452" s="76"/>
      <c r="AJ452" s="76"/>
      <c r="AP452" s="76"/>
      <c r="AV452" s="76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</row>
    <row r="453">
      <c r="L453" s="76"/>
      <c r="R453" s="76"/>
      <c r="X453" s="76"/>
      <c r="AD453" s="76"/>
      <c r="AJ453" s="76"/>
      <c r="AP453" s="76"/>
      <c r="AV453" s="76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</row>
    <row r="454">
      <c r="L454" s="76"/>
      <c r="R454" s="76"/>
      <c r="X454" s="76"/>
      <c r="AD454" s="76"/>
      <c r="AJ454" s="76"/>
      <c r="AP454" s="76"/>
      <c r="AV454" s="76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</row>
    <row r="455">
      <c r="L455" s="76"/>
      <c r="R455" s="76"/>
      <c r="X455" s="76"/>
      <c r="AD455" s="76"/>
      <c r="AJ455" s="76"/>
      <c r="AP455" s="76"/>
      <c r="AV455" s="76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</row>
    <row r="456">
      <c r="L456" s="76"/>
      <c r="R456" s="76"/>
      <c r="X456" s="76"/>
      <c r="AD456" s="76"/>
      <c r="AJ456" s="76"/>
      <c r="AP456" s="76"/>
      <c r="AV456" s="76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</row>
    <row r="457">
      <c r="L457" s="76"/>
      <c r="R457" s="76"/>
      <c r="X457" s="76"/>
      <c r="AD457" s="76"/>
      <c r="AJ457" s="76"/>
      <c r="AP457" s="76"/>
      <c r="AV457" s="76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</row>
    <row r="458">
      <c r="L458" s="76"/>
      <c r="R458" s="76"/>
      <c r="X458" s="76"/>
      <c r="AD458" s="76"/>
      <c r="AJ458" s="76"/>
      <c r="AP458" s="76"/>
      <c r="AV458" s="76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</row>
    <row r="459">
      <c r="L459" s="76"/>
      <c r="R459" s="76"/>
      <c r="X459" s="76"/>
      <c r="AD459" s="76"/>
      <c r="AJ459" s="76"/>
      <c r="AP459" s="76"/>
      <c r="AV459" s="76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</row>
    <row r="460">
      <c r="L460" s="76"/>
      <c r="R460" s="76"/>
      <c r="X460" s="76"/>
      <c r="AD460" s="76"/>
      <c r="AJ460" s="76"/>
      <c r="AP460" s="76"/>
      <c r="AV460" s="76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</row>
    <row r="461">
      <c r="L461" s="76"/>
      <c r="R461" s="76"/>
      <c r="X461" s="76"/>
      <c r="AD461" s="76"/>
      <c r="AJ461" s="76"/>
      <c r="AP461" s="76"/>
      <c r="AV461" s="76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</row>
    <row r="462">
      <c r="L462" s="76"/>
      <c r="R462" s="76"/>
      <c r="X462" s="76"/>
      <c r="AD462" s="76"/>
      <c r="AJ462" s="76"/>
      <c r="AP462" s="76"/>
      <c r="AV462" s="76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</row>
    <row r="463">
      <c r="L463" s="76"/>
      <c r="R463" s="76"/>
      <c r="X463" s="76"/>
      <c r="AD463" s="76"/>
      <c r="AJ463" s="76"/>
      <c r="AP463" s="76"/>
      <c r="AV463" s="76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</row>
    <row r="464">
      <c r="L464" s="76"/>
      <c r="R464" s="76"/>
      <c r="X464" s="76"/>
      <c r="AD464" s="76"/>
      <c r="AJ464" s="76"/>
      <c r="AP464" s="76"/>
      <c r="AV464" s="76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</row>
    <row r="465">
      <c r="L465" s="76"/>
      <c r="R465" s="76"/>
      <c r="X465" s="76"/>
      <c r="AD465" s="76"/>
      <c r="AJ465" s="76"/>
      <c r="AP465" s="76"/>
      <c r="AV465" s="76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</row>
    <row r="466">
      <c r="L466" s="76"/>
      <c r="R466" s="76"/>
      <c r="X466" s="76"/>
      <c r="AD466" s="76"/>
      <c r="AJ466" s="76"/>
      <c r="AP466" s="76"/>
      <c r="AV466" s="76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</row>
    <row r="467">
      <c r="L467" s="76"/>
      <c r="R467" s="76"/>
      <c r="X467" s="76"/>
      <c r="AD467" s="76"/>
      <c r="AJ467" s="76"/>
      <c r="AP467" s="76"/>
      <c r="AV467" s="76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</row>
    <row r="468">
      <c r="L468" s="76"/>
      <c r="R468" s="76"/>
      <c r="X468" s="76"/>
      <c r="AD468" s="76"/>
      <c r="AJ468" s="76"/>
      <c r="AP468" s="76"/>
      <c r="AV468" s="76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</row>
    <row r="469">
      <c r="L469" s="76"/>
      <c r="R469" s="76"/>
      <c r="X469" s="76"/>
      <c r="AD469" s="76"/>
      <c r="AJ469" s="76"/>
      <c r="AP469" s="76"/>
      <c r="AV469" s="76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</row>
    <row r="470">
      <c r="L470" s="76"/>
      <c r="R470" s="76"/>
      <c r="X470" s="76"/>
      <c r="AD470" s="76"/>
      <c r="AJ470" s="76"/>
      <c r="AP470" s="76"/>
      <c r="AV470" s="76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</row>
    <row r="471">
      <c r="L471" s="76"/>
      <c r="R471" s="76"/>
      <c r="X471" s="76"/>
      <c r="AD471" s="76"/>
      <c r="AJ471" s="76"/>
      <c r="AP471" s="76"/>
      <c r="AV471" s="76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</row>
    <row r="472">
      <c r="L472" s="76"/>
      <c r="R472" s="76"/>
      <c r="X472" s="76"/>
      <c r="AD472" s="76"/>
      <c r="AJ472" s="76"/>
      <c r="AP472" s="76"/>
      <c r="AV472" s="76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</row>
    <row r="473">
      <c r="L473" s="76"/>
      <c r="R473" s="76"/>
      <c r="X473" s="76"/>
      <c r="AD473" s="76"/>
      <c r="AJ473" s="76"/>
      <c r="AP473" s="76"/>
      <c r="AV473" s="76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</row>
    <row r="474">
      <c r="L474" s="76"/>
      <c r="R474" s="76"/>
      <c r="X474" s="76"/>
      <c r="AD474" s="76"/>
      <c r="AJ474" s="76"/>
      <c r="AP474" s="76"/>
      <c r="AV474" s="76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</row>
    <row r="475">
      <c r="L475" s="76"/>
      <c r="R475" s="76"/>
      <c r="X475" s="76"/>
      <c r="AD475" s="76"/>
      <c r="AJ475" s="76"/>
      <c r="AP475" s="76"/>
      <c r="AV475" s="76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</row>
    <row r="476">
      <c r="L476" s="76"/>
      <c r="R476" s="76"/>
      <c r="X476" s="76"/>
      <c r="AD476" s="76"/>
      <c r="AJ476" s="76"/>
      <c r="AP476" s="76"/>
      <c r="AV476" s="76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</row>
    <row r="477">
      <c r="L477" s="76"/>
      <c r="R477" s="76"/>
      <c r="X477" s="76"/>
      <c r="AD477" s="76"/>
      <c r="AJ477" s="76"/>
      <c r="AP477" s="76"/>
      <c r="AV477" s="76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</row>
    <row r="478">
      <c r="L478" s="76"/>
      <c r="R478" s="76"/>
      <c r="X478" s="76"/>
      <c r="AD478" s="76"/>
      <c r="AJ478" s="76"/>
      <c r="AP478" s="76"/>
      <c r="AV478" s="76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</row>
    <row r="479">
      <c r="L479" s="76"/>
      <c r="R479" s="76"/>
      <c r="X479" s="76"/>
      <c r="AD479" s="76"/>
      <c r="AJ479" s="76"/>
      <c r="AP479" s="76"/>
      <c r="AV479" s="76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</row>
    <row r="480">
      <c r="L480" s="76"/>
      <c r="R480" s="76"/>
      <c r="X480" s="76"/>
      <c r="AD480" s="76"/>
      <c r="AJ480" s="76"/>
      <c r="AP480" s="76"/>
      <c r="AV480" s="76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</row>
    <row r="481">
      <c r="L481" s="76"/>
      <c r="R481" s="76"/>
      <c r="X481" s="76"/>
      <c r="AD481" s="76"/>
      <c r="AJ481" s="76"/>
      <c r="AP481" s="76"/>
      <c r="AV481" s="76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</row>
    <row r="482">
      <c r="L482" s="76"/>
      <c r="R482" s="76"/>
      <c r="X482" s="76"/>
      <c r="AD482" s="76"/>
      <c r="AJ482" s="76"/>
      <c r="AP482" s="76"/>
      <c r="AV482" s="76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</row>
    <row r="483">
      <c r="L483" s="76"/>
      <c r="R483" s="76"/>
      <c r="X483" s="76"/>
      <c r="AD483" s="76"/>
      <c r="AJ483" s="76"/>
      <c r="AP483" s="76"/>
      <c r="AV483" s="76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</row>
    <row r="484">
      <c r="L484" s="76"/>
      <c r="R484" s="76"/>
      <c r="X484" s="76"/>
      <c r="AD484" s="76"/>
      <c r="AJ484" s="76"/>
      <c r="AP484" s="76"/>
      <c r="AV484" s="76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</row>
    <row r="485">
      <c r="L485" s="76"/>
      <c r="R485" s="76"/>
      <c r="X485" s="76"/>
      <c r="AD485" s="76"/>
      <c r="AJ485" s="76"/>
      <c r="AP485" s="76"/>
      <c r="AV485" s="76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</row>
    <row r="486">
      <c r="L486" s="76"/>
      <c r="R486" s="76"/>
      <c r="X486" s="76"/>
      <c r="AD486" s="76"/>
      <c r="AJ486" s="76"/>
      <c r="AP486" s="76"/>
      <c r="AV486" s="76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</row>
    <row r="487">
      <c r="L487" s="76"/>
      <c r="R487" s="76"/>
      <c r="X487" s="76"/>
      <c r="AD487" s="76"/>
      <c r="AJ487" s="76"/>
      <c r="AP487" s="76"/>
      <c r="AV487" s="76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</row>
    <row r="488">
      <c r="L488" s="76"/>
      <c r="R488" s="76"/>
      <c r="X488" s="76"/>
      <c r="AD488" s="76"/>
      <c r="AJ488" s="76"/>
      <c r="AP488" s="76"/>
      <c r="AV488" s="76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</row>
    <row r="489">
      <c r="L489" s="76"/>
      <c r="R489" s="76"/>
      <c r="X489" s="76"/>
      <c r="AD489" s="76"/>
      <c r="AJ489" s="76"/>
      <c r="AP489" s="76"/>
      <c r="AV489" s="76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</row>
    <row r="490">
      <c r="L490" s="76"/>
      <c r="R490" s="76"/>
      <c r="X490" s="76"/>
      <c r="AD490" s="76"/>
      <c r="AJ490" s="76"/>
      <c r="AP490" s="76"/>
      <c r="AV490" s="76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</row>
    <row r="491">
      <c r="L491" s="76"/>
      <c r="R491" s="76"/>
      <c r="X491" s="76"/>
      <c r="AD491" s="76"/>
      <c r="AJ491" s="76"/>
      <c r="AP491" s="76"/>
      <c r="AV491" s="76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</row>
    <row r="492">
      <c r="L492" s="76"/>
      <c r="R492" s="76"/>
      <c r="X492" s="76"/>
      <c r="AD492" s="76"/>
      <c r="AJ492" s="76"/>
      <c r="AP492" s="76"/>
      <c r="AV492" s="76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</row>
    <row r="493">
      <c r="L493" s="76"/>
      <c r="R493" s="76"/>
      <c r="X493" s="76"/>
      <c r="AD493" s="76"/>
      <c r="AJ493" s="76"/>
      <c r="AP493" s="76"/>
      <c r="AV493" s="76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</row>
    <row r="494">
      <c r="L494" s="76"/>
      <c r="R494" s="76"/>
      <c r="X494" s="76"/>
      <c r="AD494" s="76"/>
      <c r="AJ494" s="76"/>
      <c r="AP494" s="76"/>
      <c r="AV494" s="76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</row>
    <row r="495">
      <c r="L495" s="76"/>
      <c r="R495" s="76"/>
      <c r="X495" s="76"/>
      <c r="AD495" s="76"/>
      <c r="AJ495" s="76"/>
      <c r="AP495" s="76"/>
      <c r="AV495" s="76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</row>
    <row r="496">
      <c r="L496" s="76"/>
      <c r="R496" s="76"/>
      <c r="X496" s="76"/>
      <c r="AD496" s="76"/>
      <c r="AJ496" s="76"/>
      <c r="AP496" s="76"/>
      <c r="AV496" s="76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</row>
    <row r="497">
      <c r="L497" s="76"/>
      <c r="R497" s="76"/>
      <c r="X497" s="76"/>
      <c r="AD497" s="76"/>
      <c r="AJ497" s="76"/>
      <c r="AP497" s="76"/>
      <c r="AV497" s="76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</row>
    <row r="498">
      <c r="L498" s="76"/>
      <c r="R498" s="76"/>
      <c r="X498" s="76"/>
      <c r="AD498" s="76"/>
      <c r="AJ498" s="76"/>
      <c r="AP498" s="76"/>
      <c r="AV498" s="76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</row>
    <row r="499">
      <c r="L499" s="76"/>
      <c r="R499" s="76"/>
      <c r="X499" s="76"/>
      <c r="AD499" s="76"/>
      <c r="AJ499" s="76"/>
      <c r="AP499" s="76"/>
      <c r="AV499" s="76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</row>
    <row r="500">
      <c r="L500" s="76"/>
      <c r="R500" s="76"/>
      <c r="X500" s="76"/>
      <c r="AD500" s="76"/>
      <c r="AJ500" s="76"/>
      <c r="AP500" s="76"/>
      <c r="AV500" s="76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</row>
    <row r="501">
      <c r="L501" s="76"/>
      <c r="R501" s="76"/>
      <c r="X501" s="76"/>
      <c r="AD501" s="76"/>
      <c r="AJ501" s="76"/>
      <c r="AP501" s="76"/>
      <c r="AV501" s="76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</row>
    <row r="502">
      <c r="L502" s="76"/>
      <c r="R502" s="76"/>
      <c r="X502" s="76"/>
      <c r="AD502" s="76"/>
      <c r="AJ502" s="76"/>
      <c r="AP502" s="76"/>
      <c r="AV502" s="76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</row>
    <row r="503">
      <c r="L503" s="76"/>
      <c r="R503" s="76"/>
      <c r="X503" s="76"/>
      <c r="AD503" s="76"/>
      <c r="AJ503" s="76"/>
      <c r="AP503" s="76"/>
      <c r="AV503" s="76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</row>
    <row r="504">
      <c r="L504" s="76"/>
      <c r="R504" s="76"/>
      <c r="X504" s="76"/>
      <c r="AD504" s="76"/>
      <c r="AJ504" s="76"/>
      <c r="AP504" s="76"/>
      <c r="AV504" s="76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</row>
    <row r="505">
      <c r="L505" s="76"/>
      <c r="R505" s="76"/>
      <c r="X505" s="76"/>
      <c r="AD505" s="76"/>
      <c r="AJ505" s="76"/>
      <c r="AP505" s="76"/>
      <c r="AV505" s="76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</row>
    <row r="506">
      <c r="L506" s="76"/>
      <c r="R506" s="76"/>
      <c r="X506" s="76"/>
      <c r="AD506" s="76"/>
      <c r="AJ506" s="76"/>
      <c r="AP506" s="76"/>
      <c r="AV506" s="76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</row>
    <row r="507">
      <c r="L507" s="76"/>
      <c r="R507" s="76"/>
      <c r="X507" s="76"/>
      <c r="AD507" s="76"/>
      <c r="AJ507" s="76"/>
      <c r="AP507" s="76"/>
      <c r="AV507" s="76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</row>
    <row r="508">
      <c r="L508" s="76"/>
      <c r="R508" s="76"/>
      <c r="X508" s="76"/>
      <c r="AD508" s="76"/>
      <c r="AJ508" s="76"/>
      <c r="AP508" s="76"/>
      <c r="AV508" s="76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</row>
    <row r="509">
      <c r="L509" s="76"/>
      <c r="R509" s="76"/>
      <c r="X509" s="76"/>
      <c r="AD509" s="76"/>
      <c r="AJ509" s="76"/>
      <c r="AP509" s="76"/>
      <c r="AV509" s="76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</row>
    <row r="510">
      <c r="L510" s="76"/>
      <c r="R510" s="76"/>
      <c r="X510" s="76"/>
      <c r="AD510" s="76"/>
      <c r="AJ510" s="76"/>
      <c r="AP510" s="76"/>
      <c r="AV510" s="76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</row>
    <row r="511">
      <c r="L511" s="76"/>
      <c r="R511" s="76"/>
      <c r="X511" s="76"/>
      <c r="AD511" s="76"/>
      <c r="AJ511" s="76"/>
      <c r="AP511" s="76"/>
      <c r="AV511" s="76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</row>
    <row r="512">
      <c r="L512" s="76"/>
      <c r="R512" s="76"/>
      <c r="X512" s="76"/>
      <c r="AD512" s="76"/>
      <c r="AJ512" s="76"/>
      <c r="AP512" s="76"/>
      <c r="AV512" s="76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</row>
    <row r="513">
      <c r="L513" s="76"/>
      <c r="R513" s="76"/>
      <c r="X513" s="76"/>
      <c r="AD513" s="76"/>
      <c r="AJ513" s="76"/>
      <c r="AP513" s="76"/>
      <c r="AV513" s="76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</row>
    <row r="514">
      <c r="L514" s="76"/>
      <c r="R514" s="76"/>
      <c r="X514" s="76"/>
      <c r="AD514" s="76"/>
      <c r="AJ514" s="76"/>
      <c r="AP514" s="76"/>
      <c r="AV514" s="76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</row>
    <row r="515">
      <c r="L515" s="76"/>
      <c r="R515" s="76"/>
      <c r="X515" s="76"/>
      <c r="AD515" s="76"/>
      <c r="AJ515" s="76"/>
      <c r="AP515" s="76"/>
      <c r="AV515" s="76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</row>
    <row r="516">
      <c r="L516" s="76"/>
      <c r="R516" s="76"/>
      <c r="X516" s="76"/>
      <c r="AD516" s="76"/>
      <c r="AJ516" s="76"/>
      <c r="AP516" s="76"/>
      <c r="AV516" s="76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</row>
    <row r="517">
      <c r="L517" s="76"/>
      <c r="R517" s="76"/>
      <c r="X517" s="76"/>
      <c r="AD517" s="76"/>
      <c r="AJ517" s="76"/>
      <c r="AP517" s="76"/>
      <c r="AV517" s="76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</row>
    <row r="518">
      <c r="L518" s="76"/>
      <c r="R518" s="76"/>
      <c r="X518" s="76"/>
      <c r="AD518" s="76"/>
      <c r="AJ518" s="76"/>
      <c r="AP518" s="76"/>
      <c r="AV518" s="76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</row>
    <row r="519">
      <c r="L519" s="76"/>
      <c r="R519" s="76"/>
      <c r="X519" s="76"/>
      <c r="AD519" s="76"/>
      <c r="AJ519" s="76"/>
      <c r="AP519" s="76"/>
      <c r="AV519" s="76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</row>
    <row r="520">
      <c r="L520" s="76"/>
      <c r="R520" s="76"/>
      <c r="X520" s="76"/>
      <c r="AD520" s="76"/>
      <c r="AJ520" s="76"/>
      <c r="AP520" s="76"/>
      <c r="AV520" s="76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</row>
    <row r="521">
      <c r="L521" s="76"/>
      <c r="R521" s="76"/>
      <c r="X521" s="76"/>
      <c r="AD521" s="76"/>
      <c r="AJ521" s="76"/>
      <c r="AP521" s="76"/>
      <c r="AV521" s="76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</row>
    <row r="522">
      <c r="L522" s="76"/>
      <c r="R522" s="76"/>
      <c r="X522" s="76"/>
      <c r="AD522" s="76"/>
      <c r="AJ522" s="76"/>
      <c r="AP522" s="76"/>
      <c r="AV522" s="76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</row>
    <row r="523">
      <c r="L523" s="76"/>
      <c r="R523" s="76"/>
      <c r="X523" s="76"/>
      <c r="AD523" s="76"/>
      <c r="AJ523" s="76"/>
      <c r="AP523" s="76"/>
      <c r="AV523" s="76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</row>
    <row r="524">
      <c r="L524" s="76"/>
      <c r="R524" s="76"/>
      <c r="X524" s="76"/>
      <c r="AD524" s="76"/>
      <c r="AJ524" s="76"/>
      <c r="AP524" s="76"/>
      <c r="AV524" s="76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</row>
    <row r="525">
      <c r="L525" s="76"/>
      <c r="R525" s="76"/>
      <c r="X525" s="76"/>
      <c r="AD525" s="76"/>
      <c r="AJ525" s="76"/>
      <c r="AP525" s="76"/>
      <c r="AV525" s="76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</row>
    <row r="526">
      <c r="L526" s="76"/>
      <c r="R526" s="76"/>
      <c r="X526" s="76"/>
      <c r="AD526" s="76"/>
      <c r="AJ526" s="76"/>
      <c r="AP526" s="76"/>
      <c r="AV526" s="76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</row>
    <row r="527">
      <c r="L527" s="76"/>
      <c r="R527" s="76"/>
      <c r="X527" s="76"/>
      <c r="AD527" s="76"/>
      <c r="AJ527" s="76"/>
      <c r="AP527" s="76"/>
      <c r="AV527" s="76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</row>
    <row r="528">
      <c r="L528" s="76"/>
      <c r="R528" s="76"/>
      <c r="X528" s="76"/>
      <c r="AD528" s="76"/>
      <c r="AJ528" s="76"/>
      <c r="AP528" s="76"/>
      <c r="AV528" s="76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</row>
    <row r="529">
      <c r="L529" s="76"/>
      <c r="R529" s="76"/>
      <c r="X529" s="76"/>
      <c r="AD529" s="76"/>
      <c r="AJ529" s="76"/>
      <c r="AP529" s="76"/>
      <c r="AV529" s="76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</row>
    <row r="530">
      <c r="L530" s="76"/>
      <c r="R530" s="76"/>
      <c r="X530" s="76"/>
      <c r="AD530" s="76"/>
      <c r="AJ530" s="76"/>
      <c r="AP530" s="76"/>
      <c r="AV530" s="76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</row>
    <row r="531">
      <c r="L531" s="76"/>
      <c r="R531" s="76"/>
      <c r="X531" s="76"/>
      <c r="AD531" s="76"/>
      <c r="AJ531" s="76"/>
      <c r="AP531" s="76"/>
      <c r="AV531" s="76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</row>
    <row r="532">
      <c r="L532" s="76"/>
      <c r="R532" s="76"/>
      <c r="X532" s="76"/>
      <c r="AD532" s="76"/>
      <c r="AJ532" s="76"/>
      <c r="AP532" s="76"/>
      <c r="AV532" s="76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</row>
    <row r="533">
      <c r="L533" s="76"/>
      <c r="R533" s="76"/>
      <c r="X533" s="76"/>
      <c r="AD533" s="76"/>
      <c r="AJ533" s="76"/>
      <c r="AP533" s="76"/>
      <c r="AV533" s="76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</row>
    <row r="534">
      <c r="L534" s="76"/>
      <c r="R534" s="76"/>
      <c r="X534" s="76"/>
      <c r="AD534" s="76"/>
      <c r="AJ534" s="76"/>
      <c r="AP534" s="76"/>
      <c r="AV534" s="76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</row>
    <row r="535">
      <c r="L535" s="76"/>
      <c r="R535" s="76"/>
      <c r="X535" s="76"/>
      <c r="AD535" s="76"/>
      <c r="AJ535" s="76"/>
      <c r="AP535" s="76"/>
      <c r="AV535" s="76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</row>
    <row r="536">
      <c r="L536" s="76"/>
      <c r="R536" s="76"/>
      <c r="X536" s="76"/>
      <c r="AD536" s="76"/>
      <c r="AJ536" s="76"/>
      <c r="AP536" s="76"/>
      <c r="AV536" s="76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</row>
    <row r="537">
      <c r="L537" s="76"/>
      <c r="R537" s="76"/>
      <c r="X537" s="76"/>
      <c r="AD537" s="76"/>
      <c r="AJ537" s="76"/>
      <c r="AP537" s="76"/>
      <c r="AV537" s="76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</row>
    <row r="538">
      <c r="L538" s="76"/>
      <c r="R538" s="76"/>
      <c r="X538" s="76"/>
      <c r="AD538" s="76"/>
      <c r="AJ538" s="76"/>
      <c r="AP538" s="76"/>
      <c r="AV538" s="76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</row>
    <row r="539">
      <c r="L539" s="76"/>
      <c r="R539" s="76"/>
      <c r="X539" s="76"/>
      <c r="AD539" s="76"/>
      <c r="AJ539" s="76"/>
      <c r="AP539" s="76"/>
      <c r="AV539" s="76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</row>
    <row r="540">
      <c r="L540" s="76"/>
      <c r="R540" s="76"/>
      <c r="X540" s="76"/>
      <c r="AD540" s="76"/>
      <c r="AJ540" s="76"/>
      <c r="AP540" s="76"/>
      <c r="AV540" s="76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</row>
    <row r="541">
      <c r="L541" s="76"/>
      <c r="R541" s="76"/>
      <c r="X541" s="76"/>
      <c r="AD541" s="76"/>
      <c r="AJ541" s="76"/>
      <c r="AP541" s="76"/>
      <c r="AV541" s="76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</row>
    <row r="542">
      <c r="L542" s="76"/>
      <c r="R542" s="76"/>
      <c r="X542" s="76"/>
      <c r="AD542" s="76"/>
      <c r="AJ542" s="76"/>
      <c r="AP542" s="76"/>
      <c r="AV542" s="76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</row>
    <row r="543">
      <c r="L543" s="76"/>
      <c r="R543" s="76"/>
      <c r="X543" s="76"/>
      <c r="AD543" s="76"/>
      <c r="AJ543" s="76"/>
      <c r="AP543" s="76"/>
      <c r="AV543" s="76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</row>
    <row r="544">
      <c r="L544" s="76"/>
      <c r="R544" s="76"/>
      <c r="X544" s="76"/>
      <c r="AD544" s="76"/>
      <c r="AJ544" s="76"/>
      <c r="AP544" s="76"/>
      <c r="AV544" s="76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</row>
    <row r="545">
      <c r="L545" s="76"/>
      <c r="R545" s="76"/>
      <c r="X545" s="76"/>
      <c r="AD545" s="76"/>
      <c r="AJ545" s="76"/>
      <c r="AP545" s="76"/>
      <c r="AV545" s="76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</row>
    <row r="546">
      <c r="L546" s="76"/>
      <c r="R546" s="76"/>
      <c r="X546" s="76"/>
      <c r="AD546" s="76"/>
      <c r="AJ546" s="76"/>
      <c r="AP546" s="76"/>
      <c r="AV546" s="76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</row>
    <row r="547">
      <c r="L547" s="76"/>
      <c r="R547" s="76"/>
      <c r="X547" s="76"/>
      <c r="AD547" s="76"/>
      <c r="AJ547" s="76"/>
      <c r="AP547" s="76"/>
      <c r="AV547" s="76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</row>
    <row r="548">
      <c r="L548" s="76"/>
      <c r="R548" s="76"/>
      <c r="X548" s="76"/>
      <c r="AD548" s="76"/>
      <c r="AJ548" s="76"/>
      <c r="AP548" s="76"/>
      <c r="AV548" s="76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</row>
    <row r="549">
      <c r="L549" s="76"/>
      <c r="R549" s="76"/>
      <c r="X549" s="76"/>
      <c r="AD549" s="76"/>
      <c r="AJ549" s="76"/>
      <c r="AP549" s="76"/>
      <c r="AV549" s="76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</row>
    <row r="550">
      <c r="L550" s="76"/>
      <c r="R550" s="76"/>
      <c r="X550" s="76"/>
      <c r="AD550" s="76"/>
      <c r="AJ550" s="76"/>
      <c r="AP550" s="76"/>
      <c r="AV550" s="76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</row>
    <row r="551">
      <c r="L551" s="76"/>
      <c r="R551" s="76"/>
      <c r="X551" s="76"/>
      <c r="AD551" s="76"/>
      <c r="AJ551" s="76"/>
      <c r="AP551" s="76"/>
      <c r="AV551" s="76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</row>
    <row r="552">
      <c r="L552" s="76"/>
      <c r="R552" s="76"/>
      <c r="X552" s="76"/>
      <c r="AD552" s="76"/>
      <c r="AJ552" s="76"/>
      <c r="AP552" s="76"/>
      <c r="AV552" s="76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</row>
    <row r="553">
      <c r="L553" s="76"/>
      <c r="R553" s="76"/>
      <c r="X553" s="76"/>
      <c r="AD553" s="76"/>
      <c r="AJ553" s="76"/>
      <c r="AP553" s="76"/>
      <c r="AV553" s="76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</row>
    <row r="554">
      <c r="L554" s="76"/>
      <c r="R554" s="76"/>
      <c r="X554" s="76"/>
      <c r="AD554" s="76"/>
      <c r="AJ554" s="76"/>
      <c r="AP554" s="76"/>
      <c r="AV554" s="76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</row>
    <row r="555">
      <c r="L555" s="76"/>
      <c r="R555" s="76"/>
      <c r="X555" s="76"/>
      <c r="AD555" s="76"/>
      <c r="AJ555" s="76"/>
      <c r="AP555" s="76"/>
      <c r="AV555" s="76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</row>
    <row r="556">
      <c r="L556" s="76"/>
      <c r="R556" s="76"/>
      <c r="X556" s="76"/>
      <c r="AD556" s="76"/>
      <c r="AJ556" s="76"/>
      <c r="AP556" s="76"/>
      <c r="AV556" s="76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</row>
    <row r="557">
      <c r="L557" s="76"/>
      <c r="R557" s="76"/>
      <c r="X557" s="76"/>
      <c r="AD557" s="76"/>
      <c r="AJ557" s="76"/>
      <c r="AP557" s="76"/>
      <c r="AV557" s="76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</row>
    <row r="558">
      <c r="L558" s="76"/>
      <c r="R558" s="76"/>
      <c r="X558" s="76"/>
      <c r="AD558" s="76"/>
      <c r="AJ558" s="76"/>
      <c r="AP558" s="76"/>
      <c r="AV558" s="76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</row>
    <row r="559">
      <c r="L559" s="76"/>
      <c r="R559" s="76"/>
      <c r="X559" s="76"/>
      <c r="AD559" s="76"/>
      <c r="AJ559" s="76"/>
      <c r="AP559" s="76"/>
      <c r="AV559" s="76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</row>
    <row r="560">
      <c r="L560" s="76"/>
      <c r="R560" s="76"/>
      <c r="X560" s="76"/>
      <c r="AD560" s="76"/>
      <c r="AJ560" s="76"/>
      <c r="AP560" s="76"/>
      <c r="AV560" s="76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</row>
    <row r="561">
      <c r="L561" s="76"/>
      <c r="R561" s="76"/>
      <c r="X561" s="76"/>
      <c r="AD561" s="76"/>
      <c r="AJ561" s="76"/>
      <c r="AP561" s="76"/>
      <c r="AV561" s="76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</row>
    <row r="562">
      <c r="L562" s="76"/>
      <c r="R562" s="76"/>
      <c r="X562" s="76"/>
      <c r="AD562" s="76"/>
      <c r="AJ562" s="76"/>
      <c r="AP562" s="76"/>
      <c r="AV562" s="76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</row>
    <row r="563">
      <c r="L563" s="76"/>
      <c r="R563" s="76"/>
      <c r="X563" s="76"/>
      <c r="AD563" s="76"/>
      <c r="AJ563" s="76"/>
      <c r="AP563" s="76"/>
      <c r="AV563" s="76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</row>
    <row r="564">
      <c r="L564" s="76"/>
      <c r="R564" s="76"/>
      <c r="X564" s="76"/>
      <c r="AD564" s="76"/>
      <c r="AJ564" s="76"/>
      <c r="AP564" s="76"/>
      <c r="AV564" s="76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</row>
    <row r="565">
      <c r="L565" s="76"/>
      <c r="R565" s="76"/>
      <c r="X565" s="76"/>
      <c r="AD565" s="76"/>
      <c r="AJ565" s="76"/>
      <c r="AP565" s="76"/>
      <c r="AV565" s="76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</row>
    <row r="566">
      <c r="L566" s="76"/>
      <c r="R566" s="76"/>
      <c r="X566" s="76"/>
      <c r="AD566" s="76"/>
      <c r="AJ566" s="76"/>
      <c r="AP566" s="76"/>
      <c r="AV566" s="76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</row>
    <row r="567">
      <c r="L567" s="76"/>
      <c r="R567" s="76"/>
      <c r="X567" s="76"/>
      <c r="AD567" s="76"/>
      <c r="AJ567" s="76"/>
      <c r="AP567" s="76"/>
      <c r="AV567" s="76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</row>
    <row r="568">
      <c r="L568" s="76"/>
      <c r="R568" s="76"/>
      <c r="X568" s="76"/>
      <c r="AD568" s="76"/>
      <c r="AJ568" s="76"/>
      <c r="AP568" s="76"/>
      <c r="AV568" s="76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</row>
    <row r="569">
      <c r="L569" s="76"/>
      <c r="R569" s="76"/>
      <c r="X569" s="76"/>
      <c r="AD569" s="76"/>
      <c r="AJ569" s="76"/>
      <c r="AP569" s="76"/>
      <c r="AV569" s="76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</row>
    <row r="570">
      <c r="L570" s="76"/>
      <c r="R570" s="76"/>
      <c r="X570" s="76"/>
      <c r="AD570" s="76"/>
      <c r="AJ570" s="76"/>
      <c r="AP570" s="76"/>
      <c r="AV570" s="76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</row>
    <row r="571">
      <c r="L571" s="76"/>
      <c r="R571" s="76"/>
      <c r="X571" s="76"/>
      <c r="AD571" s="76"/>
      <c r="AJ571" s="76"/>
      <c r="AP571" s="76"/>
      <c r="AV571" s="76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</row>
    <row r="572">
      <c r="L572" s="76"/>
      <c r="R572" s="76"/>
      <c r="X572" s="76"/>
      <c r="AD572" s="76"/>
      <c r="AJ572" s="76"/>
      <c r="AP572" s="76"/>
      <c r="AV572" s="76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</row>
    <row r="573">
      <c r="L573" s="76"/>
      <c r="R573" s="76"/>
      <c r="X573" s="76"/>
      <c r="AD573" s="76"/>
      <c r="AJ573" s="76"/>
      <c r="AP573" s="76"/>
      <c r="AV573" s="76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</row>
    <row r="574">
      <c r="L574" s="76"/>
      <c r="R574" s="76"/>
      <c r="X574" s="76"/>
      <c r="AD574" s="76"/>
      <c r="AJ574" s="76"/>
      <c r="AP574" s="76"/>
      <c r="AV574" s="76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</row>
    <row r="575">
      <c r="L575" s="76"/>
      <c r="R575" s="76"/>
      <c r="X575" s="76"/>
      <c r="AD575" s="76"/>
      <c r="AJ575" s="76"/>
      <c r="AP575" s="76"/>
      <c r="AV575" s="76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</row>
    <row r="576">
      <c r="L576" s="76"/>
      <c r="R576" s="76"/>
      <c r="X576" s="76"/>
      <c r="AD576" s="76"/>
      <c r="AJ576" s="76"/>
      <c r="AP576" s="76"/>
      <c r="AV576" s="76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</row>
    <row r="577">
      <c r="L577" s="76"/>
      <c r="R577" s="76"/>
      <c r="X577" s="76"/>
      <c r="AD577" s="76"/>
      <c r="AJ577" s="76"/>
      <c r="AP577" s="76"/>
      <c r="AV577" s="76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</row>
    <row r="578">
      <c r="L578" s="76"/>
      <c r="R578" s="76"/>
      <c r="X578" s="76"/>
      <c r="AD578" s="76"/>
      <c r="AJ578" s="76"/>
      <c r="AP578" s="76"/>
      <c r="AV578" s="76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</row>
    <row r="579">
      <c r="L579" s="76"/>
      <c r="R579" s="76"/>
      <c r="X579" s="76"/>
      <c r="AD579" s="76"/>
      <c r="AJ579" s="76"/>
      <c r="AP579" s="76"/>
      <c r="AV579" s="76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</row>
    <row r="580">
      <c r="L580" s="76"/>
      <c r="R580" s="76"/>
      <c r="X580" s="76"/>
      <c r="AD580" s="76"/>
      <c r="AJ580" s="76"/>
      <c r="AP580" s="76"/>
      <c r="AV580" s="76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</row>
    <row r="581">
      <c r="L581" s="76"/>
      <c r="R581" s="76"/>
      <c r="X581" s="76"/>
      <c r="AD581" s="76"/>
      <c r="AJ581" s="76"/>
      <c r="AP581" s="76"/>
      <c r="AV581" s="76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</row>
    <row r="582">
      <c r="L582" s="76"/>
      <c r="R582" s="76"/>
      <c r="X582" s="76"/>
      <c r="AD582" s="76"/>
      <c r="AJ582" s="76"/>
      <c r="AP582" s="76"/>
      <c r="AV582" s="76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</row>
    <row r="583">
      <c r="L583" s="76"/>
      <c r="R583" s="76"/>
      <c r="X583" s="76"/>
      <c r="AD583" s="76"/>
      <c r="AJ583" s="76"/>
      <c r="AP583" s="76"/>
      <c r="AV583" s="76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</row>
    <row r="584">
      <c r="L584" s="76"/>
      <c r="R584" s="76"/>
      <c r="X584" s="76"/>
      <c r="AD584" s="76"/>
      <c r="AJ584" s="76"/>
      <c r="AP584" s="76"/>
      <c r="AV584" s="76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</row>
    <row r="585">
      <c r="L585" s="76"/>
      <c r="R585" s="76"/>
      <c r="X585" s="76"/>
      <c r="AD585" s="76"/>
      <c r="AJ585" s="76"/>
      <c r="AP585" s="76"/>
      <c r="AV585" s="76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</row>
    <row r="586">
      <c r="L586" s="76"/>
      <c r="R586" s="76"/>
      <c r="X586" s="76"/>
      <c r="AD586" s="76"/>
      <c r="AJ586" s="76"/>
      <c r="AP586" s="76"/>
      <c r="AV586" s="76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</row>
    <row r="587">
      <c r="L587" s="76"/>
      <c r="R587" s="76"/>
      <c r="X587" s="76"/>
      <c r="AD587" s="76"/>
      <c r="AJ587" s="76"/>
      <c r="AP587" s="76"/>
      <c r="AV587" s="76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</row>
    <row r="588">
      <c r="L588" s="76"/>
      <c r="R588" s="76"/>
      <c r="X588" s="76"/>
      <c r="AD588" s="76"/>
      <c r="AJ588" s="76"/>
      <c r="AP588" s="76"/>
      <c r="AV588" s="76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</row>
    <row r="589">
      <c r="L589" s="76"/>
      <c r="R589" s="76"/>
      <c r="X589" s="76"/>
      <c r="AD589" s="76"/>
      <c r="AJ589" s="76"/>
      <c r="AP589" s="76"/>
      <c r="AV589" s="76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</row>
    <row r="590">
      <c r="L590" s="76"/>
      <c r="R590" s="76"/>
      <c r="X590" s="76"/>
      <c r="AD590" s="76"/>
      <c r="AJ590" s="76"/>
      <c r="AP590" s="76"/>
      <c r="AV590" s="76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</row>
    <row r="591">
      <c r="L591" s="76"/>
      <c r="R591" s="76"/>
      <c r="X591" s="76"/>
      <c r="AD591" s="76"/>
      <c r="AJ591" s="76"/>
      <c r="AP591" s="76"/>
      <c r="AV591" s="76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</row>
    <row r="592">
      <c r="L592" s="76"/>
      <c r="R592" s="76"/>
      <c r="X592" s="76"/>
      <c r="AD592" s="76"/>
      <c r="AJ592" s="76"/>
      <c r="AP592" s="76"/>
      <c r="AV592" s="76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</row>
    <row r="593">
      <c r="L593" s="76"/>
      <c r="R593" s="76"/>
      <c r="X593" s="76"/>
      <c r="AD593" s="76"/>
      <c r="AJ593" s="76"/>
      <c r="AP593" s="76"/>
      <c r="AV593" s="76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</row>
    <row r="594">
      <c r="L594" s="76"/>
      <c r="R594" s="76"/>
      <c r="X594" s="76"/>
      <c r="AD594" s="76"/>
      <c r="AJ594" s="76"/>
      <c r="AP594" s="76"/>
      <c r="AV594" s="76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</row>
    <row r="595">
      <c r="L595" s="76"/>
      <c r="R595" s="76"/>
      <c r="X595" s="76"/>
      <c r="AD595" s="76"/>
      <c r="AJ595" s="76"/>
      <c r="AP595" s="76"/>
      <c r="AV595" s="76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</row>
    <row r="596">
      <c r="L596" s="76"/>
      <c r="R596" s="76"/>
      <c r="X596" s="76"/>
      <c r="AD596" s="76"/>
      <c r="AJ596" s="76"/>
      <c r="AP596" s="76"/>
      <c r="AV596" s="76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</row>
    <row r="597">
      <c r="L597" s="76"/>
      <c r="R597" s="76"/>
      <c r="X597" s="76"/>
      <c r="AD597" s="76"/>
      <c r="AJ597" s="76"/>
      <c r="AP597" s="76"/>
      <c r="AV597" s="76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</row>
    <row r="598">
      <c r="L598" s="76"/>
      <c r="R598" s="76"/>
      <c r="X598" s="76"/>
      <c r="AD598" s="76"/>
      <c r="AJ598" s="76"/>
      <c r="AP598" s="76"/>
      <c r="AV598" s="76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</row>
    <row r="599">
      <c r="L599" s="76"/>
      <c r="R599" s="76"/>
      <c r="X599" s="76"/>
      <c r="AD599" s="76"/>
      <c r="AJ599" s="76"/>
      <c r="AP599" s="76"/>
      <c r="AV599" s="76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</row>
    <row r="600">
      <c r="L600" s="76"/>
      <c r="R600" s="76"/>
      <c r="X600" s="76"/>
      <c r="AD600" s="76"/>
      <c r="AJ600" s="76"/>
      <c r="AP600" s="76"/>
      <c r="AV600" s="76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</row>
    <row r="601">
      <c r="L601" s="76"/>
      <c r="R601" s="76"/>
      <c r="X601" s="76"/>
      <c r="AD601" s="76"/>
      <c r="AJ601" s="76"/>
      <c r="AP601" s="76"/>
      <c r="AV601" s="76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</row>
    <row r="602">
      <c r="L602" s="76"/>
      <c r="R602" s="76"/>
      <c r="X602" s="76"/>
      <c r="AD602" s="76"/>
      <c r="AJ602" s="76"/>
      <c r="AP602" s="76"/>
      <c r="AV602" s="76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</row>
    <row r="603">
      <c r="L603" s="76"/>
      <c r="R603" s="76"/>
      <c r="X603" s="76"/>
      <c r="AD603" s="76"/>
      <c r="AJ603" s="76"/>
      <c r="AP603" s="76"/>
      <c r="AV603" s="76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</row>
    <row r="604">
      <c r="L604" s="76"/>
      <c r="R604" s="76"/>
      <c r="X604" s="76"/>
      <c r="AD604" s="76"/>
      <c r="AJ604" s="76"/>
      <c r="AP604" s="76"/>
      <c r="AV604" s="76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</row>
    <row r="605">
      <c r="L605" s="76"/>
      <c r="R605" s="76"/>
      <c r="X605" s="76"/>
      <c r="AD605" s="76"/>
      <c r="AJ605" s="76"/>
      <c r="AP605" s="76"/>
      <c r="AV605" s="76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</row>
    <row r="606">
      <c r="L606" s="76"/>
      <c r="R606" s="76"/>
      <c r="X606" s="76"/>
      <c r="AD606" s="76"/>
      <c r="AJ606" s="76"/>
      <c r="AP606" s="76"/>
      <c r="AV606" s="76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</row>
    <row r="607">
      <c r="L607" s="76"/>
      <c r="R607" s="76"/>
      <c r="X607" s="76"/>
      <c r="AD607" s="76"/>
      <c r="AJ607" s="76"/>
      <c r="AP607" s="76"/>
      <c r="AV607" s="76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</row>
    <row r="608">
      <c r="L608" s="76"/>
      <c r="R608" s="76"/>
      <c r="X608" s="76"/>
      <c r="AD608" s="76"/>
      <c r="AJ608" s="76"/>
      <c r="AP608" s="76"/>
      <c r="AV608" s="76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</row>
    <row r="609">
      <c r="L609" s="76"/>
      <c r="R609" s="76"/>
      <c r="X609" s="76"/>
      <c r="AD609" s="76"/>
      <c r="AJ609" s="76"/>
      <c r="AP609" s="76"/>
      <c r="AV609" s="76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</row>
    <row r="610">
      <c r="L610" s="76"/>
      <c r="R610" s="76"/>
      <c r="X610" s="76"/>
      <c r="AD610" s="76"/>
      <c r="AJ610" s="76"/>
      <c r="AP610" s="76"/>
      <c r="AV610" s="76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</row>
    <row r="611">
      <c r="L611" s="76"/>
      <c r="R611" s="76"/>
      <c r="X611" s="76"/>
      <c r="AD611" s="76"/>
      <c r="AJ611" s="76"/>
      <c r="AP611" s="76"/>
      <c r="AV611" s="76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</row>
    <row r="612">
      <c r="L612" s="76"/>
      <c r="R612" s="76"/>
      <c r="X612" s="76"/>
      <c r="AD612" s="76"/>
      <c r="AJ612" s="76"/>
      <c r="AP612" s="76"/>
      <c r="AV612" s="76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</row>
    <row r="613">
      <c r="L613" s="76"/>
      <c r="R613" s="76"/>
      <c r="X613" s="76"/>
      <c r="AD613" s="76"/>
      <c r="AJ613" s="76"/>
      <c r="AP613" s="76"/>
      <c r="AV613" s="76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</row>
    <row r="614">
      <c r="L614" s="76"/>
      <c r="R614" s="76"/>
      <c r="X614" s="76"/>
      <c r="AD614" s="76"/>
      <c r="AJ614" s="76"/>
      <c r="AP614" s="76"/>
      <c r="AV614" s="76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</row>
    <row r="615">
      <c r="L615" s="76"/>
      <c r="R615" s="76"/>
      <c r="X615" s="76"/>
      <c r="AD615" s="76"/>
      <c r="AJ615" s="76"/>
      <c r="AP615" s="76"/>
      <c r="AV615" s="76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</row>
    <row r="616">
      <c r="L616" s="76"/>
      <c r="R616" s="76"/>
      <c r="X616" s="76"/>
      <c r="AD616" s="76"/>
      <c r="AJ616" s="76"/>
      <c r="AP616" s="76"/>
      <c r="AV616" s="76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</row>
    <row r="617">
      <c r="L617" s="76"/>
      <c r="R617" s="76"/>
      <c r="X617" s="76"/>
      <c r="AD617" s="76"/>
      <c r="AJ617" s="76"/>
      <c r="AP617" s="76"/>
      <c r="AV617" s="76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</row>
    <row r="618">
      <c r="L618" s="76"/>
      <c r="R618" s="76"/>
      <c r="X618" s="76"/>
      <c r="AD618" s="76"/>
      <c r="AJ618" s="76"/>
      <c r="AP618" s="76"/>
      <c r="AV618" s="76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</row>
    <row r="619">
      <c r="L619" s="76"/>
      <c r="R619" s="76"/>
      <c r="X619" s="76"/>
      <c r="AD619" s="76"/>
      <c r="AJ619" s="76"/>
      <c r="AP619" s="76"/>
      <c r="AV619" s="76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</row>
    <row r="620">
      <c r="L620" s="76"/>
      <c r="R620" s="76"/>
      <c r="X620" s="76"/>
      <c r="AD620" s="76"/>
      <c r="AJ620" s="76"/>
      <c r="AP620" s="76"/>
      <c r="AV620" s="76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</row>
    <row r="621">
      <c r="L621" s="76"/>
      <c r="R621" s="76"/>
      <c r="X621" s="76"/>
      <c r="AD621" s="76"/>
      <c r="AJ621" s="76"/>
      <c r="AP621" s="76"/>
      <c r="AV621" s="76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</row>
    <row r="622">
      <c r="L622" s="76"/>
      <c r="R622" s="76"/>
      <c r="X622" s="76"/>
      <c r="AD622" s="76"/>
      <c r="AJ622" s="76"/>
      <c r="AP622" s="76"/>
      <c r="AV622" s="76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</row>
    <row r="623">
      <c r="L623" s="76"/>
      <c r="R623" s="76"/>
      <c r="X623" s="76"/>
      <c r="AD623" s="76"/>
      <c r="AJ623" s="76"/>
      <c r="AP623" s="76"/>
      <c r="AV623" s="76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</row>
    <row r="624">
      <c r="L624" s="76"/>
      <c r="R624" s="76"/>
      <c r="X624" s="76"/>
      <c r="AD624" s="76"/>
      <c r="AJ624" s="76"/>
      <c r="AP624" s="76"/>
      <c r="AV624" s="76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</row>
    <row r="625">
      <c r="L625" s="76"/>
      <c r="R625" s="76"/>
      <c r="X625" s="76"/>
      <c r="AD625" s="76"/>
      <c r="AJ625" s="76"/>
      <c r="AP625" s="76"/>
      <c r="AV625" s="76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</row>
    <row r="626">
      <c r="L626" s="76"/>
      <c r="R626" s="76"/>
      <c r="X626" s="76"/>
      <c r="AD626" s="76"/>
      <c r="AJ626" s="76"/>
      <c r="AP626" s="76"/>
      <c r="AV626" s="76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</row>
    <row r="627">
      <c r="L627" s="76"/>
      <c r="R627" s="76"/>
      <c r="X627" s="76"/>
      <c r="AD627" s="76"/>
      <c r="AJ627" s="76"/>
      <c r="AP627" s="76"/>
      <c r="AV627" s="76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</row>
    <row r="628">
      <c r="L628" s="76"/>
      <c r="R628" s="76"/>
      <c r="X628" s="76"/>
      <c r="AD628" s="76"/>
      <c r="AJ628" s="76"/>
      <c r="AP628" s="76"/>
      <c r="AV628" s="76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</row>
    <row r="629">
      <c r="L629" s="76"/>
      <c r="R629" s="76"/>
      <c r="X629" s="76"/>
      <c r="AD629" s="76"/>
      <c r="AJ629" s="76"/>
      <c r="AP629" s="76"/>
      <c r="AV629" s="76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</row>
    <row r="630">
      <c r="L630" s="76"/>
      <c r="R630" s="76"/>
      <c r="X630" s="76"/>
      <c r="AD630" s="76"/>
      <c r="AJ630" s="76"/>
      <c r="AP630" s="76"/>
      <c r="AV630" s="76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</row>
    <row r="631">
      <c r="L631" s="76"/>
      <c r="R631" s="76"/>
      <c r="X631" s="76"/>
      <c r="AD631" s="76"/>
      <c r="AJ631" s="76"/>
      <c r="AP631" s="76"/>
      <c r="AV631" s="76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</row>
    <row r="632">
      <c r="L632" s="76"/>
      <c r="R632" s="76"/>
      <c r="X632" s="76"/>
      <c r="AD632" s="76"/>
      <c r="AJ632" s="76"/>
      <c r="AP632" s="76"/>
      <c r="AV632" s="76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</row>
    <row r="633">
      <c r="L633" s="76"/>
      <c r="R633" s="76"/>
      <c r="X633" s="76"/>
      <c r="AD633" s="76"/>
      <c r="AJ633" s="76"/>
      <c r="AP633" s="76"/>
      <c r="AV633" s="76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</row>
    <row r="634">
      <c r="L634" s="76"/>
      <c r="R634" s="76"/>
      <c r="X634" s="76"/>
      <c r="AD634" s="76"/>
      <c r="AJ634" s="76"/>
      <c r="AP634" s="76"/>
      <c r="AV634" s="76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</row>
    <row r="635">
      <c r="L635" s="76"/>
      <c r="R635" s="76"/>
      <c r="X635" s="76"/>
      <c r="AD635" s="76"/>
      <c r="AJ635" s="76"/>
      <c r="AP635" s="76"/>
      <c r="AV635" s="76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</row>
    <row r="636">
      <c r="L636" s="76"/>
      <c r="R636" s="76"/>
      <c r="X636" s="76"/>
      <c r="AD636" s="76"/>
      <c r="AJ636" s="76"/>
      <c r="AP636" s="76"/>
      <c r="AV636" s="76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</row>
    <row r="637">
      <c r="L637" s="76"/>
      <c r="R637" s="76"/>
      <c r="X637" s="76"/>
      <c r="AD637" s="76"/>
      <c r="AJ637" s="76"/>
      <c r="AP637" s="76"/>
      <c r="AV637" s="76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</row>
    <row r="638">
      <c r="L638" s="76"/>
      <c r="R638" s="76"/>
      <c r="X638" s="76"/>
      <c r="AD638" s="76"/>
      <c r="AJ638" s="76"/>
      <c r="AP638" s="76"/>
      <c r="AV638" s="76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</row>
    <row r="639">
      <c r="L639" s="76"/>
      <c r="R639" s="76"/>
      <c r="X639" s="76"/>
      <c r="AD639" s="76"/>
      <c r="AJ639" s="76"/>
      <c r="AP639" s="76"/>
      <c r="AV639" s="76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</row>
    <row r="640">
      <c r="L640" s="76"/>
      <c r="R640" s="76"/>
      <c r="X640" s="76"/>
      <c r="AD640" s="76"/>
      <c r="AJ640" s="76"/>
      <c r="AP640" s="76"/>
      <c r="AV640" s="76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</row>
    <row r="641">
      <c r="L641" s="76"/>
      <c r="R641" s="76"/>
      <c r="X641" s="76"/>
      <c r="AD641" s="76"/>
      <c r="AJ641" s="76"/>
      <c r="AP641" s="76"/>
      <c r="AV641" s="76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</row>
    <row r="642">
      <c r="L642" s="76"/>
      <c r="R642" s="76"/>
      <c r="X642" s="76"/>
      <c r="AD642" s="76"/>
      <c r="AJ642" s="76"/>
      <c r="AP642" s="76"/>
      <c r="AV642" s="76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</row>
    <row r="643">
      <c r="L643" s="76"/>
      <c r="R643" s="76"/>
      <c r="X643" s="76"/>
      <c r="AD643" s="76"/>
      <c r="AJ643" s="76"/>
      <c r="AP643" s="76"/>
      <c r="AV643" s="76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</row>
    <row r="644">
      <c r="L644" s="76"/>
      <c r="R644" s="76"/>
      <c r="X644" s="76"/>
      <c r="AD644" s="76"/>
      <c r="AJ644" s="76"/>
      <c r="AP644" s="76"/>
      <c r="AV644" s="76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</row>
    <row r="645">
      <c r="L645" s="76"/>
      <c r="R645" s="76"/>
      <c r="X645" s="76"/>
      <c r="AD645" s="76"/>
      <c r="AJ645" s="76"/>
      <c r="AP645" s="76"/>
      <c r="AV645" s="76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</row>
    <row r="646">
      <c r="L646" s="76"/>
      <c r="R646" s="76"/>
      <c r="X646" s="76"/>
      <c r="AD646" s="76"/>
      <c r="AJ646" s="76"/>
      <c r="AP646" s="76"/>
      <c r="AV646" s="76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</row>
    <row r="647">
      <c r="L647" s="76"/>
      <c r="R647" s="76"/>
      <c r="X647" s="76"/>
      <c r="AD647" s="76"/>
      <c r="AJ647" s="76"/>
      <c r="AP647" s="76"/>
      <c r="AV647" s="76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</row>
    <row r="648">
      <c r="L648" s="76"/>
      <c r="R648" s="76"/>
      <c r="X648" s="76"/>
      <c r="AD648" s="76"/>
      <c r="AJ648" s="76"/>
      <c r="AP648" s="76"/>
      <c r="AV648" s="76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</row>
    <row r="649">
      <c r="L649" s="76"/>
      <c r="R649" s="76"/>
      <c r="X649" s="76"/>
      <c r="AD649" s="76"/>
      <c r="AJ649" s="76"/>
      <c r="AP649" s="76"/>
      <c r="AV649" s="76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</row>
    <row r="650">
      <c r="L650" s="76"/>
      <c r="R650" s="76"/>
      <c r="X650" s="76"/>
      <c r="AD650" s="76"/>
      <c r="AJ650" s="76"/>
      <c r="AP650" s="76"/>
      <c r="AV650" s="76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</row>
    <row r="651">
      <c r="L651" s="76"/>
      <c r="R651" s="76"/>
      <c r="X651" s="76"/>
      <c r="AD651" s="76"/>
      <c r="AJ651" s="76"/>
      <c r="AP651" s="76"/>
      <c r="AV651" s="76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</row>
    <row r="652">
      <c r="L652" s="76"/>
      <c r="R652" s="76"/>
      <c r="X652" s="76"/>
      <c r="AD652" s="76"/>
      <c r="AJ652" s="76"/>
      <c r="AP652" s="76"/>
      <c r="AV652" s="76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</row>
    <row r="653">
      <c r="L653" s="76"/>
      <c r="R653" s="76"/>
      <c r="X653" s="76"/>
      <c r="AD653" s="76"/>
      <c r="AJ653" s="76"/>
      <c r="AP653" s="76"/>
      <c r="AV653" s="76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</row>
    <row r="654">
      <c r="L654" s="76"/>
      <c r="R654" s="76"/>
      <c r="X654" s="76"/>
      <c r="AD654" s="76"/>
      <c r="AJ654" s="76"/>
      <c r="AP654" s="76"/>
      <c r="AV654" s="76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</row>
    <row r="655">
      <c r="L655" s="76"/>
      <c r="R655" s="76"/>
      <c r="X655" s="76"/>
      <c r="AD655" s="76"/>
      <c r="AJ655" s="76"/>
      <c r="AP655" s="76"/>
      <c r="AV655" s="76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</row>
    <row r="656">
      <c r="L656" s="76"/>
      <c r="R656" s="76"/>
      <c r="X656" s="76"/>
      <c r="AD656" s="76"/>
      <c r="AJ656" s="76"/>
      <c r="AP656" s="76"/>
      <c r="AV656" s="76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</row>
    <row r="657">
      <c r="L657" s="76"/>
      <c r="R657" s="76"/>
      <c r="X657" s="76"/>
      <c r="AD657" s="76"/>
      <c r="AJ657" s="76"/>
      <c r="AP657" s="76"/>
      <c r="AV657" s="76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</row>
    <row r="658">
      <c r="L658" s="76"/>
      <c r="R658" s="76"/>
      <c r="X658" s="76"/>
      <c r="AD658" s="76"/>
      <c r="AJ658" s="76"/>
      <c r="AP658" s="76"/>
      <c r="AV658" s="76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</row>
    <row r="659">
      <c r="L659" s="76"/>
      <c r="R659" s="76"/>
      <c r="X659" s="76"/>
      <c r="AD659" s="76"/>
      <c r="AJ659" s="76"/>
      <c r="AP659" s="76"/>
      <c r="AV659" s="76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</row>
    <row r="660">
      <c r="L660" s="76"/>
      <c r="R660" s="76"/>
      <c r="X660" s="76"/>
      <c r="AD660" s="76"/>
      <c r="AJ660" s="76"/>
      <c r="AP660" s="76"/>
      <c r="AV660" s="76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</row>
    <row r="661">
      <c r="L661" s="76"/>
      <c r="R661" s="76"/>
      <c r="X661" s="76"/>
      <c r="AD661" s="76"/>
      <c r="AJ661" s="76"/>
      <c r="AP661" s="76"/>
      <c r="AV661" s="76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</row>
    <row r="662">
      <c r="L662" s="76"/>
      <c r="R662" s="76"/>
      <c r="X662" s="76"/>
      <c r="AD662" s="76"/>
      <c r="AJ662" s="76"/>
      <c r="AP662" s="76"/>
      <c r="AV662" s="76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</row>
    <row r="663">
      <c r="L663" s="76"/>
      <c r="R663" s="76"/>
      <c r="X663" s="76"/>
      <c r="AD663" s="76"/>
      <c r="AJ663" s="76"/>
      <c r="AP663" s="76"/>
      <c r="AV663" s="76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</row>
    <row r="664">
      <c r="L664" s="76"/>
      <c r="R664" s="76"/>
      <c r="X664" s="76"/>
      <c r="AD664" s="76"/>
      <c r="AJ664" s="76"/>
      <c r="AP664" s="76"/>
      <c r="AV664" s="76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</row>
    <row r="665">
      <c r="L665" s="76"/>
      <c r="R665" s="76"/>
      <c r="X665" s="76"/>
      <c r="AD665" s="76"/>
      <c r="AJ665" s="76"/>
      <c r="AP665" s="76"/>
      <c r="AV665" s="76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</row>
    <row r="666">
      <c r="L666" s="76"/>
      <c r="R666" s="76"/>
      <c r="X666" s="76"/>
      <c r="AD666" s="76"/>
      <c r="AJ666" s="76"/>
      <c r="AP666" s="76"/>
      <c r="AV666" s="76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</row>
    <row r="667">
      <c r="L667" s="76"/>
      <c r="R667" s="76"/>
      <c r="X667" s="76"/>
      <c r="AD667" s="76"/>
      <c r="AJ667" s="76"/>
      <c r="AP667" s="76"/>
      <c r="AV667" s="76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</row>
    <row r="668">
      <c r="L668" s="76"/>
      <c r="R668" s="76"/>
      <c r="X668" s="76"/>
      <c r="AD668" s="76"/>
      <c r="AJ668" s="76"/>
      <c r="AP668" s="76"/>
      <c r="AV668" s="76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</row>
    <row r="669">
      <c r="L669" s="76"/>
      <c r="R669" s="76"/>
      <c r="X669" s="76"/>
      <c r="AD669" s="76"/>
      <c r="AJ669" s="76"/>
      <c r="AP669" s="76"/>
      <c r="AV669" s="76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</row>
    <row r="670">
      <c r="L670" s="76"/>
      <c r="R670" s="76"/>
      <c r="X670" s="76"/>
      <c r="AD670" s="76"/>
      <c r="AJ670" s="76"/>
      <c r="AP670" s="76"/>
      <c r="AV670" s="76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</row>
    <row r="671">
      <c r="L671" s="76"/>
      <c r="R671" s="76"/>
      <c r="X671" s="76"/>
      <c r="AD671" s="76"/>
      <c r="AJ671" s="76"/>
      <c r="AP671" s="76"/>
      <c r="AV671" s="76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</row>
    <row r="672">
      <c r="L672" s="76"/>
      <c r="R672" s="76"/>
      <c r="X672" s="76"/>
      <c r="AD672" s="76"/>
      <c r="AJ672" s="76"/>
      <c r="AP672" s="76"/>
      <c r="AV672" s="76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</row>
    <row r="673">
      <c r="L673" s="76"/>
      <c r="R673" s="76"/>
      <c r="X673" s="76"/>
      <c r="AD673" s="76"/>
      <c r="AJ673" s="76"/>
      <c r="AP673" s="76"/>
      <c r="AV673" s="76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</row>
    <row r="674">
      <c r="L674" s="76"/>
      <c r="R674" s="76"/>
      <c r="X674" s="76"/>
      <c r="AD674" s="76"/>
      <c r="AJ674" s="76"/>
      <c r="AP674" s="76"/>
      <c r="AV674" s="76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</row>
    <row r="675">
      <c r="L675" s="76"/>
      <c r="R675" s="76"/>
      <c r="X675" s="76"/>
      <c r="AD675" s="76"/>
      <c r="AJ675" s="76"/>
      <c r="AP675" s="76"/>
      <c r="AV675" s="76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</row>
    <row r="676">
      <c r="L676" s="76"/>
      <c r="R676" s="76"/>
      <c r="X676" s="76"/>
      <c r="AD676" s="76"/>
      <c r="AJ676" s="76"/>
      <c r="AP676" s="76"/>
      <c r="AV676" s="76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</row>
    <row r="677">
      <c r="L677" s="76"/>
      <c r="R677" s="76"/>
      <c r="X677" s="76"/>
      <c r="AD677" s="76"/>
      <c r="AJ677" s="76"/>
      <c r="AP677" s="76"/>
      <c r="AV677" s="76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</row>
    <row r="678">
      <c r="L678" s="76"/>
      <c r="R678" s="76"/>
      <c r="X678" s="76"/>
      <c r="AD678" s="76"/>
      <c r="AJ678" s="76"/>
      <c r="AP678" s="76"/>
      <c r="AV678" s="76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</row>
    <row r="679">
      <c r="L679" s="76"/>
      <c r="R679" s="76"/>
      <c r="X679" s="76"/>
      <c r="AD679" s="76"/>
      <c r="AJ679" s="76"/>
      <c r="AP679" s="76"/>
      <c r="AV679" s="76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</row>
    <row r="680">
      <c r="L680" s="76"/>
      <c r="R680" s="76"/>
      <c r="X680" s="76"/>
      <c r="AD680" s="76"/>
      <c r="AJ680" s="76"/>
      <c r="AP680" s="76"/>
      <c r="AV680" s="76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</row>
    <row r="681">
      <c r="L681" s="76"/>
      <c r="R681" s="76"/>
      <c r="X681" s="76"/>
      <c r="AD681" s="76"/>
      <c r="AJ681" s="76"/>
      <c r="AP681" s="76"/>
      <c r="AV681" s="76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</row>
    <row r="682">
      <c r="L682" s="76"/>
      <c r="R682" s="76"/>
      <c r="X682" s="76"/>
      <c r="AD682" s="76"/>
      <c r="AJ682" s="76"/>
      <c r="AP682" s="76"/>
      <c r="AV682" s="76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</row>
    <row r="683">
      <c r="L683" s="76"/>
      <c r="R683" s="76"/>
      <c r="X683" s="76"/>
      <c r="AD683" s="76"/>
      <c r="AJ683" s="76"/>
      <c r="AP683" s="76"/>
      <c r="AV683" s="76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</row>
    <row r="684">
      <c r="L684" s="76"/>
      <c r="R684" s="76"/>
      <c r="X684" s="76"/>
      <c r="AD684" s="76"/>
      <c r="AJ684" s="76"/>
      <c r="AP684" s="76"/>
      <c r="AV684" s="76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</row>
    <row r="685">
      <c r="L685" s="76"/>
      <c r="R685" s="76"/>
      <c r="X685" s="76"/>
      <c r="AD685" s="76"/>
      <c r="AJ685" s="76"/>
      <c r="AP685" s="76"/>
      <c r="AV685" s="76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</row>
    <row r="686">
      <c r="L686" s="76"/>
      <c r="R686" s="76"/>
      <c r="X686" s="76"/>
      <c r="AD686" s="76"/>
      <c r="AJ686" s="76"/>
      <c r="AP686" s="76"/>
      <c r="AV686" s="76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</row>
    <row r="687">
      <c r="L687" s="76"/>
      <c r="R687" s="76"/>
      <c r="X687" s="76"/>
      <c r="AD687" s="76"/>
      <c r="AJ687" s="76"/>
      <c r="AP687" s="76"/>
      <c r="AV687" s="76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</row>
    <row r="688">
      <c r="L688" s="76"/>
      <c r="R688" s="76"/>
      <c r="X688" s="76"/>
      <c r="AD688" s="76"/>
      <c r="AJ688" s="76"/>
      <c r="AP688" s="76"/>
      <c r="AV688" s="76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</row>
    <row r="689">
      <c r="L689" s="76"/>
      <c r="R689" s="76"/>
      <c r="X689" s="76"/>
      <c r="AD689" s="76"/>
      <c r="AJ689" s="76"/>
      <c r="AP689" s="76"/>
      <c r="AV689" s="76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</row>
    <row r="690">
      <c r="L690" s="76"/>
      <c r="R690" s="76"/>
      <c r="X690" s="76"/>
      <c r="AD690" s="76"/>
      <c r="AJ690" s="76"/>
      <c r="AP690" s="76"/>
      <c r="AV690" s="76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</row>
    <row r="691">
      <c r="L691" s="76"/>
      <c r="R691" s="76"/>
      <c r="X691" s="76"/>
      <c r="AD691" s="76"/>
      <c r="AJ691" s="76"/>
      <c r="AP691" s="76"/>
      <c r="AV691" s="76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</row>
    <row r="692">
      <c r="L692" s="76"/>
      <c r="R692" s="76"/>
      <c r="X692" s="76"/>
      <c r="AD692" s="76"/>
      <c r="AJ692" s="76"/>
      <c r="AP692" s="76"/>
      <c r="AV692" s="76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</row>
    <row r="693">
      <c r="L693" s="76"/>
      <c r="R693" s="76"/>
      <c r="X693" s="76"/>
      <c r="AD693" s="76"/>
      <c r="AJ693" s="76"/>
      <c r="AP693" s="76"/>
      <c r="AV693" s="76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</row>
    <row r="694">
      <c r="L694" s="76"/>
      <c r="R694" s="76"/>
      <c r="X694" s="76"/>
      <c r="AD694" s="76"/>
      <c r="AJ694" s="76"/>
      <c r="AP694" s="76"/>
      <c r="AV694" s="76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</row>
    <row r="695">
      <c r="L695" s="76"/>
      <c r="R695" s="76"/>
      <c r="X695" s="76"/>
      <c r="AD695" s="76"/>
      <c r="AJ695" s="76"/>
      <c r="AP695" s="76"/>
      <c r="AV695" s="76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</row>
    <row r="696">
      <c r="L696" s="76"/>
      <c r="R696" s="76"/>
      <c r="X696" s="76"/>
      <c r="AD696" s="76"/>
      <c r="AJ696" s="76"/>
      <c r="AP696" s="76"/>
      <c r="AV696" s="76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</row>
    <row r="697">
      <c r="L697" s="76"/>
      <c r="R697" s="76"/>
      <c r="X697" s="76"/>
      <c r="AD697" s="76"/>
      <c r="AJ697" s="76"/>
      <c r="AP697" s="76"/>
      <c r="AV697" s="76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</row>
    <row r="698">
      <c r="L698" s="76"/>
      <c r="R698" s="76"/>
      <c r="X698" s="76"/>
      <c r="AD698" s="76"/>
      <c r="AJ698" s="76"/>
      <c r="AP698" s="76"/>
      <c r="AV698" s="76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</row>
    <row r="699">
      <c r="L699" s="76"/>
      <c r="R699" s="76"/>
      <c r="X699" s="76"/>
      <c r="AD699" s="76"/>
      <c r="AJ699" s="76"/>
      <c r="AP699" s="76"/>
      <c r="AV699" s="76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</row>
    <row r="700">
      <c r="L700" s="76"/>
      <c r="R700" s="76"/>
      <c r="X700" s="76"/>
      <c r="AD700" s="76"/>
      <c r="AJ700" s="76"/>
      <c r="AP700" s="76"/>
      <c r="AV700" s="76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</row>
    <row r="701">
      <c r="L701" s="76"/>
      <c r="R701" s="76"/>
      <c r="X701" s="76"/>
      <c r="AD701" s="76"/>
      <c r="AJ701" s="76"/>
      <c r="AP701" s="76"/>
      <c r="AV701" s="76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</row>
    <row r="702">
      <c r="L702" s="76"/>
      <c r="R702" s="76"/>
      <c r="X702" s="76"/>
      <c r="AD702" s="76"/>
      <c r="AJ702" s="76"/>
      <c r="AP702" s="76"/>
      <c r="AV702" s="76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</row>
    <row r="703">
      <c r="L703" s="76"/>
      <c r="R703" s="76"/>
      <c r="X703" s="76"/>
      <c r="AD703" s="76"/>
      <c r="AJ703" s="76"/>
      <c r="AP703" s="76"/>
      <c r="AV703" s="76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</row>
    <row r="704">
      <c r="L704" s="76"/>
      <c r="R704" s="76"/>
      <c r="X704" s="76"/>
      <c r="AD704" s="76"/>
      <c r="AJ704" s="76"/>
      <c r="AP704" s="76"/>
      <c r="AV704" s="76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</row>
    <row r="705">
      <c r="L705" s="76"/>
      <c r="R705" s="76"/>
      <c r="X705" s="76"/>
      <c r="AD705" s="76"/>
      <c r="AJ705" s="76"/>
      <c r="AP705" s="76"/>
      <c r="AV705" s="76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</row>
    <row r="706">
      <c r="L706" s="76"/>
      <c r="R706" s="76"/>
      <c r="X706" s="76"/>
      <c r="AD706" s="76"/>
      <c r="AJ706" s="76"/>
      <c r="AP706" s="76"/>
      <c r="AV706" s="76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</row>
    <row r="707">
      <c r="L707" s="76"/>
      <c r="R707" s="76"/>
      <c r="X707" s="76"/>
      <c r="AD707" s="76"/>
      <c r="AJ707" s="76"/>
      <c r="AP707" s="76"/>
      <c r="AV707" s="76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</row>
    <row r="708">
      <c r="L708" s="76"/>
      <c r="R708" s="76"/>
      <c r="X708" s="76"/>
      <c r="AD708" s="76"/>
      <c r="AJ708" s="76"/>
      <c r="AP708" s="76"/>
      <c r="AV708" s="76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</row>
    <row r="709">
      <c r="L709" s="76"/>
      <c r="R709" s="76"/>
      <c r="X709" s="76"/>
      <c r="AD709" s="76"/>
      <c r="AJ709" s="76"/>
      <c r="AP709" s="76"/>
      <c r="AV709" s="76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</row>
    <row r="710">
      <c r="L710" s="76"/>
      <c r="R710" s="76"/>
      <c r="X710" s="76"/>
      <c r="AD710" s="76"/>
      <c r="AJ710" s="76"/>
      <c r="AP710" s="76"/>
      <c r="AV710" s="76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</row>
    <row r="711">
      <c r="L711" s="76"/>
      <c r="R711" s="76"/>
      <c r="X711" s="76"/>
      <c r="AD711" s="76"/>
      <c r="AJ711" s="76"/>
      <c r="AP711" s="76"/>
      <c r="AV711" s="76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</row>
    <row r="712">
      <c r="L712" s="76"/>
      <c r="R712" s="76"/>
      <c r="X712" s="76"/>
      <c r="AD712" s="76"/>
      <c r="AJ712" s="76"/>
      <c r="AP712" s="76"/>
      <c r="AV712" s="76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</row>
    <row r="713">
      <c r="L713" s="76"/>
      <c r="R713" s="76"/>
      <c r="X713" s="76"/>
      <c r="AD713" s="76"/>
      <c r="AJ713" s="76"/>
      <c r="AP713" s="76"/>
      <c r="AV713" s="76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</row>
    <row r="714">
      <c r="L714" s="76"/>
      <c r="R714" s="76"/>
      <c r="X714" s="76"/>
      <c r="AD714" s="76"/>
      <c r="AJ714" s="76"/>
      <c r="AP714" s="76"/>
      <c r="AV714" s="76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</row>
    <row r="715">
      <c r="L715" s="76"/>
      <c r="R715" s="76"/>
      <c r="X715" s="76"/>
      <c r="AD715" s="76"/>
      <c r="AJ715" s="76"/>
      <c r="AP715" s="76"/>
      <c r="AV715" s="76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</row>
    <row r="716">
      <c r="L716" s="76"/>
      <c r="R716" s="76"/>
      <c r="X716" s="76"/>
      <c r="AD716" s="76"/>
      <c r="AJ716" s="76"/>
      <c r="AP716" s="76"/>
      <c r="AV716" s="76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</row>
    <row r="717">
      <c r="L717" s="76"/>
      <c r="R717" s="76"/>
      <c r="X717" s="76"/>
      <c r="AD717" s="76"/>
      <c r="AJ717" s="76"/>
      <c r="AP717" s="76"/>
      <c r="AV717" s="76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</row>
    <row r="718">
      <c r="L718" s="76"/>
      <c r="R718" s="76"/>
      <c r="X718" s="76"/>
      <c r="AD718" s="76"/>
      <c r="AJ718" s="76"/>
      <c r="AP718" s="76"/>
      <c r="AV718" s="76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</row>
    <row r="719">
      <c r="L719" s="76"/>
      <c r="R719" s="76"/>
      <c r="X719" s="76"/>
      <c r="AD719" s="76"/>
      <c r="AJ719" s="76"/>
      <c r="AP719" s="76"/>
      <c r="AV719" s="76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</row>
    <row r="720">
      <c r="L720" s="76"/>
      <c r="R720" s="76"/>
      <c r="X720" s="76"/>
      <c r="AD720" s="76"/>
      <c r="AJ720" s="76"/>
      <c r="AP720" s="76"/>
      <c r="AV720" s="76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</row>
    <row r="721">
      <c r="L721" s="76"/>
      <c r="R721" s="76"/>
      <c r="X721" s="76"/>
      <c r="AD721" s="76"/>
      <c r="AJ721" s="76"/>
      <c r="AP721" s="76"/>
      <c r="AV721" s="76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</row>
    <row r="722">
      <c r="L722" s="76"/>
      <c r="R722" s="76"/>
      <c r="X722" s="76"/>
      <c r="AD722" s="76"/>
      <c r="AJ722" s="76"/>
      <c r="AP722" s="76"/>
      <c r="AV722" s="76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</row>
    <row r="723">
      <c r="L723" s="76"/>
      <c r="R723" s="76"/>
      <c r="X723" s="76"/>
      <c r="AD723" s="76"/>
      <c r="AJ723" s="76"/>
      <c r="AP723" s="76"/>
      <c r="AV723" s="76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</row>
    <row r="724">
      <c r="L724" s="76"/>
      <c r="R724" s="76"/>
      <c r="X724" s="76"/>
      <c r="AD724" s="76"/>
      <c r="AJ724" s="76"/>
      <c r="AP724" s="76"/>
      <c r="AV724" s="76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</row>
    <row r="725">
      <c r="L725" s="76"/>
      <c r="R725" s="76"/>
      <c r="X725" s="76"/>
      <c r="AD725" s="76"/>
      <c r="AJ725" s="76"/>
      <c r="AP725" s="76"/>
      <c r="AV725" s="76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</row>
    <row r="726">
      <c r="L726" s="76"/>
      <c r="R726" s="76"/>
      <c r="X726" s="76"/>
      <c r="AD726" s="76"/>
      <c r="AJ726" s="76"/>
      <c r="AP726" s="76"/>
      <c r="AV726" s="76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</row>
    <row r="727">
      <c r="L727" s="76"/>
      <c r="R727" s="76"/>
      <c r="X727" s="76"/>
      <c r="AD727" s="76"/>
      <c r="AJ727" s="76"/>
      <c r="AP727" s="76"/>
      <c r="AV727" s="76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</row>
    <row r="728">
      <c r="L728" s="76"/>
      <c r="R728" s="76"/>
      <c r="X728" s="76"/>
      <c r="AD728" s="76"/>
      <c r="AJ728" s="76"/>
      <c r="AP728" s="76"/>
      <c r="AV728" s="76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</row>
    <row r="729">
      <c r="L729" s="76"/>
      <c r="R729" s="76"/>
      <c r="X729" s="76"/>
      <c r="AD729" s="76"/>
      <c r="AJ729" s="76"/>
      <c r="AP729" s="76"/>
      <c r="AV729" s="76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</row>
    <row r="730">
      <c r="L730" s="76"/>
      <c r="R730" s="76"/>
      <c r="X730" s="76"/>
      <c r="AD730" s="76"/>
      <c r="AJ730" s="76"/>
      <c r="AP730" s="76"/>
      <c r="AV730" s="76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</row>
    <row r="731">
      <c r="L731" s="76"/>
      <c r="R731" s="76"/>
      <c r="X731" s="76"/>
      <c r="AD731" s="76"/>
      <c r="AJ731" s="76"/>
      <c r="AP731" s="76"/>
      <c r="AV731" s="76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</row>
    <row r="732">
      <c r="L732" s="76"/>
      <c r="R732" s="76"/>
      <c r="X732" s="76"/>
      <c r="AD732" s="76"/>
      <c r="AJ732" s="76"/>
      <c r="AP732" s="76"/>
      <c r="AV732" s="76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</row>
    <row r="733">
      <c r="L733" s="76"/>
      <c r="R733" s="76"/>
      <c r="X733" s="76"/>
      <c r="AD733" s="76"/>
      <c r="AJ733" s="76"/>
      <c r="AP733" s="76"/>
      <c r="AV733" s="76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</row>
    <row r="734">
      <c r="L734" s="76"/>
      <c r="R734" s="76"/>
      <c r="X734" s="76"/>
      <c r="AD734" s="76"/>
      <c r="AJ734" s="76"/>
      <c r="AP734" s="76"/>
      <c r="AV734" s="76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</row>
    <row r="735">
      <c r="L735" s="76"/>
      <c r="R735" s="76"/>
      <c r="X735" s="76"/>
      <c r="AD735" s="76"/>
      <c r="AJ735" s="76"/>
      <c r="AP735" s="76"/>
      <c r="AV735" s="76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</row>
    <row r="736">
      <c r="L736" s="76"/>
      <c r="R736" s="76"/>
      <c r="X736" s="76"/>
      <c r="AD736" s="76"/>
      <c r="AJ736" s="76"/>
      <c r="AP736" s="76"/>
      <c r="AV736" s="76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</row>
    <row r="737">
      <c r="L737" s="76"/>
      <c r="R737" s="76"/>
      <c r="X737" s="76"/>
      <c r="AD737" s="76"/>
      <c r="AJ737" s="76"/>
      <c r="AP737" s="76"/>
      <c r="AV737" s="76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</row>
    <row r="738">
      <c r="L738" s="76"/>
      <c r="R738" s="76"/>
      <c r="X738" s="76"/>
      <c r="AD738" s="76"/>
      <c r="AJ738" s="76"/>
      <c r="AP738" s="76"/>
      <c r="AV738" s="76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</row>
    <row r="739">
      <c r="L739" s="76"/>
      <c r="R739" s="76"/>
      <c r="X739" s="76"/>
      <c r="AD739" s="76"/>
      <c r="AJ739" s="76"/>
      <c r="AP739" s="76"/>
      <c r="AV739" s="76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</row>
    <row r="740">
      <c r="L740" s="76"/>
      <c r="R740" s="76"/>
      <c r="X740" s="76"/>
      <c r="AD740" s="76"/>
      <c r="AJ740" s="76"/>
      <c r="AP740" s="76"/>
      <c r="AV740" s="76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</row>
    <row r="741">
      <c r="L741" s="76"/>
      <c r="R741" s="76"/>
      <c r="X741" s="76"/>
      <c r="AD741" s="76"/>
      <c r="AJ741" s="76"/>
      <c r="AP741" s="76"/>
      <c r="AV741" s="76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</row>
    <row r="742">
      <c r="L742" s="76"/>
      <c r="R742" s="76"/>
      <c r="X742" s="76"/>
      <c r="AD742" s="76"/>
      <c r="AJ742" s="76"/>
      <c r="AP742" s="76"/>
      <c r="AV742" s="76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</row>
    <row r="743">
      <c r="L743" s="76"/>
      <c r="R743" s="76"/>
      <c r="X743" s="76"/>
      <c r="AD743" s="76"/>
      <c r="AJ743" s="76"/>
      <c r="AP743" s="76"/>
      <c r="AV743" s="76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</row>
    <row r="744">
      <c r="L744" s="76"/>
      <c r="R744" s="76"/>
      <c r="X744" s="76"/>
      <c r="AD744" s="76"/>
      <c r="AJ744" s="76"/>
      <c r="AP744" s="76"/>
      <c r="AV744" s="76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</row>
    <row r="745">
      <c r="L745" s="76"/>
      <c r="R745" s="76"/>
      <c r="X745" s="76"/>
      <c r="AD745" s="76"/>
      <c r="AJ745" s="76"/>
      <c r="AP745" s="76"/>
      <c r="AV745" s="76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</row>
    <row r="746">
      <c r="L746" s="76"/>
      <c r="R746" s="76"/>
      <c r="X746" s="76"/>
      <c r="AD746" s="76"/>
      <c r="AJ746" s="76"/>
      <c r="AP746" s="76"/>
      <c r="AV746" s="76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</row>
    <row r="747">
      <c r="L747" s="76"/>
      <c r="R747" s="76"/>
      <c r="X747" s="76"/>
      <c r="AD747" s="76"/>
      <c r="AJ747" s="76"/>
      <c r="AP747" s="76"/>
      <c r="AV747" s="76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</row>
    <row r="748">
      <c r="L748" s="76"/>
      <c r="R748" s="76"/>
      <c r="X748" s="76"/>
      <c r="AD748" s="76"/>
      <c r="AJ748" s="76"/>
      <c r="AP748" s="76"/>
      <c r="AV748" s="76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</row>
    <row r="749">
      <c r="L749" s="76"/>
      <c r="R749" s="76"/>
      <c r="X749" s="76"/>
      <c r="AD749" s="76"/>
      <c r="AJ749" s="76"/>
      <c r="AP749" s="76"/>
      <c r="AV749" s="76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</row>
    <row r="750">
      <c r="L750" s="76"/>
      <c r="R750" s="76"/>
      <c r="X750" s="76"/>
      <c r="AD750" s="76"/>
      <c r="AJ750" s="76"/>
      <c r="AP750" s="76"/>
      <c r="AV750" s="76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</row>
    <row r="751">
      <c r="L751" s="76"/>
      <c r="R751" s="76"/>
      <c r="X751" s="76"/>
      <c r="AD751" s="76"/>
      <c r="AJ751" s="76"/>
      <c r="AP751" s="76"/>
      <c r="AV751" s="76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</row>
    <row r="752">
      <c r="L752" s="76"/>
      <c r="R752" s="76"/>
      <c r="X752" s="76"/>
      <c r="AD752" s="76"/>
      <c r="AJ752" s="76"/>
      <c r="AP752" s="76"/>
      <c r="AV752" s="76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</row>
    <row r="753">
      <c r="L753" s="76"/>
      <c r="R753" s="76"/>
      <c r="X753" s="76"/>
      <c r="AD753" s="76"/>
      <c r="AJ753" s="76"/>
      <c r="AP753" s="76"/>
      <c r="AV753" s="76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</row>
    <row r="754">
      <c r="L754" s="76"/>
      <c r="R754" s="76"/>
      <c r="X754" s="76"/>
      <c r="AD754" s="76"/>
      <c r="AJ754" s="76"/>
      <c r="AP754" s="76"/>
      <c r="AV754" s="76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</row>
    <row r="755">
      <c r="L755" s="76"/>
      <c r="R755" s="76"/>
      <c r="X755" s="76"/>
      <c r="AD755" s="76"/>
      <c r="AJ755" s="76"/>
      <c r="AP755" s="76"/>
      <c r="AV755" s="76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</row>
    <row r="756">
      <c r="L756" s="76"/>
      <c r="R756" s="76"/>
      <c r="X756" s="76"/>
      <c r="AD756" s="76"/>
      <c r="AJ756" s="76"/>
      <c r="AP756" s="76"/>
      <c r="AV756" s="76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</row>
    <row r="757">
      <c r="L757" s="76"/>
      <c r="R757" s="76"/>
      <c r="X757" s="76"/>
      <c r="AD757" s="76"/>
      <c r="AJ757" s="76"/>
      <c r="AP757" s="76"/>
      <c r="AV757" s="76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</row>
    <row r="758">
      <c r="L758" s="76"/>
      <c r="R758" s="76"/>
      <c r="X758" s="76"/>
      <c r="AD758" s="76"/>
      <c r="AJ758" s="76"/>
      <c r="AP758" s="76"/>
      <c r="AV758" s="76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</row>
    <row r="759">
      <c r="L759" s="76"/>
      <c r="R759" s="76"/>
      <c r="X759" s="76"/>
      <c r="AD759" s="76"/>
      <c r="AJ759" s="76"/>
      <c r="AP759" s="76"/>
      <c r="AV759" s="76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</row>
    <row r="760">
      <c r="L760" s="76"/>
      <c r="R760" s="76"/>
      <c r="X760" s="76"/>
      <c r="AD760" s="76"/>
      <c r="AJ760" s="76"/>
      <c r="AP760" s="76"/>
      <c r="AV760" s="76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</row>
    <row r="761">
      <c r="L761" s="76"/>
      <c r="R761" s="76"/>
      <c r="X761" s="76"/>
      <c r="AD761" s="76"/>
      <c r="AJ761" s="76"/>
      <c r="AP761" s="76"/>
      <c r="AV761" s="76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</row>
    <row r="762">
      <c r="L762" s="76"/>
      <c r="R762" s="76"/>
      <c r="X762" s="76"/>
      <c r="AD762" s="76"/>
      <c r="AJ762" s="76"/>
      <c r="AP762" s="76"/>
      <c r="AV762" s="76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</row>
    <row r="763">
      <c r="L763" s="76"/>
      <c r="R763" s="76"/>
      <c r="X763" s="76"/>
      <c r="AD763" s="76"/>
      <c r="AJ763" s="76"/>
      <c r="AP763" s="76"/>
      <c r="AV763" s="76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</row>
    <row r="764">
      <c r="L764" s="76"/>
      <c r="R764" s="76"/>
      <c r="X764" s="76"/>
      <c r="AD764" s="76"/>
      <c r="AJ764" s="76"/>
      <c r="AP764" s="76"/>
      <c r="AV764" s="76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</row>
    <row r="765">
      <c r="L765" s="76"/>
      <c r="R765" s="76"/>
      <c r="X765" s="76"/>
      <c r="AD765" s="76"/>
      <c r="AJ765" s="76"/>
      <c r="AP765" s="76"/>
      <c r="AV765" s="76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</row>
    <row r="766">
      <c r="L766" s="76"/>
      <c r="R766" s="76"/>
      <c r="X766" s="76"/>
      <c r="AD766" s="76"/>
      <c r="AJ766" s="76"/>
      <c r="AP766" s="76"/>
      <c r="AV766" s="76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</row>
    <row r="767">
      <c r="L767" s="76"/>
      <c r="R767" s="76"/>
      <c r="X767" s="76"/>
      <c r="AD767" s="76"/>
      <c r="AJ767" s="76"/>
      <c r="AP767" s="76"/>
      <c r="AV767" s="76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</row>
    <row r="768">
      <c r="L768" s="76"/>
      <c r="R768" s="76"/>
      <c r="X768" s="76"/>
      <c r="AD768" s="76"/>
      <c r="AJ768" s="76"/>
      <c r="AP768" s="76"/>
      <c r="AV768" s="76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</row>
    <row r="769">
      <c r="L769" s="76"/>
      <c r="R769" s="76"/>
      <c r="X769" s="76"/>
      <c r="AD769" s="76"/>
      <c r="AJ769" s="76"/>
      <c r="AP769" s="76"/>
      <c r="AV769" s="76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</row>
    <row r="770">
      <c r="L770" s="76"/>
      <c r="R770" s="76"/>
      <c r="X770" s="76"/>
      <c r="AD770" s="76"/>
      <c r="AJ770" s="76"/>
      <c r="AP770" s="76"/>
      <c r="AV770" s="76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</row>
    <row r="771">
      <c r="L771" s="76"/>
      <c r="R771" s="76"/>
      <c r="X771" s="76"/>
      <c r="AD771" s="76"/>
      <c r="AJ771" s="76"/>
      <c r="AP771" s="76"/>
      <c r="AV771" s="76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</row>
    <row r="772">
      <c r="L772" s="76"/>
      <c r="R772" s="76"/>
      <c r="X772" s="76"/>
      <c r="AD772" s="76"/>
      <c r="AJ772" s="76"/>
      <c r="AP772" s="76"/>
      <c r="AV772" s="76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</row>
    <row r="773">
      <c r="L773" s="76"/>
      <c r="R773" s="76"/>
      <c r="X773" s="76"/>
      <c r="AD773" s="76"/>
      <c r="AJ773" s="76"/>
      <c r="AP773" s="76"/>
      <c r="AV773" s="76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</row>
    <row r="774">
      <c r="L774" s="76"/>
      <c r="R774" s="76"/>
      <c r="X774" s="76"/>
      <c r="AD774" s="76"/>
      <c r="AJ774" s="76"/>
      <c r="AP774" s="76"/>
      <c r="AV774" s="76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</row>
    <row r="775">
      <c r="L775" s="76"/>
      <c r="R775" s="76"/>
      <c r="X775" s="76"/>
      <c r="AD775" s="76"/>
      <c r="AJ775" s="76"/>
      <c r="AP775" s="76"/>
      <c r="AV775" s="76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</row>
    <row r="776">
      <c r="L776" s="76"/>
      <c r="R776" s="76"/>
      <c r="X776" s="76"/>
      <c r="AD776" s="76"/>
      <c r="AJ776" s="76"/>
      <c r="AP776" s="76"/>
      <c r="AV776" s="76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</row>
    <row r="777">
      <c r="L777" s="76"/>
      <c r="R777" s="76"/>
      <c r="X777" s="76"/>
      <c r="AD777" s="76"/>
      <c r="AJ777" s="76"/>
      <c r="AP777" s="76"/>
      <c r="AV777" s="76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</row>
    <row r="778">
      <c r="L778" s="76"/>
      <c r="R778" s="76"/>
      <c r="X778" s="76"/>
      <c r="AD778" s="76"/>
      <c r="AJ778" s="76"/>
      <c r="AP778" s="76"/>
      <c r="AV778" s="76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</row>
    <row r="779">
      <c r="L779" s="76"/>
      <c r="R779" s="76"/>
      <c r="X779" s="76"/>
      <c r="AD779" s="76"/>
      <c r="AJ779" s="76"/>
      <c r="AP779" s="76"/>
      <c r="AV779" s="76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</row>
    <row r="780">
      <c r="L780" s="76"/>
      <c r="R780" s="76"/>
      <c r="X780" s="76"/>
      <c r="AD780" s="76"/>
      <c r="AJ780" s="76"/>
      <c r="AP780" s="76"/>
      <c r="AV780" s="76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</row>
    <row r="781">
      <c r="L781" s="76"/>
      <c r="R781" s="76"/>
      <c r="X781" s="76"/>
      <c r="AD781" s="76"/>
      <c r="AJ781" s="76"/>
      <c r="AP781" s="76"/>
      <c r="AV781" s="76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</row>
    <row r="782">
      <c r="L782" s="76"/>
      <c r="R782" s="76"/>
      <c r="X782" s="76"/>
      <c r="AD782" s="76"/>
      <c r="AJ782" s="76"/>
      <c r="AP782" s="76"/>
      <c r="AV782" s="76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</row>
    <row r="783">
      <c r="L783" s="76"/>
      <c r="R783" s="76"/>
      <c r="X783" s="76"/>
      <c r="AD783" s="76"/>
      <c r="AJ783" s="76"/>
      <c r="AP783" s="76"/>
      <c r="AV783" s="76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</row>
    <row r="784">
      <c r="L784" s="76"/>
      <c r="R784" s="76"/>
      <c r="X784" s="76"/>
      <c r="AD784" s="76"/>
      <c r="AJ784" s="76"/>
      <c r="AP784" s="76"/>
      <c r="AV784" s="76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</row>
    <row r="785">
      <c r="L785" s="76"/>
      <c r="R785" s="76"/>
      <c r="X785" s="76"/>
      <c r="AD785" s="76"/>
      <c r="AJ785" s="76"/>
      <c r="AP785" s="76"/>
      <c r="AV785" s="76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</row>
    <row r="786">
      <c r="L786" s="76"/>
      <c r="R786" s="76"/>
      <c r="X786" s="76"/>
      <c r="AD786" s="76"/>
      <c r="AJ786" s="76"/>
      <c r="AP786" s="76"/>
      <c r="AV786" s="76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</row>
    <row r="787">
      <c r="L787" s="76"/>
      <c r="R787" s="76"/>
      <c r="X787" s="76"/>
      <c r="AD787" s="76"/>
      <c r="AJ787" s="76"/>
      <c r="AP787" s="76"/>
      <c r="AV787" s="76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</row>
    <row r="788">
      <c r="L788" s="76"/>
      <c r="R788" s="76"/>
      <c r="X788" s="76"/>
      <c r="AD788" s="76"/>
      <c r="AJ788" s="76"/>
      <c r="AP788" s="76"/>
      <c r="AV788" s="76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</row>
    <row r="789">
      <c r="L789" s="76"/>
      <c r="R789" s="76"/>
      <c r="X789" s="76"/>
      <c r="AD789" s="76"/>
      <c r="AJ789" s="76"/>
      <c r="AP789" s="76"/>
      <c r="AV789" s="76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</row>
    <row r="790">
      <c r="L790" s="76"/>
      <c r="R790" s="76"/>
      <c r="X790" s="76"/>
      <c r="AD790" s="76"/>
      <c r="AJ790" s="76"/>
      <c r="AP790" s="76"/>
      <c r="AV790" s="76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</row>
    <row r="791">
      <c r="L791" s="76"/>
      <c r="R791" s="76"/>
      <c r="X791" s="76"/>
      <c r="AD791" s="76"/>
      <c r="AJ791" s="76"/>
      <c r="AP791" s="76"/>
      <c r="AV791" s="76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</row>
    <row r="792">
      <c r="L792" s="76"/>
      <c r="R792" s="76"/>
      <c r="X792" s="76"/>
      <c r="AD792" s="76"/>
      <c r="AJ792" s="76"/>
      <c r="AP792" s="76"/>
      <c r="AV792" s="76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</row>
    <row r="793">
      <c r="L793" s="76"/>
      <c r="R793" s="76"/>
      <c r="X793" s="76"/>
      <c r="AD793" s="76"/>
      <c r="AJ793" s="76"/>
      <c r="AP793" s="76"/>
      <c r="AV793" s="76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</row>
    <row r="794">
      <c r="L794" s="76"/>
      <c r="R794" s="76"/>
      <c r="X794" s="76"/>
      <c r="AD794" s="76"/>
      <c r="AJ794" s="76"/>
      <c r="AP794" s="76"/>
      <c r="AV794" s="76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</row>
    <row r="795">
      <c r="L795" s="76"/>
      <c r="R795" s="76"/>
      <c r="X795" s="76"/>
      <c r="AD795" s="76"/>
      <c r="AJ795" s="76"/>
      <c r="AP795" s="76"/>
      <c r="AV795" s="76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</row>
    <row r="796">
      <c r="L796" s="76"/>
      <c r="R796" s="76"/>
      <c r="X796" s="76"/>
      <c r="AD796" s="76"/>
      <c r="AJ796" s="76"/>
      <c r="AP796" s="76"/>
      <c r="AV796" s="76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</row>
    <row r="797">
      <c r="L797" s="76"/>
      <c r="R797" s="76"/>
      <c r="X797" s="76"/>
      <c r="AD797" s="76"/>
      <c r="AJ797" s="76"/>
      <c r="AP797" s="76"/>
      <c r="AV797" s="76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</row>
    <row r="798">
      <c r="L798" s="76"/>
      <c r="R798" s="76"/>
      <c r="X798" s="76"/>
      <c r="AD798" s="76"/>
      <c r="AJ798" s="76"/>
      <c r="AP798" s="76"/>
      <c r="AV798" s="76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</row>
    <row r="799">
      <c r="L799" s="76"/>
      <c r="R799" s="76"/>
      <c r="X799" s="76"/>
      <c r="AD799" s="76"/>
      <c r="AJ799" s="76"/>
      <c r="AP799" s="76"/>
      <c r="AV799" s="76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</row>
    <row r="800">
      <c r="L800" s="76"/>
      <c r="R800" s="76"/>
      <c r="X800" s="76"/>
      <c r="AD800" s="76"/>
      <c r="AJ800" s="76"/>
      <c r="AP800" s="76"/>
      <c r="AV800" s="76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</row>
    <row r="801">
      <c r="L801" s="76"/>
      <c r="R801" s="76"/>
      <c r="X801" s="76"/>
      <c r="AD801" s="76"/>
      <c r="AJ801" s="76"/>
      <c r="AP801" s="76"/>
      <c r="AV801" s="76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</row>
    <row r="802">
      <c r="L802" s="76"/>
      <c r="R802" s="76"/>
      <c r="X802" s="76"/>
      <c r="AD802" s="76"/>
      <c r="AJ802" s="76"/>
      <c r="AP802" s="76"/>
      <c r="AV802" s="76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</row>
    <row r="803">
      <c r="L803" s="76"/>
      <c r="R803" s="76"/>
      <c r="X803" s="76"/>
      <c r="AD803" s="76"/>
      <c r="AJ803" s="76"/>
      <c r="AP803" s="76"/>
      <c r="AV803" s="76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</row>
    <row r="804">
      <c r="L804" s="76"/>
      <c r="R804" s="76"/>
      <c r="X804" s="76"/>
      <c r="AD804" s="76"/>
      <c r="AJ804" s="76"/>
      <c r="AP804" s="76"/>
      <c r="AV804" s="76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</row>
    <row r="805">
      <c r="L805" s="76"/>
      <c r="R805" s="76"/>
      <c r="X805" s="76"/>
      <c r="AD805" s="76"/>
      <c r="AJ805" s="76"/>
      <c r="AP805" s="76"/>
      <c r="AV805" s="76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</row>
    <row r="806">
      <c r="L806" s="76"/>
      <c r="R806" s="76"/>
      <c r="X806" s="76"/>
      <c r="AD806" s="76"/>
      <c r="AJ806" s="76"/>
      <c r="AP806" s="76"/>
      <c r="AV806" s="76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</row>
    <row r="807">
      <c r="L807" s="76"/>
      <c r="R807" s="76"/>
      <c r="X807" s="76"/>
      <c r="AD807" s="76"/>
      <c r="AJ807" s="76"/>
      <c r="AP807" s="76"/>
      <c r="AV807" s="76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</row>
    <row r="808">
      <c r="L808" s="76"/>
      <c r="R808" s="76"/>
      <c r="X808" s="76"/>
      <c r="AD808" s="76"/>
      <c r="AJ808" s="76"/>
      <c r="AP808" s="76"/>
      <c r="AV808" s="76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</row>
    <row r="809">
      <c r="L809" s="76"/>
      <c r="R809" s="76"/>
      <c r="X809" s="76"/>
      <c r="AD809" s="76"/>
      <c r="AJ809" s="76"/>
      <c r="AP809" s="76"/>
      <c r="AV809" s="76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</row>
    <row r="810">
      <c r="L810" s="76"/>
      <c r="R810" s="76"/>
      <c r="X810" s="76"/>
      <c r="AD810" s="76"/>
      <c r="AJ810" s="76"/>
      <c r="AP810" s="76"/>
      <c r="AV810" s="76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</row>
    <row r="811">
      <c r="L811" s="76"/>
      <c r="R811" s="76"/>
      <c r="X811" s="76"/>
      <c r="AD811" s="76"/>
      <c r="AJ811" s="76"/>
      <c r="AP811" s="76"/>
      <c r="AV811" s="76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</row>
    <row r="812">
      <c r="L812" s="76"/>
      <c r="R812" s="76"/>
      <c r="X812" s="76"/>
      <c r="AD812" s="76"/>
      <c r="AJ812" s="76"/>
      <c r="AP812" s="76"/>
      <c r="AV812" s="76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</row>
    <row r="813">
      <c r="L813" s="76"/>
      <c r="R813" s="76"/>
      <c r="X813" s="76"/>
      <c r="AD813" s="76"/>
      <c r="AJ813" s="76"/>
      <c r="AP813" s="76"/>
      <c r="AV813" s="76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</row>
    <row r="814">
      <c r="L814" s="76"/>
      <c r="R814" s="76"/>
      <c r="X814" s="76"/>
      <c r="AD814" s="76"/>
      <c r="AJ814" s="76"/>
      <c r="AP814" s="76"/>
      <c r="AV814" s="76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</row>
    <row r="815">
      <c r="L815" s="76"/>
      <c r="R815" s="76"/>
      <c r="X815" s="76"/>
      <c r="AD815" s="76"/>
      <c r="AJ815" s="76"/>
      <c r="AP815" s="76"/>
      <c r="AV815" s="76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</row>
    <row r="816">
      <c r="L816" s="76"/>
      <c r="R816" s="76"/>
      <c r="X816" s="76"/>
      <c r="AD816" s="76"/>
      <c r="AJ816" s="76"/>
      <c r="AP816" s="76"/>
      <c r="AV816" s="76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</row>
    <row r="817">
      <c r="L817" s="76"/>
      <c r="R817" s="76"/>
      <c r="X817" s="76"/>
      <c r="AD817" s="76"/>
      <c r="AJ817" s="76"/>
      <c r="AP817" s="76"/>
      <c r="AV817" s="76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</row>
    <row r="818">
      <c r="L818" s="76"/>
      <c r="R818" s="76"/>
      <c r="X818" s="76"/>
      <c r="AD818" s="76"/>
      <c r="AJ818" s="76"/>
      <c r="AP818" s="76"/>
      <c r="AV818" s="76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</row>
    <row r="819">
      <c r="L819" s="76"/>
      <c r="R819" s="76"/>
      <c r="X819" s="76"/>
      <c r="AD819" s="76"/>
      <c r="AJ819" s="76"/>
      <c r="AP819" s="76"/>
      <c r="AV819" s="76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</row>
    <row r="820">
      <c r="L820" s="76"/>
      <c r="R820" s="76"/>
      <c r="X820" s="76"/>
      <c r="AD820" s="76"/>
      <c r="AJ820" s="76"/>
      <c r="AP820" s="76"/>
      <c r="AV820" s="76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</row>
    <row r="821">
      <c r="L821" s="76"/>
      <c r="R821" s="76"/>
      <c r="X821" s="76"/>
      <c r="AD821" s="76"/>
      <c r="AJ821" s="76"/>
      <c r="AP821" s="76"/>
      <c r="AV821" s="76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</row>
    <row r="822">
      <c r="L822" s="76"/>
      <c r="R822" s="76"/>
      <c r="X822" s="76"/>
      <c r="AD822" s="76"/>
      <c r="AJ822" s="76"/>
      <c r="AP822" s="76"/>
      <c r="AV822" s="76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</row>
    <row r="823">
      <c r="L823" s="76"/>
      <c r="R823" s="76"/>
      <c r="X823" s="76"/>
      <c r="AD823" s="76"/>
      <c r="AJ823" s="76"/>
      <c r="AP823" s="76"/>
      <c r="AV823" s="76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</row>
    <row r="824">
      <c r="L824" s="76"/>
      <c r="R824" s="76"/>
      <c r="X824" s="76"/>
      <c r="AD824" s="76"/>
      <c r="AJ824" s="76"/>
      <c r="AP824" s="76"/>
      <c r="AV824" s="76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</row>
    <row r="825">
      <c r="L825" s="76"/>
      <c r="R825" s="76"/>
      <c r="X825" s="76"/>
      <c r="AD825" s="76"/>
      <c r="AJ825" s="76"/>
      <c r="AP825" s="76"/>
      <c r="AV825" s="76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</row>
    <row r="826">
      <c r="L826" s="76"/>
      <c r="R826" s="76"/>
      <c r="X826" s="76"/>
      <c r="AD826" s="76"/>
      <c r="AJ826" s="76"/>
      <c r="AP826" s="76"/>
      <c r="AV826" s="76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</row>
    <row r="827">
      <c r="L827" s="76"/>
      <c r="R827" s="76"/>
      <c r="X827" s="76"/>
      <c r="AD827" s="76"/>
      <c r="AJ827" s="76"/>
      <c r="AP827" s="76"/>
      <c r="AV827" s="76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</row>
    <row r="828">
      <c r="L828" s="76"/>
      <c r="R828" s="76"/>
      <c r="X828" s="76"/>
      <c r="AD828" s="76"/>
      <c r="AJ828" s="76"/>
      <c r="AP828" s="76"/>
      <c r="AV828" s="76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</row>
    <row r="829">
      <c r="L829" s="76"/>
      <c r="R829" s="76"/>
      <c r="X829" s="76"/>
      <c r="AD829" s="76"/>
      <c r="AJ829" s="76"/>
      <c r="AP829" s="76"/>
      <c r="AV829" s="76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</row>
    <row r="830">
      <c r="L830" s="76"/>
      <c r="R830" s="76"/>
      <c r="X830" s="76"/>
      <c r="AD830" s="76"/>
      <c r="AJ830" s="76"/>
      <c r="AP830" s="76"/>
      <c r="AV830" s="76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</row>
    <row r="831">
      <c r="L831" s="76"/>
      <c r="R831" s="76"/>
      <c r="X831" s="76"/>
      <c r="AD831" s="76"/>
      <c r="AJ831" s="76"/>
      <c r="AP831" s="76"/>
      <c r="AV831" s="76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</row>
    <row r="832">
      <c r="L832" s="76"/>
      <c r="R832" s="76"/>
      <c r="X832" s="76"/>
      <c r="AD832" s="76"/>
      <c r="AJ832" s="76"/>
      <c r="AP832" s="76"/>
      <c r="AV832" s="76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</row>
    <row r="833">
      <c r="L833" s="76"/>
      <c r="R833" s="76"/>
      <c r="X833" s="76"/>
      <c r="AD833" s="76"/>
      <c r="AJ833" s="76"/>
      <c r="AP833" s="76"/>
      <c r="AV833" s="76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</row>
    <row r="834">
      <c r="L834" s="76"/>
      <c r="R834" s="76"/>
      <c r="X834" s="76"/>
      <c r="AD834" s="76"/>
      <c r="AJ834" s="76"/>
      <c r="AP834" s="76"/>
      <c r="AV834" s="76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</row>
    <row r="835">
      <c r="L835" s="76"/>
      <c r="R835" s="76"/>
      <c r="X835" s="76"/>
      <c r="AD835" s="76"/>
      <c r="AJ835" s="76"/>
      <c r="AP835" s="76"/>
      <c r="AV835" s="76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</row>
    <row r="836">
      <c r="L836" s="76"/>
      <c r="R836" s="76"/>
      <c r="X836" s="76"/>
      <c r="AD836" s="76"/>
      <c r="AJ836" s="76"/>
      <c r="AP836" s="76"/>
      <c r="AV836" s="76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</row>
    <row r="837">
      <c r="L837" s="76"/>
      <c r="R837" s="76"/>
      <c r="X837" s="76"/>
      <c r="AD837" s="76"/>
      <c r="AJ837" s="76"/>
      <c r="AP837" s="76"/>
      <c r="AV837" s="76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</row>
    <row r="838">
      <c r="L838" s="76"/>
      <c r="R838" s="76"/>
      <c r="X838" s="76"/>
      <c r="AD838" s="76"/>
      <c r="AJ838" s="76"/>
      <c r="AP838" s="76"/>
      <c r="AV838" s="76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</row>
    <row r="839">
      <c r="L839" s="76"/>
      <c r="R839" s="76"/>
      <c r="X839" s="76"/>
      <c r="AD839" s="76"/>
      <c r="AJ839" s="76"/>
      <c r="AP839" s="76"/>
      <c r="AV839" s="76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</row>
    <row r="840">
      <c r="L840" s="76"/>
      <c r="R840" s="76"/>
      <c r="X840" s="76"/>
      <c r="AD840" s="76"/>
      <c r="AJ840" s="76"/>
      <c r="AP840" s="76"/>
      <c r="AV840" s="76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</row>
    <row r="841">
      <c r="L841" s="76"/>
      <c r="R841" s="76"/>
      <c r="X841" s="76"/>
      <c r="AD841" s="76"/>
      <c r="AJ841" s="76"/>
      <c r="AP841" s="76"/>
      <c r="AV841" s="76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</row>
    <row r="842">
      <c r="L842" s="76"/>
      <c r="R842" s="76"/>
      <c r="X842" s="76"/>
      <c r="AD842" s="76"/>
      <c r="AJ842" s="76"/>
      <c r="AP842" s="76"/>
      <c r="AV842" s="76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</row>
    <row r="843">
      <c r="L843" s="76"/>
      <c r="R843" s="76"/>
      <c r="X843" s="76"/>
      <c r="AD843" s="76"/>
      <c r="AJ843" s="76"/>
      <c r="AP843" s="76"/>
      <c r="AV843" s="76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</row>
    <row r="844">
      <c r="L844" s="76"/>
      <c r="R844" s="76"/>
      <c r="X844" s="76"/>
      <c r="AD844" s="76"/>
      <c r="AJ844" s="76"/>
      <c r="AP844" s="76"/>
      <c r="AV844" s="76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</row>
    <row r="845">
      <c r="L845" s="76"/>
      <c r="R845" s="76"/>
      <c r="X845" s="76"/>
      <c r="AD845" s="76"/>
      <c r="AJ845" s="76"/>
      <c r="AP845" s="76"/>
      <c r="AV845" s="76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</row>
    <row r="846">
      <c r="L846" s="76"/>
      <c r="R846" s="76"/>
      <c r="X846" s="76"/>
      <c r="AD846" s="76"/>
      <c r="AJ846" s="76"/>
      <c r="AP846" s="76"/>
      <c r="AV846" s="76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</row>
    <row r="847">
      <c r="L847" s="76"/>
      <c r="R847" s="76"/>
      <c r="X847" s="76"/>
      <c r="AD847" s="76"/>
      <c r="AJ847" s="76"/>
      <c r="AP847" s="76"/>
      <c r="AV847" s="76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</row>
    <row r="848">
      <c r="L848" s="76"/>
      <c r="R848" s="76"/>
      <c r="X848" s="76"/>
      <c r="AD848" s="76"/>
      <c r="AJ848" s="76"/>
      <c r="AP848" s="76"/>
      <c r="AV848" s="76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</row>
    <row r="849">
      <c r="L849" s="76"/>
      <c r="R849" s="76"/>
      <c r="X849" s="76"/>
      <c r="AD849" s="76"/>
      <c r="AJ849" s="76"/>
      <c r="AP849" s="76"/>
      <c r="AV849" s="76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</row>
    <row r="850">
      <c r="L850" s="76"/>
      <c r="R850" s="76"/>
      <c r="X850" s="76"/>
      <c r="AD850" s="76"/>
      <c r="AJ850" s="76"/>
      <c r="AP850" s="76"/>
      <c r="AV850" s="76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</row>
    <row r="851">
      <c r="L851" s="76"/>
      <c r="R851" s="76"/>
      <c r="X851" s="76"/>
      <c r="AD851" s="76"/>
      <c r="AJ851" s="76"/>
      <c r="AP851" s="76"/>
      <c r="AV851" s="76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</row>
    <row r="852">
      <c r="L852" s="76"/>
      <c r="R852" s="76"/>
      <c r="X852" s="76"/>
      <c r="AD852" s="76"/>
      <c r="AJ852" s="76"/>
      <c r="AP852" s="76"/>
      <c r="AV852" s="76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</row>
    <row r="853">
      <c r="L853" s="76"/>
      <c r="R853" s="76"/>
      <c r="X853" s="76"/>
      <c r="AD853" s="76"/>
      <c r="AJ853" s="76"/>
      <c r="AP853" s="76"/>
      <c r="AV853" s="76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</row>
    <row r="854">
      <c r="L854" s="76"/>
      <c r="R854" s="76"/>
      <c r="X854" s="76"/>
      <c r="AD854" s="76"/>
      <c r="AJ854" s="76"/>
      <c r="AP854" s="76"/>
      <c r="AV854" s="76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</row>
    <row r="855">
      <c r="L855" s="76"/>
      <c r="R855" s="76"/>
      <c r="X855" s="76"/>
      <c r="AD855" s="76"/>
      <c r="AJ855" s="76"/>
      <c r="AP855" s="76"/>
      <c r="AV855" s="76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</row>
    <row r="856">
      <c r="L856" s="76"/>
      <c r="R856" s="76"/>
      <c r="X856" s="76"/>
      <c r="AD856" s="76"/>
      <c r="AJ856" s="76"/>
      <c r="AP856" s="76"/>
      <c r="AV856" s="76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</row>
    <row r="857">
      <c r="L857" s="76"/>
      <c r="R857" s="76"/>
      <c r="X857" s="76"/>
      <c r="AD857" s="76"/>
      <c r="AJ857" s="76"/>
      <c r="AP857" s="76"/>
      <c r="AV857" s="76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</row>
    <row r="858">
      <c r="L858" s="76"/>
      <c r="R858" s="76"/>
      <c r="X858" s="76"/>
      <c r="AD858" s="76"/>
      <c r="AJ858" s="76"/>
      <c r="AP858" s="76"/>
      <c r="AV858" s="76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</row>
    <row r="859">
      <c r="L859" s="76"/>
      <c r="R859" s="76"/>
      <c r="X859" s="76"/>
      <c r="AD859" s="76"/>
      <c r="AJ859" s="76"/>
      <c r="AP859" s="76"/>
      <c r="AV859" s="76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</row>
    <row r="860">
      <c r="L860" s="76"/>
      <c r="R860" s="76"/>
      <c r="X860" s="76"/>
      <c r="AD860" s="76"/>
      <c r="AJ860" s="76"/>
      <c r="AP860" s="76"/>
      <c r="AV860" s="76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</row>
    <row r="861">
      <c r="L861" s="76"/>
      <c r="R861" s="76"/>
      <c r="X861" s="76"/>
      <c r="AD861" s="76"/>
      <c r="AJ861" s="76"/>
      <c r="AP861" s="76"/>
      <c r="AV861" s="76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</row>
    <row r="862">
      <c r="L862" s="76"/>
      <c r="R862" s="76"/>
      <c r="X862" s="76"/>
      <c r="AD862" s="76"/>
      <c r="AJ862" s="76"/>
      <c r="AP862" s="76"/>
      <c r="AV862" s="76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</row>
    <row r="863">
      <c r="L863" s="76"/>
      <c r="R863" s="76"/>
      <c r="X863" s="76"/>
      <c r="AD863" s="76"/>
      <c r="AJ863" s="76"/>
      <c r="AP863" s="76"/>
      <c r="AV863" s="76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</row>
    <row r="864">
      <c r="L864" s="76"/>
      <c r="R864" s="76"/>
      <c r="X864" s="76"/>
      <c r="AD864" s="76"/>
      <c r="AJ864" s="76"/>
      <c r="AP864" s="76"/>
      <c r="AV864" s="76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</row>
    <row r="865">
      <c r="L865" s="76"/>
      <c r="R865" s="76"/>
      <c r="X865" s="76"/>
      <c r="AD865" s="76"/>
      <c r="AJ865" s="76"/>
      <c r="AP865" s="76"/>
      <c r="AV865" s="76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</row>
    <row r="866">
      <c r="L866" s="76"/>
      <c r="R866" s="76"/>
      <c r="X866" s="76"/>
      <c r="AD866" s="76"/>
      <c r="AJ866" s="76"/>
      <c r="AP866" s="76"/>
      <c r="AV866" s="76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</row>
    <row r="867">
      <c r="L867" s="76"/>
      <c r="R867" s="76"/>
      <c r="X867" s="76"/>
      <c r="AD867" s="76"/>
      <c r="AJ867" s="76"/>
      <c r="AP867" s="76"/>
      <c r="AV867" s="76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</row>
    <row r="868">
      <c r="L868" s="76"/>
      <c r="R868" s="76"/>
      <c r="X868" s="76"/>
      <c r="AD868" s="76"/>
      <c r="AJ868" s="76"/>
      <c r="AP868" s="76"/>
      <c r="AV868" s="76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</row>
    <row r="869">
      <c r="L869" s="76"/>
      <c r="R869" s="76"/>
      <c r="X869" s="76"/>
      <c r="AD869" s="76"/>
      <c r="AJ869" s="76"/>
      <c r="AP869" s="76"/>
      <c r="AV869" s="76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</row>
    <row r="870">
      <c r="L870" s="76"/>
      <c r="R870" s="76"/>
      <c r="X870" s="76"/>
      <c r="AD870" s="76"/>
      <c r="AJ870" s="76"/>
      <c r="AP870" s="76"/>
      <c r="AV870" s="76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</row>
    <row r="871">
      <c r="L871" s="76"/>
      <c r="R871" s="76"/>
      <c r="X871" s="76"/>
      <c r="AD871" s="76"/>
      <c r="AJ871" s="76"/>
      <c r="AP871" s="76"/>
      <c r="AV871" s="76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</row>
    <row r="872">
      <c r="L872" s="76"/>
      <c r="R872" s="76"/>
      <c r="X872" s="76"/>
      <c r="AD872" s="76"/>
      <c r="AJ872" s="76"/>
      <c r="AP872" s="76"/>
      <c r="AV872" s="76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</row>
    <row r="873">
      <c r="L873" s="76"/>
      <c r="R873" s="76"/>
      <c r="X873" s="76"/>
      <c r="AD873" s="76"/>
      <c r="AJ873" s="76"/>
      <c r="AP873" s="76"/>
      <c r="AV873" s="76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</row>
    <row r="874">
      <c r="L874" s="76"/>
      <c r="R874" s="76"/>
      <c r="X874" s="76"/>
      <c r="AD874" s="76"/>
      <c r="AJ874" s="76"/>
      <c r="AP874" s="76"/>
      <c r="AV874" s="76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</row>
    <row r="875">
      <c r="L875" s="76"/>
      <c r="R875" s="76"/>
      <c r="X875" s="76"/>
      <c r="AD875" s="76"/>
      <c r="AJ875" s="76"/>
      <c r="AP875" s="76"/>
      <c r="AV875" s="76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</row>
    <row r="876">
      <c r="L876" s="76"/>
      <c r="R876" s="76"/>
      <c r="X876" s="76"/>
      <c r="AD876" s="76"/>
      <c r="AJ876" s="76"/>
      <c r="AP876" s="76"/>
      <c r="AV876" s="76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</row>
    <row r="877">
      <c r="L877" s="76"/>
      <c r="R877" s="76"/>
      <c r="X877" s="76"/>
      <c r="AD877" s="76"/>
      <c r="AJ877" s="76"/>
      <c r="AP877" s="76"/>
      <c r="AV877" s="76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</row>
    <row r="878">
      <c r="L878" s="76"/>
      <c r="R878" s="76"/>
      <c r="X878" s="76"/>
      <c r="AD878" s="76"/>
      <c r="AJ878" s="76"/>
      <c r="AP878" s="76"/>
      <c r="AV878" s="76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</row>
    <row r="879">
      <c r="L879" s="76"/>
      <c r="R879" s="76"/>
      <c r="X879" s="76"/>
      <c r="AD879" s="76"/>
      <c r="AJ879" s="76"/>
      <c r="AP879" s="76"/>
      <c r="AV879" s="76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</row>
    <row r="880">
      <c r="L880" s="76"/>
      <c r="R880" s="76"/>
      <c r="X880" s="76"/>
      <c r="AD880" s="76"/>
      <c r="AJ880" s="76"/>
      <c r="AP880" s="76"/>
      <c r="AV880" s="76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</row>
    <row r="881">
      <c r="L881" s="76"/>
      <c r="R881" s="76"/>
      <c r="X881" s="76"/>
      <c r="AD881" s="76"/>
      <c r="AJ881" s="76"/>
      <c r="AP881" s="76"/>
      <c r="AV881" s="76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</row>
    <row r="882">
      <c r="L882" s="76"/>
      <c r="R882" s="76"/>
      <c r="X882" s="76"/>
      <c r="AD882" s="76"/>
      <c r="AJ882" s="76"/>
      <c r="AP882" s="76"/>
      <c r="AV882" s="76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</row>
    <row r="883">
      <c r="L883" s="76"/>
      <c r="R883" s="76"/>
      <c r="X883" s="76"/>
      <c r="AD883" s="76"/>
      <c r="AJ883" s="76"/>
      <c r="AP883" s="76"/>
      <c r="AV883" s="76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</row>
    <row r="884">
      <c r="L884" s="76"/>
      <c r="R884" s="76"/>
      <c r="X884" s="76"/>
      <c r="AD884" s="76"/>
      <c r="AJ884" s="76"/>
      <c r="AP884" s="76"/>
      <c r="AV884" s="76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</row>
    <row r="885">
      <c r="L885" s="76"/>
      <c r="R885" s="76"/>
      <c r="X885" s="76"/>
      <c r="AD885" s="76"/>
      <c r="AJ885" s="76"/>
      <c r="AP885" s="76"/>
      <c r="AV885" s="76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</row>
    <row r="886">
      <c r="L886" s="76"/>
      <c r="R886" s="76"/>
      <c r="X886" s="76"/>
      <c r="AD886" s="76"/>
      <c r="AJ886" s="76"/>
      <c r="AP886" s="76"/>
      <c r="AV886" s="76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</row>
    <row r="887">
      <c r="L887" s="76"/>
      <c r="R887" s="76"/>
      <c r="X887" s="76"/>
      <c r="AD887" s="76"/>
      <c r="AJ887" s="76"/>
      <c r="AP887" s="76"/>
      <c r="AV887" s="76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</row>
    <row r="888">
      <c r="L888" s="76"/>
      <c r="R888" s="76"/>
      <c r="X888" s="76"/>
      <c r="AD888" s="76"/>
      <c r="AJ888" s="76"/>
      <c r="AP888" s="76"/>
      <c r="AV888" s="76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</row>
    <row r="889">
      <c r="L889" s="76"/>
      <c r="R889" s="76"/>
      <c r="X889" s="76"/>
      <c r="AD889" s="76"/>
      <c r="AJ889" s="76"/>
      <c r="AP889" s="76"/>
      <c r="AV889" s="76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</row>
    <row r="890">
      <c r="L890" s="76"/>
      <c r="R890" s="76"/>
      <c r="X890" s="76"/>
      <c r="AD890" s="76"/>
      <c r="AJ890" s="76"/>
      <c r="AP890" s="76"/>
      <c r="AV890" s="76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</row>
    <row r="891">
      <c r="L891" s="76"/>
      <c r="R891" s="76"/>
      <c r="X891" s="76"/>
      <c r="AD891" s="76"/>
      <c r="AJ891" s="76"/>
      <c r="AP891" s="76"/>
      <c r="AV891" s="76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</row>
    <row r="892">
      <c r="L892" s="76"/>
      <c r="R892" s="76"/>
      <c r="X892" s="76"/>
      <c r="AD892" s="76"/>
      <c r="AJ892" s="76"/>
      <c r="AP892" s="76"/>
      <c r="AV892" s="76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</row>
    <row r="893">
      <c r="L893" s="76"/>
      <c r="R893" s="76"/>
      <c r="X893" s="76"/>
      <c r="AD893" s="76"/>
      <c r="AJ893" s="76"/>
      <c r="AP893" s="76"/>
      <c r="AV893" s="76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</row>
    <row r="894">
      <c r="L894" s="76"/>
      <c r="R894" s="76"/>
      <c r="X894" s="76"/>
      <c r="AD894" s="76"/>
      <c r="AJ894" s="76"/>
      <c r="AP894" s="76"/>
      <c r="AV894" s="76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</row>
    <row r="895">
      <c r="L895" s="76"/>
      <c r="R895" s="76"/>
      <c r="X895" s="76"/>
      <c r="AD895" s="76"/>
      <c r="AJ895" s="76"/>
      <c r="AP895" s="76"/>
      <c r="AV895" s="76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</row>
    <row r="896">
      <c r="L896" s="76"/>
      <c r="R896" s="76"/>
      <c r="X896" s="76"/>
      <c r="AD896" s="76"/>
      <c r="AJ896" s="76"/>
      <c r="AP896" s="76"/>
      <c r="AV896" s="76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</row>
    <row r="897">
      <c r="L897" s="76"/>
      <c r="R897" s="76"/>
      <c r="X897" s="76"/>
      <c r="AD897" s="76"/>
      <c r="AJ897" s="76"/>
      <c r="AP897" s="76"/>
      <c r="AV897" s="76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</row>
    <row r="898">
      <c r="L898" s="76"/>
      <c r="R898" s="76"/>
      <c r="X898" s="76"/>
      <c r="AD898" s="76"/>
      <c r="AJ898" s="76"/>
      <c r="AP898" s="76"/>
      <c r="AV898" s="76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</row>
    <row r="899">
      <c r="L899" s="76"/>
      <c r="R899" s="76"/>
      <c r="X899" s="76"/>
      <c r="AD899" s="76"/>
      <c r="AJ899" s="76"/>
      <c r="AP899" s="76"/>
      <c r="AV899" s="76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</row>
    <row r="900">
      <c r="L900" s="76"/>
      <c r="R900" s="76"/>
      <c r="X900" s="76"/>
      <c r="AD900" s="76"/>
      <c r="AJ900" s="76"/>
      <c r="AP900" s="76"/>
      <c r="AV900" s="76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</row>
    <row r="901">
      <c r="L901" s="76"/>
      <c r="R901" s="76"/>
      <c r="X901" s="76"/>
      <c r="AD901" s="76"/>
      <c r="AJ901" s="76"/>
      <c r="AP901" s="76"/>
      <c r="AV901" s="76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</row>
    <row r="902">
      <c r="L902" s="76"/>
      <c r="R902" s="76"/>
      <c r="X902" s="76"/>
      <c r="AD902" s="76"/>
      <c r="AJ902" s="76"/>
      <c r="AP902" s="76"/>
      <c r="AV902" s="76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</row>
    <row r="903">
      <c r="L903" s="76"/>
      <c r="R903" s="76"/>
      <c r="X903" s="76"/>
      <c r="AD903" s="76"/>
      <c r="AJ903" s="76"/>
      <c r="AP903" s="76"/>
      <c r="AV903" s="76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</row>
    <row r="904">
      <c r="L904" s="76"/>
      <c r="R904" s="76"/>
      <c r="X904" s="76"/>
      <c r="AD904" s="76"/>
      <c r="AJ904" s="76"/>
      <c r="AP904" s="76"/>
      <c r="AV904" s="76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</row>
    <row r="905">
      <c r="L905" s="76"/>
      <c r="R905" s="76"/>
      <c r="X905" s="76"/>
      <c r="AD905" s="76"/>
      <c r="AJ905" s="76"/>
      <c r="AP905" s="76"/>
      <c r="AV905" s="76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</row>
    <row r="906">
      <c r="L906" s="76"/>
      <c r="R906" s="76"/>
      <c r="X906" s="76"/>
      <c r="AD906" s="76"/>
      <c r="AJ906" s="76"/>
      <c r="AP906" s="76"/>
      <c r="AV906" s="76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</row>
    <row r="907">
      <c r="L907" s="76"/>
      <c r="R907" s="76"/>
      <c r="X907" s="76"/>
      <c r="AD907" s="76"/>
      <c r="AJ907" s="76"/>
      <c r="AP907" s="76"/>
      <c r="AV907" s="76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</row>
    <row r="908">
      <c r="L908" s="76"/>
      <c r="R908" s="76"/>
      <c r="X908" s="76"/>
      <c r="AD908" s="76"/>
      <c r="AJ908" s="76"/>
      <c r="AP908" s="76"/>
      <c r="AV908" s="76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</row>
    <row r="909">
      <c r="L909" s="76"/>
      <c r="R909" s="76"/>
      <c r="X909" s="76"/>
      <c r="AD909" s="76"/>
      <c r="AJ909" s="76"/>
      <c r="AP909" s="76"/>
      <c r="AV909" s="76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</row>
    <row r="910">
      <c r="L910" s="76"/>
      <c r="R910" s="76"/>
      <c r="X910" s="76"/>
      <c r="AD910" s="76"/>
      <c r="AJ910" s="76"/>
      <c r="AP910" s="76"/>
      <c r="AV910" s="76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</row>
    <row r="911">
      <c r="L911" s="76"/>
      <c r="R911" s="76"/>
      <c r="X911" s="76"/>
      <c r="AD911" s="76"/>
      <c r="AJ911" s="76"/>
      <c r="AP911" s="76"/>
      <c r="AV911" s="76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</row>
    <row r="912">
      <c r="L912" s="76"/>
      <c r="R912" s="76"/>
      <c r="X912" s="76"/>
      <c r="AD912" s="76"/>
      <c r="AJ912" s="76"/>
      <c r="AP912" s="76"/>
      <c r="AV912" s="76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</row>
    <row r="913">
      <c r="L913" s="76"/>
      <c r="R913" s="76"/>
      <c r="X913" s="76"/>
      <c r="AD913" s="76"/>
      <c r="AJ913" s="76"/>
      <c r="AP913" s="76"/>
      <c r="AV913" s="76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</row>
    <row r="914">
      <c r="L914" s="76"/>
      <c r="R914" s="76"/>
      <c r="X914" s="76"/>
      <c r="AD914" s="76"/>
      <c r="AJ914" s="76"/>
      <c r="AP914" s="76"/>
      <c r="AV914" s="76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</row>
    <row r="915">
      <c r="L915" s="76"/>
      <c r="R915" s="76"/>
      <c r="X915" s="76"/>
      <c r="AD915" s="76"/>
      <c r="AJ915" s="76"/>
      <c r="AP915" s="76"/>
      <c r="AV915" s="76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</row>
    <row r="916">
      <c r="L916" s="76"/>
      <c r="R916" s="76"/>
      <c r="X916" s="76"/>
      <c r="AD916" s="76"/>
      <c r="AJ916" s="76"/>
      <c r="AP916" s="76"/>
      <c r="AV916" s="76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</row>
    <row r="917">
      <c r="L917" s="76"/>
      <c r="R917" s="76"/>
      <c r="X917" s="76"/>
      <c r="AD917" s="76"/>
      <c r="AJ917" s="76"/>
      <c r="AP917" s="76"/>
      <c r="AV917" s="76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</row>
    <row r="918">
      <c r="L918" s="76"/>
      <c r="R918" s="76"/>
      <c r="X918" s="76"/>
      <c r="AD918" s="76"/>
      <c r="AJ918" s="76"/>
      <c r="AP918" s="76"/>
      <c r="AV918" s="76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</row>
    <row r="919">
      <c r="L919" s="76"/>
      <c r="R919" s="76"/>
      <c r="X919" s="76"/>
      <c r="AD919" s="76"/>
      <c r="AJ919" s="76"/>
      <c r="AP919" s="76"/>
      <c r="AV919" s="76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</row>
    <row r="920">
      <c r="L920" s="76"/>
      <c r="R920" s="76"/>
      <c r="X920" s="76"/>
      <c r="AD920" s="76"/>
      <c r="AJ920" s="76"/>
      <c r="AP920" s="76"/>
      <c r="AV920" s="76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</row>
    <row r="921">
      <c r="L921" s="76"/>
      <c r="R921" s="76"/>
      <c r="X921" s="76"/>
      <c r="AD921" s="76"/>
      <c r="AJ921" s="76"/>
      <c r="AP921" s="76"/>
      <c r="AV921" s="76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</row>
    <row r="922">
      <c r="L922" s="76"/>
      <c r="R922" s="76"/>
      <c r="X922" s="76"/>
      <c r="AD922" s="76"/>
      <c r="AJ922" s="76"/>
      <c r="AP922" s="76"/>
      <c r="AV922" s="76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</row>
    <row r="923">
      <c r="L923" s="76"/>
      <c r="R923" s="76"/>
      <c r="X923" s="76"/>
      <c r="AD923" s="76"/>
      <c r="AJ923" s="76"/>
      <c r="AP923" s="76"/>
      <c r="AV923" s="76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</row>
    <row r="924">
      <c r="L924" s="76"/>
      <c r="R924" s="76"/>
      <c r="X924" s="76"/>
      <c r="AD924" s="76"/>
      <c r="AJ924" s="76"/>
      <c r="AP924" s="76"/>
      <c r="AV924" s="76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</row>
    <row r="925">
      <c r="L925" s="76"/>
      <c r="R925" s="76"/>
      <c r="X925" s="76"/>
      <c r="AD925" s="76"/>
      <c r="AJ925" s="76"/>
      <c r="AP925" s="76"/>
      <c r="AV925" s="76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</row>
    <row r="926">
      <c r="L926" s="76"/>
      <c r="R926" s="76"/>
      <c r="X926" s="76"/>
      <c r="AD926" s="76"/>
      <c r="AJ926" s="76"/>
      <c r="AP926" s="76"/>
      <c r="AV926" s="76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</row>
    <row r="927">
      <c r="L927" s="76"/>
      <c r="R927" s="76"/>
      <c r="X927" s="76"/>
      <c r="AD927" s="76"/>
      <c r="AJ927" s="76"/>
      <c r="AP927" s="76"/>
      <c r="AV927" s="76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</row>
    <row r="928">
      <c r="L928" s="76"/>
      <c r="R928" s="76"/>
      <c r="X928" s="76"/>
      <c r="AD928" s="76"/>
      <c r="AJ928" s="76"/>
      <c r="AP928" s="76"/>
      <c r="AV928" s="76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</row>
    <row r="929">
      <c r="L929" s="76"/>
      <c r="R929" s="76"/>
      <c r="X929" s="76"/>
      <c r="AD929" s="76"/>
      <c r="AJ929" s="76"/>
      <c r="AP929" s="76"/>
      <c r="AV929" s="76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</row>
    <row r="930">
      <c r="L930" s="76"/>
      <c r="R930" s="76"/>
      <c r="X930" s="76"/>
      <c r="AD930" s="76"/>
      <c r="AJ930" s="76"/>
      <c r="AP930" s="76"/>
      <c r="AV930" s="76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</row>
    <row r="931">
      <c r="L931" s="76"/>
      <c r="R931" s="76"/>
      <c r="X931" s="76"/>
      <c r="AD931" s="76"/>
      <c r="AJ931" s="76"/>
      <c r="AP931" s="76"/>
      <c r="AV931" s="76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</row>
    <row r="932">
      <c r="L932" s="76"/>
      <c r="R932" s="76"/>
      <c r="X932" s="76"/>
      <c r="AD932" s="76"/>
      <c r="AJ932" s="76"/>
      <c r="AP932" s="76"/>
      <c r="AV932" s="76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</row>
    <row r="933">
      <c r="L933" s="76"/>
      <c r="R933" s="76"/>
      <c r="X933" s="76"/>
      <c r="AD933" s="76"/>
      <c r="AJ933" s="76"/>
      <c r="AP933" s="76"/>
      <c r="AV933" s="76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</row>
    <row r="934">
      <c r="L934" s="76"/>
      <c r="R934" s="76"/>
      <c r="X934" s="76"/>
      <c r="AD934" s="76"/>
      <c r="AJ934" s="76"/>
      <c r="AP934" s="76"/>
      <c r="AV934" s="76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</row>
    <row r="935">
      <c r="L935" s="76"/>
      <c r="R935" s="76"/>
      <c r="X935" s="76"/>
      <c r="AD935" s="76"/>
      <c r="AJ935" s="76"/>
      <c r="AP935" s="76"/>
      <c r="AV935" s="76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</row>
    <row r="936">
      <c r="L936" s="76"/>
      <c r="R936" s="76"/>
      <c r="X936" s="76"/>
      <c r="AD936" s="76"/>
      <c r="AJ936" s="76"/>
      <c r="AP936" s="76"/>
      <c r="AV936" s="76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</row>
    <row r="937">
      <c r="L937" s="76"/>
      <c r="R937" s="76"/>
      <c r="X937" s="76"/>
      <c r="AD937" s="76"/>
      <c r="AJ937" s="76"/>
      <c r="AP937" s="76"/>
      <c r="AV937" s="76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</row>
    <row r="938">
      <c r="L938" s="76"/>
      <c r="R938" s="76"/>
      <c r="X938" s="76"/>
      <c r="AD938" s="76"/>
      <c r="AJ938" s="76"/>
      <c r="AP938" s="76"/>
      <c r="AV938" s="76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</row>
    <row r="939">
      <c r="L939" s="76"/>
      <c r="R939" s="76"/>
      <c r="X939" s="76"/>
      <c r="AD939" s="76"/>
      <c r="AJ939" s="76"/>
      <c r="AP939" s="76"/>
      <c r="AV939" s="76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</row>
    <row r="940">
      <c r="L940" s="76"/>
      <c r="R940" s="76"/>
      <c r="X940" s="76"/>
      <c r="AD940" s="76"/>
      <c r="AJ940" s="76"/>
      <c r="AP940" s="76"/>
      <c r="AV940" s="76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</row>
    <row r="941">
      <c r="L941" s="76"/>
      <c r="R941" s="76"/>
      <c r="X941" s="76"/>
      <c r="AD941" s="76"/>
      <c r="AJ941" s="76"/>
      <c r="AP941" s="76"/>
      <c r="AV941" s="76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</row>
    <row r="942">
      <c r="L942" s="76"/>
      <c r="R942" s="76"/>
      <c r="X942" s="76"/>
      <c r="AD942" s="76"/>
      <c r="AJ942" s="76"/>
      <c r="AP942" s="76"/>
      <c r="AV942" s="76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</row>
    <row r="943">
      <c r="L943" s="76"/>
      <c r="R943" s="76"/>
      <c r="X943" s="76"/>
      <c r="AD943" s="76"/>
      <c r="AJ943" s="76"/>
      <c r="AP943" s="76"/>
      <c r="AV943" s="76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</row>
    <row r="944">
      <c r="L944" s="76"/>
      <c r="R944" s="76"/>
      <c r="X944" s="76"/>
      <c r="AD944" s="76"/>
      <c r="AJ944" s="76"/>
      <c r="AP944" s="76"/>
      <c r="AV944" s="76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</row>
    <row r="945">
      <c r="L945" s="76"/>
      <c r="R945" s="76"/>
      <c r="X945" s="76"/>
      <c r="AD945" s="76"/>
      <c r="AJ945" s="76"/>
      <c r="AP945" s="76"/>
      <c r="AV945" s="76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</row>
    <row r="946">
      <c r="L946" s="76"/>
      <c r="R946" s="76"/>
      <c r="X946" s="76"/>
      <c r="AD946" s="76"/>
      <c r="AJ946" s="76"/>
      <c r="AP946" s="76"/>
      <c r="AV946" s="76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</row>
    <row r="947">
      <c r="L947" s="76"/>
      <c r="R947" s="76"/>
      <c r="X947" s="76"/>
      <c r="AD947" s="76"/>
      <c r="AJ947" s="76"/>
      <c r="AP947" s="76"/>
      <c r="AV947" s="76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</row>
    <row r="948">
      <c r="L948" s="76"/>
      <c r="R948" s="76"/>
      <c r="X948" s="76"/>
      <c r="AD948" s="76"/>
      <c r="AJ948" s="76"/>
      <c r="AP948" s="76"/>
      <c r="AV948" s="76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</row>
    <row r="949">
      <c r="L949" s="76"/>
      <c r="R949" s="76"/>
      <c r="X949" s="76"/>
      <c r="AD949" s="76"/>
      <c r="AJ949" s="76"/>
      <c r="AP949" s="76"/>
      <c r="AV949" s="76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</row>
    <row r="950">
      <c r="L950" s="76"/>
      <c r="R950" s="76"/>
      <c r="X950" s="76"/>
      <c r="AD950" s="76"/>
      <c r="AJ950" s="76"/>
      <c r="AP950" s="76"/>
      <c r="AV950" s="76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</row>
    <row r="951">
      <c r="L951" s="76"/>
      <c r="R951" s="76"/>
      <c r="X951" s="76"/>
      <c r="AD951" s="76"/>
      <c r="AJ951" s="76"/>
      <c r="AP951" s="76"/>
      <c r="AV951" s="76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</row>
    <row r="952">
      <c r="L952" s="76"/>
      <c r="R952" s="76"/>
      <c r="X952" s="76"/>
      <c r="AD952" s="76"/>
      <c r="AJ952" s="76"/>
      <c r="AP952" s="76"/>
      <c r="AV952" s="76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</row>
    <row r="953">
      <c r="L953" s="76"/>
      <c r="R953" s="76"/>
      <c r="X953" s="76"/>
      <c r="AD953" s="76"/>
      <c r="AJ953" s="76"/>
      <c r="AP953" s="76"/>
      <c r="AV953" s="76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</row>
    <row r="954">
      <c r="L954" s="76"/>
      <c r="R954" s="76"/>
      <c r="X954" s="76"/>
      <c r="AD954" s="76"/>
      <c r="AJ954" s="76"/>
      <c r="AP954" s="76"/>
      <c r="AV954" s="76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</row>
    <row r="955">
      <c r="L955" s="76"/>
      <c r="R955" s="76"/>
      <c r="X955" s="76"/>
      <c r="AD955" s="76"/>
      <c r="AJ955" s="76"/>
      <c r="AP955" s="76"/>
      <c r="AV955" s="76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</row>
    <row r="956">
      <c r="L956" s="76"/>
      <c r="R956" s="76"/>
      <c r="X956" s="76"/>
      <c r="AD956" s="76"/>
      <c r="AJ956" s="76"/>
      <c r="AP956" s="76"/>
      <c r="AV956" s="76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</row>
    <row r="957">
      <c r="L957" s="76"/>
      <c r="R957" s="76"/>
      <c r="X957" s="76"/>
      <c r="AD957" s="76"/>
      <c r="AJ957" s="76"/>
      <c r="AP957" s="76"/>
      <c r="AV957" s="76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</row>
    <row r="958">
      <c r="L958" s="76"/>
      <c r="R958" s="76"/>
      <c r="X958" s="76"/>
      <c r="AD958" s="76"/>
      <c r="AJ958" s="76"/>
      <c r="AP958" s="76"/>
      <c r="AV958" s="76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</row>
    <row r="959">
      <c r="L959" s="76"/>
      <c r="R959" s="76"/>
      <c r="X959" s="76"/>
      <c r="AD959" s="76"/>
      <c r="AJ959" s="76"/>
      <c r="AP959" s="76"/>
      <c r="AV959" s="76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</row>
    <row r="960">
      <c r="L960" s="76"/>
      <c r="R960" s="76"/>
      <c r="X960" s="76"/>
      <c r="AD960" s="76"/>
      <c r="AJ960" s="76"/>
      <c r="AP960" s="76"/>
      <c r="AV960" s="76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</row>
    <row r="961">
      <c r="L961" s="76"/>
      <c r="R961" s="76"/>
      <c r="X961" s="76"/>
      <c r="AD961" s="76"/>
      <c r="AJ961" s="76"/>
      <c r="AP961" s="76"/>
      <c r="AV961" s="76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</row>
    <row r="962">
      <c r="L962" s="76"/>
      <c r="R962" s="76"/>
      <c r="X962" s="76"/>
      <c r="AD962" s="76"/>
      <c r="AJ962" s="76"/>
      <c r="AP962" s="76"/>
      <c r="AV962" s="76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</row>
    <row r="963">
      <c r="L963" s="76"/>
      <c r="R963" s="76"/>
      <c r="X963" s="76"/>
      <c r="AD963" s="76"/>
      <c r="AJ963" s="76"/>
      <c r="AP963" s="76"/>
      <c r="AV963" s="76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</row>
    <row r="964">
      <c r="L964" s="76"/>
      <c r="R964" s="76"/>
      <c r="X964" s="76"/>
      <c r="AD964" s="76"/>
      <c r="AJ964" s="76"/>
      <c r="AP964" s="76"/>
      <c r="AV964" s="76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</row>
    <row r="965">
      <c r="L965" s="76"/>
      <c r="R965" s="76"/>
      <c r="X965" s="76"/>
      <c r="AD965" s="76"/>
      <c r="AJ965" s="76"/>
      <c r="AP965" s="76"/>
      <c r="AV965" s="76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</row>
    <row r="966">
      <c r="L966" s="76"/>
      <c r="R966" s="76"/>
      <c r="X966" s="76"/>
      <c r="AD966" s="76"/>
      <c r="AJ966" s="76"/>
      <c r="AP966" s="76"/>
      <c r="AV966" s="76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</row>
    <row r="967">
      <c r="L967" s="76"/>
      <c r="R967" s="76"/>
      <c r="X967" s="76"/>
      <c r="AD967" s="76"/>
      <c r="AJ967" s="76"/>
      <c r="AP967" s="76"/>
      <c r="AV967" s="76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</row>
    <row r="968">
      <c r="L968" s="76"/>
      <c r="R968" s="76"/>
      <c r="X968" s="76"/>
      <c r="AD968" s="76"/>
      <c r="AJ968" s="76"/>
      <c r="AP968" s="76"/>
      <c r="AV968" s="76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</row>
    <row r="969">
      <c r="L969" s="76"/>
      <c r="R969" s="76"/>
      <c r="X969" s="76"/>
      <c r="AD969" s="76"/>
      <c r="AJ969" s="76"/>
      <c r="AP969" s="76"/>
      <c r="AV969" s="76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</row>
    <row r="970">
      <c r="L970" s="76"/>
      <c r="R970" s="76"/>
      <c r="X970" s="76"/>
      <c r="AD970" s="76"/>
      <c r="AJ970" s="76"/>
      <c r="AP970" s="76"/>
      <c r="AV970" s="76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</row>
    <row r="971">
      <c r="L971" s="76"/>
      <c r="R971" s="76"/>
      <c r="X971" s="76"/>
      <c r="AD971" s="76"/>
      <c r="AJ971" s="76"/>
      <c r="AP971" s="76"/>
      <c r="AV971" s="76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</row>
    <row r="972">
      <c r="L972" s="76"/>
      <c r="R972" s="76"/>
      <c r="X972" s="76"/>
      <c r="AD972" s="76"/>
      <c r="AJ972" s="76"/>
      <c r="AP972" s="76"/>
      <c r="AV972" s="76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</row>
    <row r="973">
      <c r="L973" s="76"/>
      <c r="R973" s="76"/>
      <c r="X973" s="76"/>
      <c r="AD973" s="76"/>
      <c r="AJ973" s="76"/>
      <c r="AP973" s="76"/>
      <c r="AV973" s="76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</row>
    <row r="974">
      <c r="L974" s="76"/>
      <c r="R974" s="76"/>
      <c r="X974" s="76"/>
      <c r="AD974" s="76"/>
      <c r="AJ974" s="76"/>
      <c r="AP974" s="76"/>
      <c r="AV974" s="76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</row>
    <row r="975">
      <c r="L975" s="76"/>
      <c r="R975" s="76"/>
      <c r="X975" s="76"/>
      <c r="AD975" s="76"/>
      <c r="AJ975" s="76"/>
      <c r="AP975" s="76"/>
      <c r="AV975" s="76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</row>
    <row r="976">
      <c r="L976" s="76"/>
      <c r="R976" s="76"/>
      <c r="X976" s="76"/>
      <c r="AD976" s="76"/>
      <c r="AJ976" s="76"/>
      <c r="AP976" s="76"/>
      <c r="AV976" s="76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</row>
    <row r="977">
      <c r="L977" s="76"/>
      <c r="R977" s="76"/>
      <c r="X977" s="76"/>
      <c r="AD977" s="76"/>
      <c r="AJ977" s="76"/>
      <c r="AP977" s="76"/>
      <c r="AV977" s="76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</row>
    <row r="978">
      <c r="L978" s="76"/>
      <c r="R978" s="76"/>
      <c r="X978" s="76"/>
      <c r="AD978" s="76"/>
      <c r="AJ978" s="76"/>
      <c r="AP978" s="76"/>
      <c r="AV978" s="76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</row>
    <row r="979">
      <c r="L979" s="76"/>
      <c r="R979" s="76"/>
      <c r="X979" s="76"/>
      <c r="AD979" s="76"/>
      <c r="AJ979" s="76"/>
      <c r="AP979" s="76"/>
      <c r="AV979" s="76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</row>
    <row r="980">
      <c r="L980" s="76"/>
      <c r="R980" s="76"/>
      <c r="X980" s="76"/>
      <c r="AD980" s="76"/>
      <c r="AJ980" s="76"/>
      <c r="AP980" s="76"/>
      <c r="AV980" s="76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</row>
    <row r="981">
      <c r="L981" s="76"/>
      <c r="R981" s="76"/>
      <c r="X981" s="76"/>
      <c r="AD981" s="76"/>
      <c r="AJ981" s="76"/>
      <c r="AP981" s="76"/>
      <c r="AV981" s="76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</row>
    <row r="982">
      <c r="L982" s="76"/>
      <c r="R982" s="76"/>
      <c r="X982" s="76"/>
      <c r="AD982" s="76"/>
      <c r="AJ982" s="76"/>
      <c r="AP982" s="76"/>
      <c r="AV982" s="76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</row>
    <row r="983">
      <c r="L983" s="76"/>
      <c r="R983" s="76"/>
      <c r="X983" s="76"/>
      <c r="AD983" s="76"/>
      <c r="AJ983" s="76"/>
      <c r="AP983" s="76"/>
      <c r="AV983" s="76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</row>
    <row r="984">
      <c r="L984" s="76"/>
      <c r="R984" s="76"/>
      <c r="X984" s="76"/>
      <c r="AD984" s="76"/>
      <c r="AJ984" s="76"/>
      <c r="AP984" s="76"/>
      <c r="AV984" s="76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</row>
    <row r="985">
      <c r="L985" s="76"/>
      <c r="R985" s="76"/>
      <c r="X985" s="76"/>
      <c r="AD985" s="76"/>
      <c r="AJ985" s="76"/>
      <c r="AP985" s="76"/>
      <c r="AV985" s="76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</row>
    <row r="986">
      <c r="L986" s="76"/>
      <c r="R986" s="76"/>
      <c r="X986" s="76"/>
      <c r="AD986" s="76"/>
      <c r="AJ986" s="76"/>
      <c r="AP986" s="76"/>
      <c r="AV986" s="76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</row>
    <row r="987">
      <c r="L987" s="76"/>
      <c r="R987" s="76"/>
      <c r="X987" s="76"/>
      <c r="AD987" s="76"/>
      <c r="AJ987" s="76"/>
      <c r="AP987" s="76"/>
      <c r="AV987" s="76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</row>
    <row r="988">
      <c r="L988" s="76"/>
      <c r="R988" s="76"/>
      <c r="X988" s="76"/>
      <c r="AD988" s="76"/>
      <c r="AJ988" s="76"/>
      <c r="AP988" s="76"/>
      <c r="AV988" s="76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</row>
    <row r="989">
      <c r="L989" s="76"/>
      <c r="R989" s="76"/>
      <c r="X989" s="76"/>
      <c r="AD989" s="76"/>
      <c r="AJ989" s="76"/>
      <c r="AP989" s="76"/>
      <c r="AV989" s="76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</row>
    <row r="990">
      <c r="L990" s="76"/>
      <c r="R990" s="76"/>
      <c r="X990" s="76"/>
      <c r="AD990" s="76"/>
      <c r="AJ990" s="76"/>
      <c r="AP990" s="76"/>
      <c r="AV990" s="76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</row>
    <row r="991">
      <c r="L991" s="76"/>
      <c r="R991" s="76"/>
      <c r="X991" s="76"/>
      <c r="AD991" s="76"/>
      <c r="AJ991" s="76"/>
      <c r="AP991" s="76"/>
      <c r="AV991" s="76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</row>
    <row r="992">
      <c r="L992" s="76"/>
      <c r="R992" s="76"/>
      <c r="X992" s="76"/>
      <c r="AD992" s="76"/>
      <c r="AJ992" s="76"/>
      <c r="AP992" s="76"/>
      <c r="AV992" s="76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</row>
    <row r="993">
      <c r="L993" s="76"/>
      <c r="R993" s="76"/>
      <c r="X993" s="76"/>
      <c r="AD993" s="76"/>
      <c r="AJ993" s="76"/>
      <c r="AP993" s="76"/>
      <c r="AV993" s="76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</row>
    <row r="994">
      <c r="L994" s="76"/>
      <c r="R994" s="76"/>
      <c r="X994" s="76"/>
      <c r="AD994" s="76"/>
      <c r="AJ994" s="76"/>
      <c r="AP994" s="76"/>
      <c r="AV994" s="76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</row>
    <row r="995">
      <c r="L995" s="76"/>
      <c r="R995" s="76"/>
      <c r="X995" s="76"/>
      <c r="AD995" s="76"/>
      <c r="AJ995" s="76"/>
      <c r="AP995" s="76"/>
      <c r="AV995" s="76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</row>
    <row r="996">
      <c r="L996" s="76"/>
      <c r="R996" s="76"/>
      <c r="X996" s="76"/>
      <c r="AD996" s="76"/>
      <c r="AJ996" s="76"/>
      <c r="AP996" s="76"/>
      <c r="AV996" s="76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</row>
    <row r="997">
      <c r="L997" s="76"/>
      <c r="R997" s="76"/>
      <c r="X997" s="76"/>
      <c r="AD997" s="76"/>
      <c r="AJ997" s="76"/>
      <c r="AP997" s="76"/>
      <c r="AV997" s="76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</row>
    <row r="998">
      <c r="L998" s="76"/>
      <c r="R998" s="76"/>
      <c r="X998" s="76"/>
      <c r="AD998" s="76"/>
      <c r="AJ998" s="76"/>
      <c r="AP998" s="76"/>
      <c r="AV998" s="76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</row>
    <row r="999">
      <c r="L999" s="76"/>
      <c r="R999" s="76"/>
      <c r="X999" s="76"/>
      <c r="AD999" s="76"/>
      <c r="AJ999" s="76"/>
      <c r="AP999" s="76"/>
      <c r="AV999" s="76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</row>
    <row r="1000">
      <c r="L1000" s="76"/>
      <c r="R1000" s="76"/>
      <c r="X1000" s="76"/>
      <c r="AD1000" s="76"/>
      <c r="AJ1000" s="76"/>
      <c r="AP1000" s="76"/>
      <c r="AV1000" s="76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</row>
    <row r="1001">
      <c r="L1001" s="76"/>
      <c r="R1001" s="76"/>
      <c r="X1001" s="76"/>
      <c r="AD1001" s="76"/>
      <c r="AJ1001" s="76"/>
      <c r="AP1001" s="76"/>
      <c r="AV1001" s="76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</row>
    <row r="1002">
      <c r="L1002" s="76"/>
      <c r="R1002" s="76"/>
      <c r="X1002" s="76"/>
      <c r="AD1002" s="76"/>
      <c r="AJ1002" s="76"/>
      <c r="AP1002" s="76"/>
      <c r="AV1002" s="76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</row>
    <row r="1003">
      <c r="L1003" s="76"/>
      <c r="R1003" s="76"/>
      <c r="X1003" s="76"/>
      <c r="AD1003" s="76"/>
      <c r="AJ1003" s="76"/>
      <c r="AP1003" s="76"/>
      <c r="AV1003" s="76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</row>
    <row r="1004">
      <c r="L1004" s="76"/>
      <c r="R1004" s="76"/>
      <c r="X1004" s="76"/>
      <c r="AD1004" s="76"/>
      <c r="AJ1004" s="76"/>
      <c r="AP1004" s="76"/>
      <c r="AV1004" s="76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</row>
    <row r="1005">
      <c r="L1005" s="76"/>
      <c r="R1005" s="76"/>
      <c r="X1005" s="76"/>
      <c r="AD1005" s="76"/>
      <c r="AJ1005" s="76"/>
      <c r="AP1005" s="76"/>
      <c r="AV1005" s="76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</row>
    <row r="1006">
      <c r="L1006" s="76"/>
      <c r="R1006" s="76"/>
      <c r="X1006" s="76"/>
      <c r="AD1006" s="76"/>
      <c r="AJ1006" s="76"/>
      <c r="AP1006" s="76"/>
      <c r="AV1006" s="76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</row>
    <row r="1007">
      <c r="L1007" s="76"/>
      <c r="R1007" s="76"/>
      <c r="X1007" s="76"/>
      <c r="AD1007" s="76"/>
      <c r="AJ1007" s="76"/>
      <c r="AP1007" s="76"/>
      <c r="AV1007" s="76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  <c r="BG1007" s="38"/>
      <c r="BH1007" s="38"/>
      <c r="BI1007" s="38"/>
      <c r="BJ1007" s="38"/>
      <c r="BK1007" s="38"/>
    </row>
    <row r="1008">
      <c r="L1008" s="76"/>
      <c r="R1008" s="76"/>
      <c r="X1008" s="76"/>
      <c r="AD1008" s="76"/>
      <c r="AJ1008" s="76"/>
      <c r="AP1008" s="76"/>
      <c r="AV1008" s="76"/>
      <c r="AW1008" s="38"/>
      <c r="AX1008" s="38"/>
      <c r="AY1008" s="38"/>
      <c r="AZ1008" s="38"/>
      <c r="BA1008" s="38"/>
      <c r="BB1008" s="38"/>
      <c r="BC1008" s="38"/>
      <c r="BD1008" s="38"/>
      <c r="BE1008" s="38"/>
      <c r="BF1008" s="38"/>
      <c r="BG1008" s="38"/>
      <c r="BH1008" s="38"/>
      <c r="BI1008" s="38"/>
      <c r="BJ1008" s="38"/>
      <c r="BK1008" s="38"/>
    </row>
    <row r="1009">
      <c r="L1009" s="76"/>
      <c r="R1009" s="76"/>
      <c r="X1009" s="76"/>
      <c r="AD1009" s="76"/>
      <c r="AJ1009" s="76"/>
      <c r="AP1009" s="76"/>
      <c r="AV1009" s="76"/>
      <c r="AW1009" s="38"/>
      <c r="AX1009" s="38"/>
      <c r="AY1009" s="38"/>
      <c r="AZ1009" s="38"/>
      <c r="BA1009" s="38"/>
      <c r="BB1009" s="38"/>
      <c r="BC1009" s="38"/>
      <c r="BD1009" s="38"/>
      <c r="BE1009" s="38"/>
      <c r="BF1009" s="38"/>
      <c r="BG1009" s="38"/>
      <c r="BH1009" s="38"/>
      <c r="BI1009" s="38"/>
      <c r="BJ1009" s="38"/>
      <c r="BK1009" s="38"/>
    </row>
    <row r="1010">
      <c r="L1010" s="76"/>
      <c r="R1010" s="76"/>
      <c r="X1010" s="76"/>
      <c r="AD1010" s="76"/>
      <c r="AJ1010" s="76"/>
      <c r="AP1010" s="76"/>
      <c r="AV1010" s="76"/>
      <c r="AW1010" s="38"/>
      <c r="AX1010" s="38"/>
      <c r="AY1010" s="38"/>
      <c r="AZ1010" s="38"/>
      <c r="BA1010" s="38"/>
      <c r="BB1010" s="38"/>
      <c r="BC1010" s="38"/>
      <c r="BD1010" s="38"/>
      <c r="BE1010" s="38"/>
      <c r="BF1010" s="38"/>
      <c r="BG1010" s="38"/>
      <c r="BH1010" s="38"/>
      <c r="BI1010" s="38"/>
      <c r="BJ1010" s="38"/>
      <c r="BK1010" s="38"/>
    </row>
    <row r="1011">
      <c r="L1011" s="76"/>
      <c r="R1011" s="76"/>
      <c r="X1011" s="76"/>
      <c r="AD1011" s="76"/>
      <c r="AJ1011" s="76"/>
      <c r="AP1011" s="76"/>
      <c r="AV1011" s="76"/>
      <c r="AW1011" s="38"/>
      <c r="AX1011" s="38"/>
      <c r="AY1011" s="38"/>
      <c r="AZ1011" s="38"/>
      <c r="BA1011" s="38"/>
      <c r="BB1011" s="38"/>
      <c r="BC1011" s="38"/>
      <c r="BD1011" s="38"/>
      <c r="BE1011" s="38"/>
      <c r="BF1011" s="38"/>
      <c r="BG1011" s="38"/>
      <c r="BH1011" s="38"/>
      <c r="BI1011" s="38"/>
      <c r="BJ1011" s="38"/>
      <c r="BK1011" s="38"/>
    </row>
    <row r="1012">
      <c r="L1012" s="76"/>
      <c r="R1012" s="76"/>
      <c r="X1012" s="76"/>
      <c r="AD1012" s="76"/>
      <c r="AJ1012" s="76"/>
      <c r="AP1012" s="76"/>
      <c r="AV1012" s="76"/>
      <c r="AW1012" s="38"/>
      <c r="AX1012" s="38"/>
      <c r="AY1012" s="38"/>
      <c r="AZ1012" s="38"/>
      <c r="BA1012" s="38"/>
      <c r="BB1012" s="38"/>
      <c r="BC1012" s="38"/>
      <c r="BD1012" s="38"/>
      <c r="BE1012" s="38"/>
      <c r="BF1012" s="38"/>
      <c r="BG1012" s="38"/>
      <c r="BH1012" s="38"/>
      <c r="BI1012" s="38"/>
      <c r="BJ1012" s="38"/>
      <c r="BK1012" s="38"/>
    </row>
    <row r="1013">
      <c r="L1013" s="76"/>
      <c r="R1013" s="76"/>
      <c r="X1013" s="76"/>
      <c r="AD1013" s="76"/>
      <c r="AJ1013" s="76"/>
      <c r="AP1013" s="76"/>
      <c r="AV1013" s="76"/>
      <c r="AW1013" s="38"/>
      <c r="AX1013" s="38"/>
      <c r="AY1013" s="38"/>
      <c r="AZ1013" s="38"/>
      <c r="BA1013" s="38"/>
      <c r="BB1013" s="38"/>
      <c r="BC1013" s="38"/>
      <c r="BD1013" s="38"/>
      <c r="BE1013" s="38"/>
      <c r="BF1013" s="38"/>
      <c r="BG1013" s="38"/>
      <c r="BH1013" s="38"/>
      <c r="BI1013" s="38"/>
      <c r="BJ1013" s="38"/>
      <c r="BK1013" s="38"/>
    </row>
    <row r="1014">
      <c r="L1014" s="76"/>
      <c r="R1014" s="76"/>
      <c r="X1014" s="76"/>
      <c r="AD1014" s="76"/>
      <c r="AJ1014" s="76"/>
      <c r="AP1014" s="76"/>
      <c r="AV1014" s="76"/>
      <c r="AW1014" s="38"/>
      <c r="AX1014" s="38"/>
      <c r="AY1014" s="38"/>
      <c r="AZ1014" s="38"/>
      <c r="BA1014" s="38"/>
      <c r="BB1014" s="38"/>
      <c r="BC1014" s="38"/>
      <c r="BD1014" s="38"/>
      <c r="BE1014" s="38"/>
      <c r="BF1014" s="38"/>
      <c r="BG1014" s="38"/>
      <c r="BH1014" s="38"/>
      <c r="BI1014" s="38"/>
      <c r="BJ1014" s="38"/>
      <c r="BK1014" s="38"/>
    </row>
    <row r="1015">
      <c r="L1015" s="76"/>
      <c r="R1015" s="76"/>
      <c r="X1015" s="76"/>
      <c r="AD1015" s="76"/>
      <c r="AJ1015" s="76"/>
      <c r="AP1015" s="76"/>
      <c r="AV1015" s="76"/>
      <c r="AW1015" s="38"/>
      <c r="AX1015" s="38"/>
      <c r="AY1015" s="38"/>
      <c r="AZ1015" s="38"/>
      <c r="BA1015" s="38"/>
      <c r="BB1015" s="38"/>
      <c r="BC1015" s="38"/>
      <c r="BD1015" s="38"/>
      <c r="BE1015" s="38"/>
      <c r="BF1015" s="38"/>
      <c r="BG1015" s="38"/>
      <c r="BH1015" s="38"/>
      <c r="BI1015" s="38"/>
      <c r="BJ1015" s="38"/>
      <c r="BK1015" s="3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9.0"/>
    <col customWidth="1" min="3" max="3" width="14.71"/>
    <col customWidth="1" min="4" max="4" width="40.0"/>
    <col customWidth="1" min="5" max="5" width="31.57"/>
    <col customWidth="1" min="6" max="6" width="21.0"/>
    <col customWidth="1" min="7" max="7" width="12.43"/>
  </cols>
  <sheetData>
    <row r="1" ht="27.0" customHeight="1">
      <c r="A1" s="4" t="s">
        <v>15</v>
      </c>
      <c r="B1" s="5"/>
      <c r="C1" s="5"/>
      <c r="D1" s="5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6"/>
      <c r="AR1" s="6"/>
      <c r="AS1" s="6"/>
      <c r="AT1" s="6"/>
      <c r="AU1" s="6"/>
      <c r="AV1" s="6"/>
      <c r="AW1" s="8"/>
      <c r="AX1" s="8"/>
      <c r="AY1" s="6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</row>
    <row r="2" ht="75.0" customHeight="1">
      <c r="A2" s="11" t="s">
        <v>16</v>
      </c>
      <c r="B2" s="11" t="s">
        <v>17</v>
      </c>
      <c r="C2" s="11" t="s">
        <v>18</v>
      </c>
      <c r="D2" s="11" t="s">
        <v>19</v>
      </c>
      <c r="E2" s="11" t="s">
        <v>20</v>
      </c>
      <c r="F2" s="11" t="s">
        <v>21</v>
      </c>
      <c r="G2" s="13" t="s">
        <v>22</v>
      </c>
      <c r="H2" s="13" t="s">
        <v>23</v>
      </c>
      <c r="I2" s="13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29</v>
      </c>
      <c r="O2" s="13" t="s">
        <v>30</v>
      </c>
      <c r="P2" s="13" t="s">
        <v>31</v>
      </c>
      <c r="Q2" s="13" t="s">
        <v>32</v>
      </c>
      <c r="R2" s="13" t="s">
        <v>33</v>
      </c>
      <c r="S2" s="13" t="s">
        <v>34</v>
      </c>
      <c r="T2" s="13" t="s">
        <v>35</v>
      </c>
      <c r="U2" s="13" t="s">
        <v>36</v>
      </c>
      <c r="V2" s="13" t="s">
        <v>37</v>
      </c>
      <c r="W2" s="13" t="s">
        <v>38</v>
      </c>
      <c r="X2" s="13" t="s">
        <v>39</v>
      </c>
      <c r="Y2" s="18" t="s">
        <v>40</v>
      </c>
      <c r="Z2" s="18" t="s">
        <v>41</v>
      </c>
      <c r="AA2" s="18" t="s">
        <v>42</v>
      </c>
      <c r="AB2" s="18" t="s">
        <v>43</v>
      </c>
      <c r="AC2" s="18" t="s">
        <v>44</v>
      </c>
      <c r="AD2" s="18" t="s">
        <v>45</v>
      </c>
      <c r="AE2" s="18" t="s">
        <v>46</v>
      </c>
      <c r="AF2" s="18" t="s">
        <v>47</v>
      </c>
      <c r="AG2" s="18" t="s">
        <v>48</v>
      </c>
      <c r="AH2" s="18" t="s">
        <v>49</v>
      </c>
      <c r="AI2" s="18" t="s">
        <v>50</v>
      </c>
      <c r="AJ2" s="18" t="s">
        <v>51</v>
      </c>
      <c r="AK2" s="18" t="s">
        <v>52</v>
      </c>
      <c r="AL2" s="18" t="s">
        <v>53</v>
      </c>
      <c r="AM2" s="18" t="s">
        <v>54</v>
      </c>
      <c r="AN2" s="18" t="s">
        <v>55</v>
      </c>
      <c r="AO2" s="18" t="s">
        <v>56</v>
      </c>
      <c r="AP2" s="18" t="s">
        <v>57</v>
      </c>
      <c r="AQ2" s="13" t="s">
        <v>61</v>
      </c>
      <c r="AR2" s="13" t="s">
        <v>63</v>
      </c>
      <c r="AS2" s="13" t="s">
        <v>65</v>
      </c>
      <c r="AT2" s="13" t="s">
        <v>66</v>
      </c>
      <c r="AU2" s="13" t="s">
        <v>67</v>
      </c>
      <c r="AV2" s="13" t="s">
        <v>69</v>
      </c>
      <c r="AW2" s="23" t="s">
        <v>70</v>
      </c>
      <c r="AX2" s="23" t="s">
        <v>71</v>
      </c>
      <c r="AY2" s="13" t="s">
        <v>72</v>
      </c>
      <c r="AZ2" s="18" t="s">
        <v>73</v>
      </c>
      <c r="BA2" s="18" t="s">
        <v>74</v>
      </c>
      <c r="BB2" s="18" t="s">
        <v>75</v>
      </c>
      <c r="BC2" s="18" t="s">
        <v>76</v>
      </c>
      <c r="BD2" s="18" t="s">
        <v>77</v>
      </c>
      <c r="BE2" s="18" t="s">
        <v>78</v>
      </c>
      <c r="BF2" s="26"/>
      <c r="BG2" s="26"/>
      <c r="BH2" s="26"/>
      <c r="BI2" s="26"/>
      <c r="BJ2" s="26"/>
      <c r="BK2" s="26"/>
      <c r="BL2" s="28"/>
    </row>
    <row r="3">
      <c r="A3" s="31">
        <v>1.0</v>
      </c>
      <c r="B3" s="31">
        <v>1.0</v>
      </c>
      <c r="C3" s="31" t="s">
        <v>80</v>
      </c>
      <c r="D3" s="31" t="s">
        <v>81</v>
      </c>
      <c r="E3" s="31" t="s">
        <v>82</v>
      </c>
      <c r="F3" s="31">
        <v>1.0</v>
      </c>
      <c r="G3" s="33" t="s">
        <v>83</v>
      </c>
      <c r="H3" s="33">
        <v>6249.4</v>
      </c>
      <c r="I3" s="33" t="s">
        <v>84</v>
      </c>
      <c r="J3" s="33" t="s">
        <v>85</v>
      </c>
      <c r="K3" s="39" t="s">
        <v>87</v>
      </c>
      <c r="L3" s="33"/>
      <c r="M3" s="33" t="s">
        <v>86</v>
      </c>
      <c r="N3" s="31"/>
      <c r="O3" s="31"/>
      <c r="P3" s="31"/>
      <c r="Q3" s="33" t="s">
        <v>91</v>
      </c>
      <c r="R3" s="33"/>
      <c r="S3" s="40" t="s">
        <v>83</v>
      </c>
      <c r="T3" s="33">
        <v>6010.0</v>
      </c>
      <c r="U3" s="33" t="s">
        <v>84</v>
      </c>
      <c r="V3" s="33" t="s">
        <v>92</v>
      </c>
      <c r="W3" s="40" t="s">
        <v>93</v>
      </c>
      <c r="X3" s="33">
        <v>1.0</v>
      </c>
      <c r="Y3" s="33" t="s">
        <v>86</v>
      </c>
      <c r="Z3" s="33"/>
      <c r="AA3" s="33"/>
      <c r="AB3" s="33"/>
      <c r="AC3" s="33" t="s">
        <v>94</v>
      </c>
      <c r="AD3" s="33">
        <v>2.0</v>
      </c>
      <c r="AE3" s="33" t="s">
        <v>86</v>
      </c>
      <c r="AF3" s="33"/>
      <c r="AG3" s="33"/>
      <c r="AH3" s="33"/>
      <c r="AI3" s="33" t="s">
        <v>95</v>
      </c>
      <c r="AJ3" s="33">
        <v>2.0</v>
      </c>
      <c r="AK3" s="33" t="s">
        <v>86</v>
      </c>
      <c r="AL3" s="33"/>
      <c r="AM3" s="33"/>
      <c r="AN3" s="33"/>
      <c r="AO3" s="33" t="s">
        <v>96</v>
      </c>
      <c r="AP3" s="33">
        <v>2.0</v>
      </c>
      <c r="AQ3" s="33" t="s">
        <v>86</v>
      </c>
      <c r="AR3" s="33"/>
      <c r="AS3" s="33"/>
      <c r="AT3" s="33"/>
      <c r="AU3" s="33" t="s">
        <v>98</v>
      </c>
      <c r="AV3" s="33">
        <v>2.0</v>
      </c>
      <c r="AW3" s="31" t="str">
        <f t="shared" ref="AW3:AW33" si="1">IF(OR(COUNT(H3,N3,T3,Z3,AF3,AL3,AR3)&gt;0,G3="Found",M3="Found",S3="Found",Y3="Found",AE3="Found",AK3="Found",AQ3="Found",G3="Carried but zero stock",M3="Carried but zero stock",S3="Carried but zero stock",Y3="Carried but zero stock",AE3="Carried but zero stock",AK3="Carried but zero stock",AQ3="Carried but zero stock"),"Yes","No")</f>
        <v>Yes</v>
      </c>
      <c r="AX3" s="33" t="s">
        <v>104</v>
      </c>
      <c r="AY3" s="31"/>
      <c r="AZ3" s="31"/>
      <c r="BA3" s="31"/>
      <c r="BB3" s="31"/>
      <c r="BC3" s="18" t="str">
        <f t="shared" ref="BC3:BC5" si="2">IF(AW3="Yes","Found at our houses",IF(COUNTIF(G3,"Carried but zero stock")+COUNTIF(M3,"Carried but zero stock")+COUNTIF(S3,"Carried but zero stock")&gt;0,"Carried but zero stock today",IF(AZ3="","Pending",IF(AND(BA3="Yes",BB3="Yes"),"Reachable, adapter needed","No value add"))))</f>
        <v>Found at our houses</v>
      </c>
      <c r="BD3" s="31"/>
      <c r="BE3" s="31"/>
      <c r="BF3" s="38"/>
      <c r="BG3" s="38"/>
      <c r="BH3" s="38"/>
      <c r="BI3" s="38"/>
      <c r="BJ3" s="38"/>
      <c r="BK3" s="38"/>
      <c r="BL3" s="38"/>
    </row>
    <row r="4">
      <c r="A4" s="31">
        <v>2.0</v>
      </c>
      <c r="B4" s="31"/>
      <c r="C4" s="31" t="s">
        <v>80</v>
      </c>
      <c r="D4" s="31" t="s">
        <v>89</v>
      </c>
      <c r="E4" s="31" t="s">
        <v>90</v>
      </c>
      <c r="F4" s="31">
        <v>1.0</v>
      </c>
      <c r="G4" s="33" t="s">
        <v>83</v>
      </c>
      <c r="H4" s="33">
        <v>52.79</v>
      </c>
      <c r="I4" s="33" t="s">
        <v>84</v>
      </c>
      <c r="J4" s="33" t="s">
        <v>110</v>
      </c>
      <c r="K4" s="39" t="s">
        <v>111</v>
      </c>
      <c r="L4" s="33"/>
      <c r="M4" s="33" t="s">
        <v>83</v>
      </c>
      <c r="N4" s="33">
        <v>31.83</v>
      </c>
      <c r="O4" s="33" t="s">
        <v>84</v>
      </c>
      <c r="P4" s="33" t="s">
        <v>114</v>
      </c>
      <c r="Q4" s="39" t="s">
        <v>115</v>
      </c>
      <c r="R4" s="33"/>
      <c r="S4" s="33" t="s">
        <v>83</v>
      </c>
      <c r="T4" s="33">
        <v>34.0</v>
      </c>
      <c r="U4" s="33" t="s">
        <v>84</v>
      </c>
      <c r="V4" s="33" t="s">
        <v>121</v>
      </c>
      <c r="W4" s="40" t="s">
        <v>122</v>
      </c>
      <c r="X4" s="33">
        <v>1.0</v>
      </c>
      <c r="Y4" s="33" t="s">
        <v>83</v>
      </c>
      <c r="Z4" s="33">
        <v>62.025</v>
      </c>
      <c r="AA4" s="33" t="s">
        <v>84</v>
      </c>
      <c r="AB4" s="33" t="s">
        <v>123</v>
      </c>
      <c r="AC4" s="33" t="s">
        <v>124</v>
      </c>
      <c r="AD4" s="33">
        <v>3.0</v>
      </c>
      <c r="AE4" s="33" t="s">
        <v>83</v>
      </c>
      <c r="AF4" s="33">
        <v>73.3</v>
      </c>
      <c r="AG4" s="33" t="s">
        <v>84</v>
      </c>
      <c r="AH4" s="33" t="s">
        <v>125</v>
      </c>
      <c r="AI4" s="33" t="s">
        <v>126</v>
      </c>
      <c r="AJ4" s="33">
        <v>4.0</v>
      </c>
      <c r="AK4" s="33" t="s">
        <v>86</v>
      </c>
      <c r="AL4" s="33"/>
      <c r="AM4" s="33"/>
      <c r="AN4" s="33"/>
      <c r="AO4" s="33" t="s">
        <v>127</v>
      </c>
      <c r="AP4" s="33">
        <v>2.0</v>
      </c>
      <c r="AQ4" s="33" t="s">
        <v>86</v>
      </c>
      <c r="AR4" s="33"/>
      <c r="AS4" s="33"/>
      <c r="AT4" s="33"/>
      <c r="AU4" s="33" t="s">
        <v>128</v>
      </c>
      <c r="AV4" s="33">
        <v>2.0</v>
      </c>
      <c r="AW4" s="33" t="str">
        <f t="shared" si="1"/>
        <v>Yes</v>
      </c>
      <c r="AX4" s="33" t="s">
        <v>104</v>
      </c>
      <c r="AY4" s="33"/>
      <c r="AZ4" s="31"/>
      <c r="BA4" s="31"/>
      <c r="BB4" s="31"/>
      <c r="BC4" s="18" t="str">
        <f t="shared" si="2"/>
        <v>Found at our houses</v>
      </c>
      <c r="BD4" s="31"/>
      <c r="BE4" s="31"/>
      <c r="BF4" s="38"/>
      <c r="BG4" s="38"/>
      <c r="BH4" s="38"/>
      <c r="BI4" s="38"/>
      <c r="BJ4" s="38"/>
      <c r="BK4" s="38"/>
      <c r="BL4" s="38"/>
    </row>
    <row r="5">
      <c r="A5" s="31">
        <v>3.0</v>
      </c>
      <c r="B5" s="31"/>
      <c r="C5" s="31" t="s">
        <v>80</v>
      </c>
      <c r="D5" s="31" t="s">
        <v>97</v>
      </c>
      <c r="E5" s="33" t="s">
        <v>99</v>
      </c>
      <c r="F5" s="31">
        <v>1.0</v>
      </c>
      <c r="G5" s="33" t="s">
        <v>86</v>
      </c>
      <c r="H5" s="31"/>
      <c r="I5" s="31"/>
      <c r="J5" s="31"/>
      <c r="K5" s="33" t="s">
        <v>132</v>
      </c>
      <c r="L5" s="33"/>
      <c r="M5" s="33" t="s">
        <v>86</v>
      </c>
      <c r="N5" s="31"/>
      <c r="O5" s="31"/>
      <c r="P5" s="31"/>
      <c r="Q5" s="33" t="s">
        <v>133</v>
      </c>
      <c r="R5" s="33"/>
      <c r="S5" s="33" t="s">
        <v>83</v>
      </c>
      <c r="T5" s="33">
        <v>17.0</v>
      </c>
      <c r="U5" s="33" t="s">
        <v>84</v>
      </c>
      <c r="V5" s="33" t="s">
        <v>135</v>
      </c>
      <c r="W5" s="40" t="s">
        <v>137</v>
      </c>
      <c r="X5" s="33">
        <v>1.0</v>
      </c>
      <c r="Y5" s="33" t="s">
        <v>86</v>
      </c>
      <c r="Z5" s="33"/>
      <c r="AA5" s="33"/>
      <c r="AB5" s="33"/>
      <c r="AC5" s="33" t="s">
        <v>140</v>
      </c>
      <c r="AD5" s="33">
        <v>2.0</v>
      </c>
      <c r="AE5" s="33" t="s">
        <v>86</v>
      </c>
      <c r="AF5" s="33"/>
      <c r="AG5" s="33"/>
      <c r="AH5" s="33"/>
      <c r="AI5" s="33" t="s">
        <v>141</v>
      </c>
      <c r="AJ5" s="33">
        <v>2.0</v>
      </c>
      <c r="AK5" s="33" t="s">
        <v>86</v>
      </c>
      <c r="AL5" s="33"/>
      <c r="AM5" s="33"/>
      <c r="AN5" s="33"/>
      <c r="AO5" s="33" t="s">
        <v>142</v>
      </c>
      <c r="AP5" s="33">
        <v>2.0</v>
      </c>
      <c r="AQ5" s="33" t="s">
        <v>86</v>
      </c>
      <c r="AR5" s="33"/>
      <c r="AS5" s="33"/>
      <c r="AT5" s="33"/>
      <c r="AU5" s="33" t="s">
        <v>143</v>
      </c>
      <c r="AV5" s="33">
        <v>2.0</v>
      </c>
      <c r="AW5" s="31" t="str">
        <f t="shared" si="1"/>
        <v>Yes</v>
      </c>
      <c r="AX5" s="33" t="s">
        <v>104</v>
      </c>
      <c r="AY5" s="33"/>
      <c r="AZ5" s="31"/>
      <c r="BA5" s="31"/>
      <c r="BB5" s="31"/>
      <c r="BC5" s="18" t="str">
        <f t="shared" si="2"/>
        <v>Found at our houses</v>
      </c>
      <c r="BD5" s="31"/>
      <c r="BE5" s="31"/>
      <c r="BF5" s="38"/>
      <c r="BG5" s="38"/>
      <c r="BH5" s="38"/>
      <c r="BI5" s="38"/>
      <c r="BJ5" s="38"/>
      <c r="BK5" s="38"/>
      <c r="BL5" s="38"/>
    </row>
    <row r="6">
      <c r="A6" s="31">
        <v>4.0</v>
      </c>
      <c r="B6" s="31"/>
      <c r="C6" s="31" t="s">
        <v>80</v>
      </c>
      <c r="D6" s="31" t="s">
        <v>97</v>
      </c>
      <c r="E6" s="33" t="s">
        <v>101</v>
      </c>
      <c r="F6" s="33">
        <v>1.0</v>
      </c>
      <c r="G6" s="33" t="s">
        <v>83</v>
      </c>
      <c r="H6" s="33">
        <v>31.25</v>
      </c>
      <c r="I6" s="33" t="s">
        <v>84</v>
      </c>
      <c r="J6" s="33" t="s">
        <v>147</v>
      </c>
      <c r="K6" s="39" t="s">
        <v>148</v>
      </c>
      <c r="L6" s="33"/>
      <c r="M6" s="33" t="s">
        <v>86</v>
      </c>
      <c r="N6" s="31"/>
      <c r="O6" s="31"/>
      <c r="P6" s="31"/>
      <c r="Q6" s="33" t="s">
        <v>153</v>
      </c>
      <c r="R6" s="33"/>
      <c r="S6" s="33" t="s">
        <v>83</v>
      </c>
      <c r="T6" s="33">
        <v>47.02</v>
      </c>
      <c r="U6" s="33" t="s">
        <v>84</v>
      </c>
      <c r="V6" s="33" t="s">
        <v>154</v>
      </c>
      <c r="W6" s="40" t="s">
        <v>155</v>
      </c>
      <c r="X6" s="33">
        <v>1.0</v>
      </c>
      <c r="Y6" s="33" t="s">
        <v>83</v>
      </c>
      <c r="Z6" s="33">
        <v>28.538</v>
      </c>
      <c r="AA6" s="33" t="s">
        <v>84</v>
      </c>
      <c r="AB6" s="33" t="s">
        <v>156</v>
      </c>
      <c r="AC6" s="33" t="s">
        <v>157</v>
      </c>
      <c r="AD6" s="33">
        <v>3.0</v>
      </c>
      <c r="AE6" s="33" t="s">
        <v>83</v>
      </c>
      <c r="AF6" s="33">
        <v>53.14</v>
      </c>
      <c r="AG6" s="33" t="s">
        <v>84</v>
      </c>
      <c r="AH6" s="33" t="s">
        <v>158</v>
      </c>
      <c r="AI6" s="33" t="s">
        <v>159</v>
      </c>
      <c r="AJ6" s="33">
        <v>4.0</v>
      </c>
      <c r="AK6" s="33" t="s">
        <v>86</v>
      </c>
      <c r="AL6" s="33"/>
      <c r="AM6" s="33"/>
      <c r="AN6" s="33"/>
      <c r="AO6" s="33" t="s">
        <v>161</v>
      </c>
      <c r="AP6" s="33">
        <v>2.0</v>
      </c>
      <c r="AQ6" s="33" t="s">
        <v>83</v>
      </c>
      <c r="AR6" s="33">
        <v>190.03</v>
      </c>
      <c r="AS6" s="33" t="s">
        <v>84</v>
      </c>
      <c r="AT6" s="33" t="s">
        <v>163</v>
      </c>
      <c r="AU6" s="33" t="s">
        <v>164</v>
      </c>
      <c r="AV6" s="33">
        <v>4.0</v>
      </c>
      <c r="AW6" s="33" t="str">
        <f t="shared" si="1"/>
        <v>Yes</v>
      </c>
      <c r="AX6" s="33" t="s">
        <v>104</v>
      </c>
      <c r="AY6" s="33"/>
      <c r="AZ6" s="31"/>
      <c r="BA6" s="31"/>
      <c r="BB6" s="31"/>
      <c r="BC6" s="18"/>
      <c r="BD6" s="31"/>
      <c r="BE6" s="31"/>
      <c r="BF6" s="38"/>
      <c r="BG6" s="38"/>
      <c r="BH6" s="38"/>
      <c r="BI6" s="38"/>
      <c r="BJ6" s="38"/>
      <c r="BK6" s="38"/>
      <c r="BL6" s="38"/>
    </row>
    <row r="7">
      <c r="A7" s="31">
        <v>5.0</v>
      </c>
      <c r="B7" s="31"/>
      <c r="C7" s="31" t="s">
        <v>80</v>
      </c>
      <c r="D7" s="31" t="s">
        <v>97</v>
      </c>
      <c r="E7" s="33" t="s">
        <v>103</v>
      </c>
      <c r="F7" s="33">
        <v>1.0</v>
      </c>
      <c r="G7" s="33" t="s">
        <v>83</v>
      </c>
      <c r="H7" s="33">
        <v>51.79</v>
      </c>
      <c r="I7" s="33" t="s">
        <v>84</v>
      </c>
      <c r="J7" s="33" t="s">
        <v>168</v>
      </c>
      <c r="K7" s="39" t="s">
        <v>169</v>
      </c>
      <c r="L7" s="33"/>
      <c r="M7" s="33" t="s">
        <v>83</v>
      </c>
      <c r="N7" s="33">
        <v>51.2</v>
      </c>
      <c r="O7" s="33" t="s">
        <v>84</v>
      </c>
      <c r="P7" s="33" t="s">
        <v>172</v>
      </c>
      <c r="Q7" s="39" t="s">
        <v>173</v>
      </c>
      <c r="R7" s="33"/>
      <c r="S7" s="33" t="s">
        <v>83</v>
      </c>
      <c r="T7" s="33">
        <v>81.0</v>
      </c>
      <c r="U7" s="33" t="s">
        <v>84</v>
      </c>
      <c r="V7" s="33" t="s">
        <v>179</v>
      </c>
      <c r="W7" s="40" t="s">
        <v>180</v>
      </c>
      <c r="X7" s="33">
        <v>1.0</v>
      </c>
      <c r="Y7" s="33" t="s">
        <v>86</v>
      </c>
      <c r="Z7" s="33"/>
      <c r="AA7" s="33"/>
      <c r="AB7" s="33"/>
      <c r="AC7" s="33" t="s">
        <v>182</v>
      </c>
      <c r="AD7" s="33">
        <v>2.0</v>
      </c>
      <c r="AE7" s="33" t="s">
        <v>86</v>
      </c>
      <c r="AF7" s="33"/>
      <c r="AG7" s="33"/>
      <c r="AH7" s="33"/>
      <c r="AI7" s="33" t="s">
        <v>183</v>
      </c>
      <c r="AJ7" s="33">
        <v>2.0</v>
      </c>
      <c r="AK7" s="33" t="s">
        <v>86</v>
      </c>
      <c r="AL7" s="33"/>
      <c r="AM7" s="33"/>
      <c r="AN7" s="33"/>
      <c r="AO7" s="33" t="s">
        <v>184</v>
      </c>
      <c r="AP7" s="33">
        <v>2.0</v>
      </c>
      <c r="AQ7" s="33" t="s">
        <v>83</v>
      </c>
      <c r="AR7" s="33">
        <v>74.56</v>
      </c>
      <c r="AS7" s="33" t="s">
        <v>84</v>
      </c>
      <c r="AT7" s="33" t="s">
        <v>185</v>
      </c>
      <c r="AU7" s="33" t="s">
        <v>186</v>
      </c>
      <c r="AV7" s="33">
        <v>5.0</v>
      </c>
      <c r="AW7" s="33" t="str">
        <f t="shared" si="1"/>
        <v>Yes</v>
      </c>
      <c r="AX7" s="33" t="s">
        <v>104</v>
      </c>
      <c r="AY7" s="31"/>
      <c r="AZ7" s="31"/>
      <c r="BA7" s="31"/>
      <c r="BB7" s="31"/>
      <c r="BC7" s="18"/>
      <c r="BD7" s="31"/>
      <c r="BE7" s="31"/>
      <c r="BF7" s="38"/>
      <c r="BG7" s="38"/>
      <c r="BH7" s="38"/>
      <c r="BI7" s="38"/>
      <c r="BJ7" s="38"/>
      <c r="BK7" s="38"/>
      <c r="BL7" s="38"/>
    </row>
    <row r="8">
      <c r="A8" s="31">
        <v>6.0</v>
      </c>
      <c r="B8" s="31"/>
      <c r="C8" s="31" t="s">
        <v>80</v>
      </c>
      <c r="D8" s="31" t="s">
        <v>105</v>
      </c>
      <c r="E8" s="31"/>
      <c r="F8" s="31">
        <v>1.0</v>
      </c>
      <c r="G8" s="33" t="s">
        <v>86</v>
      </c>
      <c r="H8" s="53"/>
      <c r="I8" s="33"/>
      <c r="J8" s="33"/>
      <c r="K8" s="33" t="s">
        <v>189</v>
      </c>
      <c r="L8" s="33"/>
      <c r="M8" s="33" t="s">
        <v>83</v>
      </c>
      <c r="N8" s="53">
        <v>11.49</v>
      </c>
      <c r="O8" s="33" t="s">
        <v>84</v>
      </c>
      <c r="P8" s="33" t="s">
        <v>190</v>
      </c>
      <c r="Q8" s="39" t="s">
        <v>191</v>
      </c>
      <c r="R8" s="33"/>
      <c r="S8" s="33" t="s">
        <v>83</v>
      </c>
      <c r="T8" s="53">
        <v>80.78</v>
      </c>
      <c r="U8" s="33" t="s">
        <v>84</v>
      </c>
      <c r="V8" s="33" t="s">
        <v>195</v>
      </c>
      <c r="W8" s="40" t="s">
        <v>196</v>
      </c>
      <c r="X8" s="33">
        <v>2.0</v>
      </c>
      <c r="Y8" s="33" t="s">
        <v>83</v>
      </c>
      <c r="Z8" s="33">
        <v>9.608</v>
      </c>
      <c r="AA8" s="33" t="s">
        <v>84</v>
      </c>
      <c r="AB8" s="33" t="s">
        <v>197</v>
      </c>
      <c r="AC8" s="33" t="s">
        <v>198</v>
      </c>
      <c r="AD8" s="33">
        <v>2.0</v>
      </c>
      <c r="AE8" s="33" t="s">
        <v>83</v>
      </c>
      <c r="AF8" s="33"/>
      <c r="AG8" s="33"/>
      <c r="AH8" s="33" t="s">
        <v>199</v>
      </c>
      <c r="AI8" s="33" t="s">
        <v>200</v>
      </c>
      <c r="AJ8" s="33">
        <v>2.0</v>
      </c>
      <c r="AK8" s="33" t="s">
        <v>83</v>
      </c>
      <c r="AL8" s="33">
        <v>7.49</v>
      </c>
      <c r="AM8" s="33" t="s">
        <v>84</v>
      </c>
      <c r="AN8" s="33" t="s">
        <v>201</v>
      </c>
      <c r="AO8" s="33" t="s">
        <v>202</v>
      </c>
      <c r="AP8" s="33">
        <v>2.0</v>
      </c>
      <c r="AQ8" s="33" t="s">
        <v>83</v>
      </c>
      <c r="AR8" s="33"/>
      <c r="AS8" s="33"/>
      <c r="AT8" s="33" t="s">
        <v>203</v>
      </c>
      <c r="AU8" s="33" t="s">
        <v>204</v>
      </c>
      <c r="AV8" s="33">
        <v>3.0</v>
      </c>
      <c r="AW8" s="31" t="str">
        <f t="shared" si="1"/>
        <v>Yes</v>
      </c>
      <c r="AX8" s="33" t="s">
        <v>160</v>
      </c>
      <c r="AY8" s="33"/>
      <c r="AZ8" s="31"/>
      <c r="BA8" s="31"/>
      <c r="BB8" s="31"/>
      <c r="BC8" s="18" t="str">
        <f t="shared" ref="BC8:BC27" si="3">IF(AW8="Yes","Found at our houses",IF(COUNTIF(G8,"Carried but zero stock")+COUNTIF(M8,"Carried but zero stock")+COUNTIF(S8,"Carried but zero stock")&gt;0,"Carried but zero stock today",IF(AZ8="","Pending",IF(AND(BA8="Yes",BB8="Yes"),"Reachable, adapter needed","No value add"))))</f>
        <v>Found at our houses</v>
      </c>
      <c r="BD8" s="31"/>
      <c r="BE8" s="31"/>
      <c r="BF8" s="38"/>
      <c r="BG8" s="38"/>
      <c r="BH8" s="38"/>
      <c r="BI8" s="38"/>
      <c r="BJ8" s="38"/>
      <c r="BK8" s="38"/>
      <c r="BL8" s="38"/>
    </row>
    <row r="9">
      <c r="A9" s="31">
        <v>7.0</v>
      </c>
      <c r="B9" s="31">
        <v>2.0</v>
      </c>
      <c r="C9" s="31" t="s">
        <v>107</v>
      </c>
      <c r="D9" s="31" t="s">
        <v>108</v>
      </c>
      <c r="E9" s="31" t="s">
        <v>109</v>
      </c>
      <c r="F9" s="31">
        <v>1.0</v>
      </c>
      <c r="G9" s="33" t="s">
        <v>83</v>
      </c>
      <c r="H9" s="33">
        <v>198.49</v>
      </c>
      <c r="I9" s="33" t="s">
        <v>84</v>
      </c>
      <c r="J9" s="33" t="s">
        <v>211</v>
      </c>
      <c r="K9" s="40" t="s">
        <v>212</v>
      </c>
      <c r="L9" s="33">
        <v>3.0</v>
      </c>
      <c r="M9" s="33" t="s">
        <v>83</v>
      </c>
      <c r="N9" s="33">
        <v>184.97</v>
      </c>
      <c r="O9" s="33" t="s">
        <v>84</v>
      </c>
      <c r="P9" s="33" t="s">
        <v>213</v>
      </c>
      <c r="Q9" s="33" t="s">
        <v>214</v>
      </c>
      <c r="R9" s="33">
        <v>3.0</v>
      </c>
      <c r="S9" s="33" t="s">
        <v>83</v>
      </c>
      <c r="T9" s="33">
        <v>301.45</v>
      </c>
      <c r="U9" s="33" t="s">
        <v>84</v>
      </c>
      <c r="V9" s="33" t="s">
        <v>215</v>
      </c>
      <c r="W9" s="40" t="s">
        <v>216</v>
      </c>
      <c r="X9" s="33">
        <v>2.0</v>
      </c>
      <c r="Y9" s="33" t="s">
        <v>83</v>
      </c>
      <c r="Z9" s="33"/>
      <c r="AA9" s="33"/>
      <c r="AB9" s="33" t="s">
        <v>217</v>
      </c>
      <c r="AC9" s="33" t="s">
        <v>218</v>
      </c>
      <c r="AD9" s="33">
        <v>2.0</v>
      </c>
      <c r="AE9" s="33" t="s">
        <v>83</v>
      </c>
      <c r="AF9" s="33">
        <v>196.72</v>
      </c>
      <c r="AG9" s="33" t="s">
        <v>84</v>
      </c>
      <c r="AH9" s="33" t="s">
        <v>219</v>
      </c>
      <c r="AI9" s="33" t="s">
        <v>220</v>
      </c>
      <c r="AJ9" s="33">
        <v>4.0</v>
      </c>
      <c r="AK9" s="33" t="s">
        <v>83</v>
      </c>
      <c r="AL9" s="33">
        <v>174.38</v>
      </c>
      <c r="AM9" s="33" t="s">
        <v>84</v>
      </c>
      <c r="AN9" s="33" t="s">
        <v>221</v>
      </c>
      <c r="AO9" s="33" t="s">
        <v>222</v>
      </c>
      <c r="AP9" s="33">
        <v>3.0</v>
      </c>
      <c r="AQ9" s="33" t="s">
        <v>83</v>
      </c>
      <c r="AR9" s="33">
        <v>336.85</v>
      </c>
      <c r="AS9" s="33" t="s">
        <v>84</v>
      </c>
      <c r="AT9" s="33" t="s">
        <v>223</v>
      </c>
      <c r="AU9" s="33" t="s">
        <v>224</v>
      </c>
      <c r="AV9" s="33">
        <v>3.0</v>
      </c>
      <c r="AW9" s="33" t="str">
        <f t="shared" si="1"/>
        <v>Yes</v>
      </c>
      <c r="AX9" s="33" t="s">
        <v>160</v>
      </c>
      <c r="AY9" s="31"/>
      <c r="AZ9" s="31"/>
      <c r="BA9" s="31"/>
      <c r="BB9" s="31"/>
      <c r="BC9" s="18" t="str">
        <f t="shared" si="3"/>
        <v>Found at our houses</v>
      </c>
      <c r="BD9" s="31"/>
      <c r="BE9" s="31"/>
      <c r="BF9" s="38"/>
      <c r="BG9" s="38"/>
      <c r="BH9" s="38"/>
      <c r="BI9" s="38"/>
      <c r="BJ9" s="38"/>
      <c r="BK9" s="38"/>
      <c r="BL9" s="38"/>
    </row>
    <row r="10">
      <c r="A10" s="31">
        <v>8.0</v>
      </c>
      <c r="B10" s="31"/>
      <c r="C10" s="31" t="s">
        <v>107</v>
      </c>
      <c r="D10" s="31" t="s">
        <v>112</v>
      </c>
      <c r="E10" s="31"/>
      <c r="F10" s="31">
        <v>1.0</v>
      </c>
      <c r="G10" s="33" t="s">
        <v>83</v>
      </c>
      <c r="H10" s="33">
        <v>16.89</v>
      </c>
      <c r="I10" s="33" t="s">
        <v>84</v>
      </c>
      <c r="J10" s="33" t="s">
        <v>227</v>
      </c>
      <c r="K10" s="33" t="s">
        <v>228</v>
      </c>
      <c r="L10" s="33">
        <v>2.0</v>
      </c>
      <c r="M10" s="33" t="s">
        <v>229</v>
      </c>
      <c r="N10" s="31"/>
      <c r="O10" s="31"/>
      <c r="P10" s="31"/>
      <c r="Q10" s="33" t="s">
        <v>230</v>
      </c>
      <c r="R10" s="31"/>
      <c r="S10" s="33" t="s">
        <v>83</v>
      </c>
      <c r="T10" s="33">
        <v>15.29</v>
      </c>
      <c r="U10" s="33" t="s">
        <v>84</v>
      </c>
      <c r="V10" s="33" t="s">
        <v>231</v>
      </c>
      <c r="W10" s="33" t="s">
        <v>232</v>
      </c>
      <c r="X10" s="33">
        <v>2.0</v>
      </c>
      <c r="Y10" s="33" t="s">
        <v>233</v>
      </c>
      <c r="Z10" s="31"/>
      <c r="AA10" s="31"/>
      <c r="AB10" s="33" t="s">
        <v>234</v>
      </c>
      <c r="AC10" s="33" t="s">
        <v>235</v>
      </c>
      <c r="AD10" s="33">
        <v>2.0</v>
      </c>
      <c r="AE10" s="33" t="s">
        <v>83</v>
      </c>
      <c r="AF10" s="33">
        <v>10.75</v>
      </c>
      <c r="AG10" s="33" t="s">
        <v>84</v>
      </c>
      <c r="AH10" s="33" t="s">
        <v>236</v>
      </c>
      <c r="AI10" s="33" t="s">
        <v>237</v>
      </c>
      <c r="AJ10" s="33">
        <v>3.0</v>
      </c>
      <c r="AK10" s="33" t="s">
        <v>86</v>
      </c>
      <c r="AL10" s="31"/>
      <c r="AM10" s="31"/>
      <c r="AN10" s="31"/>
      <c r="AO10" s="33" t="s">
        <v>238</v>
      </c>
      <c r="AP10" s="33">
        <v>2.0</v>
      </c>
      <c r="AQ10" s="33" t="s">
        <v>86</v>
      </c>
      <c r="AR10" s="31"/>
      <c r="AS10" s="31"/>
      <c r="AT10" s="31"/>
      <c r="AU10" s="33" t="s">
        <v>239</v>
      </c>
      <c r="AV10" s="33">
        <v>2.0</v>
      </c>
      <c r="AW10" s="33" t="str">
        <f t="shared" si="1"/>
        <v>Yes</v>
      </c>
      <c r="AX10" s="33" t="s">
        <v>104</v>
      </c>
      <c r="AY10" s="31"/>
      <c r="AZ10" s="31"/>
      <c r="BA10" s="31"/>
      <c r="BB10" s="31"/>
      <c r="BC10" s="18" t="str">
        <f t="shared" si="3"/>
        <v>Found at our houses</v>
      </c>
      <c r="BD10" s="31"/>
      <c r="BE10" s="31"/>
      <c r="BF10" s="38"/>
      <c r="BG10" s="38"/>
      <c r="BH10" s="38"/>
      <c r="BI10" s="38"/>
      <c r="BJ10" s="38"/>
      <c r="BK10" s="38"/>
      <c r="BL10" s="38"/>
    </row>
    <row r="11">
      <c r="A11" s="31">
        <v>9.0</v>
      </c>
      <c r="B11" s="31"/>
      <c r="C11" s="31" t="s">
        <v>107</v>
      </c>
      <c r="D11" s="31" t="s">
        <v>113</v>
      </c>
      <c r="E11" s="31"/>
      <c r="F11" s="31">
        <v>1.0</v>
      </c>
      <c r="G11" s="33" t="s">
        <v>229</v>
      </c>
      <c r="H11" s="31"/>
      <c r="I11" s="31"/>
      <c r="J11" s="31"/>
      <c r="K11" s="33" t="s">
        <v>248</v>
      </c>
      <c r="L11" s="31"/>
      <c r="M11" s="33" t="s">
        <v>229</v>
      </c>
      <c r="N11" s="31"/>
      <c r="O11" s="31"/>
      <c r="P11" s="31"/>
      <c r="Q11" s="33" t="s">
        <v>249</v>
      </c>
      <c r="R11" s="31"/>
      <c r="S11" s="33" t="s">
        <v>83</v>
      </c>
      <c r="T11" s="33">
        <v>123.0</v>
      </c>
      <c r="U11" s="33" t="s">
        <v>84</v>
      </c>
      <c r="V11" s="33" t="s">
        <v>251</v>
      </c>
      <c r="W11" s="33" t="s">
        <v>252</v>
      </c>
      <c r="X11" s="33">
        <v>2.0</v>
      </c>
      <c r="Y11" s="33" t="s">
        <v>86</v>
      </c>
      <c r="Z11" s="31"/>
      <c r="AA11" s="31"/>
      <c r="AB11" s="31"/>
      <c r="AC11" s="33" t="s">
        <v>254</v>
      </c>
      <c r="AD11" s="33">
        <v>2.0</v>
      </c>
      <c r="AE11" s="33" t="s">
        <v>83</v>
      </c>
      <c r="AF11" s="33">
        <v>49.87</v>
      </c>
      <c r="AG11" s="33" t="s">
        <v>84</v>
      </c>
      <c r="AH11" s="33" t="s">
        <v>255</v>
      </c>
      <c r="AI11" s="33" t="s">
        <v>256</v>
      </c>
      <c r="AJ11" s="33">
        <v>3.0</v>
      </c>
      <c r="AK11" s="33" t="s">
        <v>86</v>
      </c>
      <c r="AL11" s="31"/>
      <c r="AM11" s="31"/>
      <c r="AN11" s="31"/>
      <c r="AO11" s="33" t="s">
        <v>254</v>
      </c>
      <c r="AP11" s="33">
        <v>2.0</v>
      </c>
      <c r="AQ11" s="33" t="s">
        <v>83</v>
      </c>
      <c r="AR11" s="33">
        <v>122.71</v>
      </c>
      <c r="AS11" s="33" t="s">
        <v>84</v>
      </c>
      <c r="AT11" s="33" t="s">
        <v>258</v>
      </c>
      <c r="AU11" s="33" t="s">
        <v>260</v>
      </c>
      <c r="AV11" s="33">
        <v>3.0</v>
      </c>
      <c r="AW11" s="33" t="str">
        <f t="shared" si="1"/>
        <v>Yes</v>
      </c>
      <c r="AX11" s="33" t="s">
        <v>104</v>
      </c>
      <c r="AY11" s="31"/>
      <c r="AZ11" s="31"/>
      <c r="BA11" s="31"/>
      <c r="BB11" s="31"/>
      <c r="BC11" s="18" t="str">
        <f t="shared" si="3"/>
        <v>Found at our houses</v>
      </c>
      <c r="BD11" s="31"/>
      <c r="BE11" s="31"/>
      <c r="BF11" s="38"/>
      <c r="BG11" s="38"/>
      <c r="BH11" s="38"/>
      <c r="BI11" s="38"/>
      <c r="BJ11" s="38"/>
      <c r="BK11" s="38"/>
      <c r="BL11" s="38"/>
    </row>
    <row r="12">
      <c r="A12" s="31">
        <v>10.0</v>
      </c>
      <c r="B12" s="31">
        <v>3.0</v>
      </c>
      <c r="C12" s="31" t="s">
        <v>116</v>
      </c>
      <c r="D12" s="31" t="s">
        <v>117</v>
      </c>
      <c r="E12" s="31" t="s">
        <v>118</v>
      </c>
      <c r="F12" s="31">
        <v>1.0</v>
      </c>
      <c r="G12" s="33" t="s">
        <v>233</v>
      </c>
      <c r="H12" s="33">
        <v>385.99</v>
      </c>
      <c r="I12" s="33" t="s">
        <v>84</v>
      </c>
      <c r="J12" s="33" t="s">
        <v>266</v>
      </c>
      <c r="K12" s="39" t="s">
        <v>267</v>
      </c>
      <c r="L12" s="33"/>
      <c r="M12" s="33" t="s">
        <v>233</v>
      </c>
      <c r="N12" s="53"/>
      <c r="O12" s="33"/>
      <c r="P12" s="33" t="s">
        <v>273</v>
      </c>
      <c r="Q12" s="39" t="s">
        <v>275</v>
      </c>
      <c r="R12" s="33"/>
      <c r="S12" s="33" t="s">
        <v>83</v>
      </c>
      <c r="T12" s="33">
        <v>264.0</v>
      </c>
      <c r="U12" s="33" t="s">
        <v>84</v>
      </c>
      <c r="V12" s="33" t="s">
        <v>279</v>
      </c>
      <c r="W12" s="40" t="s">
        <v>280</v>
      </c>
      <c r="X12" s="33">
        <v>2.0</v>
      </c>
      <c r="Y12" s="33" t="s">
        <v>86</v>
      </c>
      <c r="Z12" s="33"/>
      <c r="AA12" s="33"/>
      <c r="AB12" s="33"/>
      <c r="AC12" s="33" t="s">
        <v>281</v>
      </c>
      <c r="AD12" s="33">
        <v>2.0</v>
      </c>
      <c r="AE12" s="33" t="s">
        <v>83</v>
      </c>
      <c r="AF12" s="33">
        <v>279.64</v>
      </c>
      <c r="AG12" s="33" t="s">
        <v>84</v>
      </c>
      <c r="AH12" s="33" t="s">
        <v>282</v>
      </c>
      <c r="AI12" s="33" t="s">
        <v>283</v>
      </c>
      <c r="AJ12" s="33">
        <v>4.0</v>
      </c>
      <c r="AK12" s="33" t="s">
        <v>86</v>
      </c>
      <c r="AL12" s="33"/>
      <c r="AM12" s="33"/>
      <c r="AN12" s="33"/>
      <c r="AO12" s="33" t="s">
        <v>284</v>
      </c>
      <c r="AP12" s="33">
        <v>2.0</v>
      </c>
      <c r="AQ12" s="33" t="s">
        <v>86</v>
      </c>
      <c r="AR12" s="33"/>
      <c r="AS12" s="33"/>
      <c r="AT12" s="33"/>
      <c r="AU12" s="33" t="s">
        <v>285</v>
      </c>
      <c r="AV12" s="33">
        <v>2.0</v>
      </c>
      <c r="AW12" s="33" t="str">
        <f t="shared" si="1"/>
        <v>Yes</v>
      </c>
      <c r="AX12" s="33" t="s">
        <v>104</v>
      </c>
      <c r="AY12" s="31"/>
      <c r="AZ12" s="31"/>
      <c r="BA12" s="31"/>
      <c r="BB12" s="31"/>
      <c r="BC12" s="18" t="str">
        <f t="shared" si="3"/>
        <v>Found at our houses</v>
      </c>
      <c r="BD12" s="31"/>
      <c r="BE12" s="31"/>
      <c r="BF12" s="38"/>
      <c r="BG12" s="38"/>
      <c r="BH12" s="38"/>
      <c r="BI12" s="38"/>
      <c r="BJ12" s="38"/>
      <c r="BK12" s="38"/>
      <c r="BL12" s="38"/>
    </row>
    <row r="13">
      <c r="A13" s="31">
        <v>11.0</v>
      </c>
      <c r="B13" s="31"/>
      <c r="C13" s="31" t="s">
        <v>116</v>
      </c>
      <c r="D13" s="31" t="s">
        <v>119</v>
      </c>
      <c r="E13" s="31" t="s">
        <v>120</v>
      </c>
      <c r="F13" s="31">
        <v>1.0</v>
      </c>
      <c r="G13" s="33" t="s">
        <v>83</v>
      </c>
      <c r="H13" s="33">
        <v>119.99</v>
      </c>
      <c r="I13" s="33" t="s">
        <v>84</v>
      </c>
      <c r="J13" s="33" t="s">
        <v>288</v>
      </c>
      <c r="K13" s="39" t="s">
        <v>289</v>
      </c>
      <c r="L13" s="33"/>
      <c r="M13" s="33" t="s">
        <v>83</v>
      </c>
      <c r="N13" s="53">
        <v>85.0</v>
      </c>
      <c r="O13" s="33" t="s">
        <v>84</v>
      </c>
      <c r="P13" s="33" t="s">
        <v>292</v>
      </c>
      <c r="Q13" s="39" t="s">
        <v>293</v>
      </c>
      <c r="R13" s="33"/>
      <c r="S13" s="33" t="s">
        <v>83</v>
      </c>
      <c r="T13" s="33">
        <v>178.19</v>
      </c>
      <c r="U13" s="33" t="s">
        <v>84</v>
      </c>
      <c r="V13" s="33" t="s">
        <v>295</v>
      </c>
      <c r="W13" s="40" t="s">
        <v>296</v>
      </c>
      <c r="X13" s="33">
        <v>1.0</v>
      </c>
      <c r="Y13" s="33" t="s">
        <v>86</v>
      </c>
      <c r="Z13" s="33"/>
      <c r="AA13" s="33"/>
      <c r="AB13" s="33"/>
      <c r="AC13" s="33" t="s">
        <v>297</v>
      </c>
      <c r="AD13" s="33">
        <v>2.0</v>
      </c>
      <c r="AE13" s="33" t="s">
        <v>83</v>
      </c>
      <c r="AF13" s="33">
        <v>102.43</v>
      </c>
      <c r="AG13" s="33" t="s">
        <v>84</v>
      </c>
      <c r="AH13" s="33" t="s">
        <v>298</v>
      </c>
      <c r="AI13" s="33" t="s">
        <v>300</v>
      </c>
      <c r="AJ13" s="33">
        <v>3.0</v>
      </c>
      <c r="AK13" s="33" t="s">
        <v>86</v>
      </c>
      <c r="AL13" s="33"/>
      <c r="AM13" s="33"/>
      <c r="AN13" s="33"/>
      <c r="AO13" s="33" t="s">
        <v>301</v>
      </c>
      <c r="AP13" s="33">
        <v>2.0</v>
      </c>
      <c r="AQ13" s="33" t="s">
        <v>83</v>
      </c>
      <c r="AR13" s="33">
        <v>234.35</v>
      </c>
      <c r="AS13" s="33" t="s">
        <v>84</v>
      </c>
      <c r="AT13" s="33" t="s">
        <v>302</v>
      </c>
      <c r="AU13" s="33" t="s">
        <v>303</v>
      </c>
      <c r="AV13" s="33">
        <v>3.0</v>
      </c>
      <c r="AW13" s="33" t="str">
        <f t="shared" si="1"/>
        <v>Yes</v>
      </c>
      <c r="AX13" s="33" t="s">
        <v>104</v>
      </c>
      <c r="AY13" s="31"/>
      <c r="AZ13" s="31"/>
      <c r="BA13" s="31"/>
      <c r="BB13" s="31"/>
      <c r="BC13" s="18" t="str">
        <f t="shared" si="3"/>
        <v>Found at our houses</v>
      </c>
      <c r="BD13" s="31"/>
      <c r="BE13" s="31"/>
      <c r="BF13" s="38"/>
      <c r="BG13" s="38"/>
      <c r="BH13" s="38"/>
      <c r="BI13" s="38"/>
      <c r="BJ13" s="38"/>
      <c r="BK13" s="38"/>
      <c r="BL13" s="38"/>
    </row>
    <row r="14">
      <c r="A14" s="31">
        <v>12.0</v>
      </c>
      <c r="B14" s="31"/>
      <c r="C14" s="31" t="s">
        <v>116</v>
      </c>
      <c r="D14" s="31" t="s">
        <v>130</v>
      </c>
      <c r="E14" s="31" t="s">
        <v>131</v>
      </c>
      <c r="F14" s="31">
        <v>1.0</v>
      </c>
      <c r="G14" s="33" t="s">
        <v>229</v>
      </c>
      <c r="H14" s="31"/>
      <c r="I14" s="31"/>
      <c r="J14" s="31"/>
      <c r="K14" s="33" t="s">
        <v>316</v>
      </c>
      <c r="L14" s="31"/>
      <c r="M14" s="33" t="s">
        <v>229</v>
      </c>
      <c r="N14" s="31"/>
      <c r="O14" s="31"/>
      <c r="P14" s="31"/>
      <c r="Q14" s="33" t="s">
        <v>316</v>
      </c>
      <c r="R14" s="31"/>
      <c r="S14" s="33" t="s">
        <v>229</v>
      </c>
      <c r="T14" s="31"/>
      <c r="U14" s="31"/>
      <c r="V14" s="31"/>
      <c r="W14" s="33" t="s">
        <v>318</v>
      </c>
      <c r="X14" s="31"/>
      <c r="Y14" s="33" t="s">
        <v>229</v>
      </c>
      <c r="Z14" s="31"/>
      <c r="AA14" s="31"/>
      <c r="AB14" s="31"/>
      <c r="AC14" s="33" t="s">
        <v>318</v>
      </c>
      <c r="AD14" s="31"/>
      <c r="AE14" s="33" t="s">
        <v>229</v>
      </c>
      <c r="AF14" s="31"/>
      <c r="AG14" s="31"/>
      <c r="AH14" s="31"/>
      <c r="AI14" s="33" t="s">
        <v>318</v>
      </c>
      <c r="AJ14" s="31"/>
      <c r="AK14" s="33" t="s">
        <v>229</v>
      </c>
      <c r="AL14" s="31"/>
      <c r="AM14" s="31"/>
      <c r="AN14" s="31"/>
      <c r="AO14" s="33" t="s">
        <v>318</v>
      </c>
      <c r="AP14" s="31"/>
      <c r="AQ14" s="33" t="s">
        <v>229</v>
      </c>
      <c r="AR14" s="31"/>
      <c r="AS14" s="31"/>
      <c r="AT14" s="31"/>
      <c r="AU14" s="33" t="s">
        <v>318</v>
      </c>
      <c r="AV14" s="31"/>
      <c r="AW14" s="33" t="str">
        <f t="shared" si="1"/>
        <v>No</v>
      </c>
      <c r="AX14" s="33" t="s">
        <v>104</v>
      </c>
      <c r="AY14" s="31"/>
      <c r="AZ14" s="31"/>
      <c r="BA14" s="31"/>
      <c r="BB14" s="31"/>
      <c r="BC14" s="18" t="str">
        <f t="shared" si="3"/>
        <v>Pending</v>
      </c>
      <c r="BD14" s="31"/>
      <c r="BE14" s="31"/>
      <c r="BF14" s="38"/>
      <c r="BG14" s="38"/>
      <c r="BH14" s="38"/>
      <c r="BI14" s="38"/>
      <c r="BJ14" s="38"/>
      <c r="BK14" s="38"/>
      <c r="BL14" s="38"/>
    </row>
    <row r="15">
      <c r="A15" s="31">
        <v>13.0</v>
      </c>
      <c r="B15" s="31">
        <v>4.0</v>
      </c>
      <c r="C15" s="31" t="s">
        <v>136</v>
      </c>
      <c r="D15" s="31" t="s">
        <v>138</v>
      </c>
      <c r="E15" s="31" t="s">
        <v>139</v>
      </c>
      <c r="F15" s="31">
        <v>1.0</v>
      </c>
      <c r="G15" s="33" t="s">
        <v>83</v>
      </c>
      <c r="H15" s="33">
        <v>1278.99</v>
      </c>
      <c r="I15" s="33" t="s">
        <v>84</v>
      </c>
      <c r="J15" s="33" t="s">
        <v>322</v>
      </c>
      <c r="K15" s="39" t="s">
        <v>323</v>
      </c>
      <c r="L15" s="33"/>
      <c r="M15" s="33" t="s">
        <v>83</v>
      </c>
      <c r="N15" s="33">
        <v>1232.71</v>
      </c>
      <c r="O15" s="33" t="s">
        <v>84</v>
      </c>
      <c r="P15" s="33" t="s">
        <v>324</v>
      </c>
      <c r="Q15" s="39" t="s">
        <v>325</v>
      </c>
      <c r="R15" s="33"/>
      <c r="S15" s="33" t="s">
        <v>83</v>
      </c>
      <c r="T15" s="33">
        <v>1733.1</v>
      </c>
      <c r="U15" s="33" t="s">
        <v>84</v>
      </c>
      <c r="V15" s="33" t="s">
        <v>328</v>
      </c>
      <c r="W15" s="40" t="s">
        <v>329</v>
      </c>
      <c r="X15" s="33">
        <v>1.0</v>
      </c>
      <c r="Y15" s="33" t="s">
        <v>86</v>
      </c>
      <c r="Z15" s="33"/>
      <c r="AA15" s="33"/>
      <c r="AB15" s="33"/>
      <c r="AC15" s="33" t="s">
        <v>330</v>
      </c>
      <c r="AD15" s="33">
        <v>2.0</v>
      </c>
      <c r="AE15" s="33" t="s">
        <v>86</v>
      </c>
      <c r="AF15" s="33"/>
      <c r="AG15" s="33"/>
      <c r="AH15" s="33"/>
      <c r="AI15" s="33" t="s">
        <v>331</v>
      </c>
      <c r="AJ15" s="33">
        <v>2.0</v>
      </c>
      <c r="AK15" s="33" t="s">
        <v>86</v>
      </c>
      <c r="AL15" s="33"/>
      <c r="AM15" s="33"/>
      <c r="AN15" s="33"/>
      <c r="AO15" s="33" t="s">
        <v>331</v>
      </c>
      <c r="AP15" s="33">
        <v>2.0</v>
      </c>
      <c r="AQ15" s="33" t="s">
        <v>83</v>
      </c>
      <c r="AR15" s="33">
        <v>1562.6</v>
      </c>
      <c r="AS15" s="33" t="s">
        <v>84</v>
      </c>
      <c r="AT15" s="33" t="s">
        <v>333</v>
      </c>
      <c r="AU15" s="33" t="s">
        <v>334</v>
      </c>
      <c r="AV15" s="33">
        <v>3.0</v>
      </c>
      <c r="AW15" s="33" t="str">
        <f t="shared" si="1"/>
        <v>Yes</v>
      </c>
      <c r="AX15" s="33" t="s">
        <v>104</v>
      </c>
      <c r="AY15" s="31"/>
      <c r="AZ15" s="31"/>
      <c r="BA15" s="31"/>
      <c r="BB15" s="31"/>
      <c r="BC15" s="18" t="str">
        <f t="shared" si="3"/>
        <v>Found at our houses</v>
      </c>
      <c r="BD15" s="31"/>
      <c r="BE15" s="31"/>
      <c r="BF15" s="38"/>
      <c r="BG15" s="38"/>
      <c r="BH15" s="38"/>
      <c r="BI15" s="38"/>
      <c r="BJ15" s="38"/>
      <c r="BK15" s="38"/>
      <c r="BL15" s="38"/>
    </row>
    <row r="16">
      <c r="A16" s="31">
        <v>14.0</v>
      </c>
      <c r="B16" s="31">
        <v>5.0</v>
      </c>
      <c r="C16" s="31" t="s">
        <v>145</v>
      </c>
      <c r="D16" s="31" t="s">
        <v>81</v>
      </c>
      <c r="E16" s="31" t="s">
        <v>146</v>
      </c>
      <c r="F16" s="31">
        <v>1.0</v>
      </c>
      <c r="G16" s="33" t="s">
        <v>83</v>
      </c>
      <c r="H16" s="33">
        <v>3067.0</v>
      </c>
      <c r="I16" s="33" t="s">
        <v>84</v>
      </c>
      <c r="J16" s="33" t="s">
        <v>336</v>
      </c>
      <c r="K16" s="39" t="s">
        <v>337</v>
      </c>
      <c r="L16" s="33"/>
      <c r="M16" s="33" t="s">
        <v>83</v>
      </c>
      <c r="N16" s="33">
        <v>2963.43</v>
      </c>
      <c r="O16" s="33" t="s">
        <v>84</v>
      </c>
      <c r="P16" s="33" t="s">
        <v>340</v>
      </c>
      <c r="Q16" s="39" t="s">
        <v>342</v>
      </c>
      <c r="R16" s="33"/>
      <c r="S16" s="33" t="s">
        <v>86</v>
      </c>
      <c r="T16" s="31"/>
      <c r="U16" s="31"/>
      <c r="V16" s="31"/>
      <c r="W16" s="40" t="s">
        <v>344</v>
      </c>
      <c r="X16" s="33">
        <v>3.0</v>
      </c>
      <c r="Y16" s="33" t="s">
        <v>86</v>
      </c>
      <c r="Z16" s="33"/>
      <c r="AA16" s="33"/>
      <c r="AB16" s="33"/>
      <c r="AC16" s="33" t="s">
        <v>345</v>
      </c>
      <c r="AD16" s="33">
        <v>2.0</v>
      </c>
      <c r="AE16" s="33" t="s">
        <v>86</v>
      </c>
      <c r="AF16" s="33"/>
      <c r="AG16" s="33"/>
      <c r="AH16" s="33"/>
      <c r="AI16" s="33" t="s">
        <v>346</v>
      </c>
      <c r="AJ16" s="33">
        <v>2.0</v>
      </c>
      <c r="AK16" s="33" t="s">
        <v>86</v>
      </c>
      <c r="AL16" s="33"/>
      <c r="AM16" s="33"/>
      <c r="AN16" s="33"/>
      <c r="AO16" s="33" t="s">
        <v>346</v>
      </c>
      <c r="AP16" s="33">
        <v>2.0</v>
      </c>
      <c r="AQ16" s="33" t="s">
        <v>86</v>
      </c>
      <c r="AR16" s="33"/>
      <c r="AS16" s="33"/>
      <c r="AT16" s="33"/>
      <c r="AU16" s="33" t="s">
        <v>347</v>
      </c>
      <c r="AV16" s="33">
        <v>2.0</v>
      </c>
      <c r="AW16" s="33" t="str">
        <f t="shared" si="1"/>
        <v>Yes</v>
      </c>
      <c r="AX16" s="33" t="s">
        <v>104</v>
      </c>
      <c r="AY16" s="31"/>
      <c r="AZ16" s="31"/>
      <c r="BA16" s="31"/>
      <c r="BB16" s="31"/>
      <c r="BC16" s="18" t="str">
        <f t="shared" si="3"/>
        <v>Found at our houses</v>
      </c>
      <c r="BD16" s="31"/>
      <c r="BE16" s="31"/>
      <c r="BF16" s="38"/>
      <c r="BG16" s="38"/>
      <c r="BH16" s="38"/>
      <c r="BI16" s="38"/>
      <c r="BJ16" s="38"/>
      <c r="BK16" s="38"/>
      <c r="BL16" s="38"/>
    </row>
    <row r="17">
      <c r="A17" s="31">
        <v>15.0</v>
      </c>
      <c r="B17" s="31"/>
      <c r="C17" s="31" t="s">
        <v>145</v>
      </c>
      <c r="D17" s="31" t="s">
        <v>151</v>
      </c>
      <c r="E17" s="31" t="s">
        <v>152</v>
      </c>
      <c r="F17" s="31">
        <v>1.0</v>
      </c>
      <c r="G17" s="33" t="s">
        <v>83</v>
      </c>
      <c r="H17" s="33">
        <v>203.0</v>
      </c>
      <c r="I17" s="33" t="s">
        <v>84</v>
      </c>
      <c r="J17" s="33" t="s">
        <v>350</v>
      </c>
      <c r="K17" s="39" t="s">
        <v>351</v>
      </c>
      <c r="L17" s="33"/>
      <c r="M17" s="33" t="s">
        <v>86</v>
      </c>
      <c r="N17" s="31"/>
      <c r="O17" s="31"/>
      <c r="P17" s="31"/>
      <c r="Q17" s="33" t="s">
        <v>354</v>
      </c>
      <c r="R17" s="33"/>
      <c r="S17" s="33" t="s">
        <v>86</v>
      </c>
      <c r="T17" s="31"/>
      <c r="U17" s="31"/>
      <c r="V17" s="31"/>
      <c r="W17" s="40" t="s">
        <v>356</v>
      </c>
      <c r="X17" s="33">
        <v>1.0</v>
      </c>
      <c r="Y17" s="33" t="s">
        <v>86</v>
      </c>
      <c r="Z17" s="33"/>
      <c r="AA17" s="33"/>
      <c r="AB17" s="33"/>
      <c r="AC17" s="33" t="s">
        <v>358</v>
      </c>
      <c r="AD17" s="33">
        <v>2.0</v>
      </c>
      <c r="AE17" s="33" t="s">
        <v>86</v>
      </c>
      <c r="AF17" s="33"/>
      <c r="AG17" s="33"/>
      <c r="AH17" s="33"/>
      <c r="AI17" s="33" t="s">
        <v>359</v>
      </c>
      <c r="AJ17" s="33">
        <v>2.0</v>
      </c>
      <c r="AK17" s="33" t="s">
        <v>86</v>
      </c>
      <c r="AL17" s="33"/>
      <c r="AM17" s="33"/>
      <c r="AN17" s="33"/>
      <c r="AO17" s="33" t="s">
        <v>359</v>
      </c>
      <c r="AP17" s="33">
        <v>2.0</v>
      </c>
      <c r="AQ17" s="33" t="s">
        <v>86</v>
      </c>
      <c r="AR17" s="33"/>
      <c r="AS17" s="33"/>
      <c r="AT17" s="33"/>
      <c r="AU17" s="33" t="s">
        <v>360</v>
      </c>
      <c r="AV17" s="33">
        <v>2.0</v>
      </c>
      <c r="AW17" s="33" t="str">
        <f t="shared" si="1"/>
        <v>Yes</v>
      </c>
      <c r="AX17" s="33" t="s">
        <v>104</v>
      </c>
      <c r="AY17" s="31"/>
      <c r="AZ17" s="31"/>
      <c r="BA17" s="31"/>
      <c r="BB17" s="31"/>
      <c r="BC17" s="18" t="str">
        <f t="shared" si="3"/>
        <v>Found at our houses</v>
      </c>
      <c r="BD17" s="31"/>
      <c r="BE17" s="31"/>
      <c r="BF17" s="38"/>
      <c r="BG17" s="38"/>
      <c r="BH17" s="38"/>
      <c r="BI17" s="38"/>
      <c r="BJ17" s="38"/>
      <c r="BK17" s="38"/>
      <c r="BL17" s="38"/>
    </row>
    <row r="18">
      <c r="A18" s="31">
        <v>16.0</v>
      </c>
      <c r="B18" s="31">
        <v>6.0</v>
      </c>
      <c r="C18" s="31" t="s">
        <v>165</v>
      </c>
      <c r="D18" s="31" t="s">
        <v>166</v>
      </c>
      <c r="E18" s="31" t="s">
        <v>167</v>
      </c>
      <c r="F18" s="31">
        <v>1.0</v>
      </c>
      <c r="G18" s="33" t="s">
        <v>83</v>
      </c>
      <c r="H18" s="33">
        <v>1012.43</v>
      </c>
      <c r="I18" s="33" t="s">
        <v>84</v>
      </c>
      <c r="J18" s="33" t="s">
        <v>364</v>
      </c>
      <c r="K18" s="39" t="s">
        <v>366</v>
      </c>
      <c r="L18" s="31"/>
      <c r="M18" s="33" t="s">
        <v>367</v>
      </c>
      <c r="N18" s="31"/>
      <c r="O18" s="31"/>
      <c r="P18" s="31"/>
      <c r="Q18" s="33" t="s">
        <v>368</v>
      </c>
      <c r="R18" s="31"/>
      <c r="S18" s="33" t="s">
        <v>83</v>
      </c>
      <c r="T18" s="33">
        <v>943.03</v>
      </c>
      <c r="U18" s="33" t="s">
        <v>84</v>
      </c>
      <c r="V18" s="33" t="s">
        <v>369</v>
      </c>
      <c r="W18" s="40" t="s">
        <v>370</v>
      </c>
      <c r="X18" s="33">
        <v>2.0</v>
      </c>
      <c r="Y18" s="33" t="s">
        <v>233</v>
      </c>
      <c r="Z18" s="33">
        <v>623.39</v>
      </c>
      <c r="AA18" s="33" t="s">
        <v>84</v>
      </c>
      <c r="AB18" s="33" t="s">
        <v>371</v>
      </c>
      <c r="AC18" s="33" t="s">
        <v>372</v>
      </c>
      <c r="AD18" s="33">
        <v>2.0</v>
      </c>
      <c r="AE18" s="33" t="s">
        <v>86</v>
      </c>
      <c r="AF18" s="31"/>
      <c r="AG18" s="31"/>
      <c r="AH18" s="31"/>
      <c r="AI18" s="33" t="s">
        <v>374</v>
      </c>
      <c r="AJ18" s="33">
        <v>2.0</v>
      </c>
      <c r="AK18" s="33" t="s">
        <v>86</v>
      </c>
      <c r="AL18" s="31"/>
      <c r="AM18" s="31"/>
      <c r="AN18" s="31"/>
      <c r="AO18" s="33" t="s">
        <v>376</v>
      </c>
      <c r="AP18" s="33">
        <v>2.0</v>
      </c>
      <c r="AQ18" s="33" t="s">
        <v>86</v>
      </c>
      <c r="AR18" s="31"/>
      <c r="AS18" s="31"/>
      <c r="AT18" s="31"/>
      <c r="AU18" s="33" t="s">
        <v>378</v>
      </c>
      <c r="AV18" s="33">
        <v>2.0</v>
      </c>
      <c r="AW18" s="33" t="str">
        <f t="shared" si="1"/>
        <v>Yes</v>
      </c>
      <c r="AX18" s="33" t="s">
        <v>104</v>
      </c>
      <c r="AY18" s="31"/>
      <c r="AZ18" s="31"/>
      <c r="BA18" s="31"/>
      <c r="BB18" s="31"/>
      <c r="BC18" s="18" t="str">
        <f t="shared" si="3"/>
        <v>Found at our houses</v>
      </c>
      <c r="BD18" s="31"/>
      <c r="BE18" s="31"/>
      <c r="BF18" s="38"/>
      <c r="BG18" s="38"/>
      <c r="BH18" s="38"/>
      <c r="BI18" s="38"/>
      <c r="BJ18" s="38"/>
      <c r="BK18" s="38"/>
      <c r="BL18" s="38"/>
    </row>
    <row r="19">
      <c r="A19" s="31">
        <v>17.0</v>
      </c>
      <c r="B19" s="31"/>
      <c r="C19" s="31" t="s">
        <v>165</v>
      </c>
      <c r="D19" s="31" t="s">
        <v>170</v>
      </c>
      <c r="E19" s="31" t="s">
        <v>171</v>
      </c>
      <c r="F19" s="31">
        <v>1.0</v>
      </c>
      <c r="G19" s="33" t="s">
        <v>233</v>
      </c>
      <c r="H19" s="53">
        <v>267.0</v>
      </c>
      <c r="I19" s="33" t="s">
        <v>84</v>
      </c>
      <c r="J19" s="33" t="s">
        <v>380</v>
      </c>
      <c r="K19" s="39" t="s">
        <v>381</v>
      </c>
      <c r="L19" s="33"/>
      <c r="M19" s="33" t="s">
        <v>233</v>
      </c>
      <c r="N19" s="31"/>
      <c r="O19" s="31"/>
      <c r="P19" s="33" t="s">
        <v>384</v>
      </c>
      <c r="Q19" s="39" t="s">
        <v>386</v>
      </c>
      <c r="R19" s="33"/>
      <c r="S19" s="33" t="s">
        <v>83</v>
      </c>
      <c r="T19" s="33">
        <v>250.0</v>
      </c>
      <c r="U19" s="33" t="s">
        <v>84</v>
      </c>
      <c r="V19" s="33" t="s">
        <v>388</v>
      </c>
      <c r="W19" s="40" t="s">
        <v>389</v>
      </c>
      <c r="X19" s="33">
        <v>2.0</v>
      </c>
      <c r="Y19" s="33" t="s">
        <v>233</v>
      </c>
      <c r="Z19" s="33">
        <v>257.655</v>
      </c>
      <c r="AA19" s="33" t="s">
        <v>84</v>
      </c>
      <c r="AB19" s="33" t="s">
        <v>390</v>
      </c>
      <c r="AC19" s="33" t="s">
        <v>391</v>
      </c>
      <c r="AD19" s="33">
        <v>2.0</v>
      </c>
      <c r="AE19" s="33" t="s">
        <v>86</v>
      </c>
      <c r="AF19" s="33"/>
      <c r="AG19" s="33"/>
      <c r="AH19" s="33"/>
      <c r="AI19" s="33" t="s">
        <v>392</v>
      </c>
      <c r="AJ19" s="33">
        <v>2.0</v>
      </c>
      <c r="AK19" s="33" t="s">
        <v>86</v>
      </c>
      <c r="AL19" s="33"/>
      <c r="AM19" s="33"/>
      <c r="AN19" s="33"/>
      <c r="AO19" s="33" t="s">
        <v>393</v>
      </c>
      <c r="AP19" s="33">
        <v>2.0</v>
      </c>
      <c r="AQ19" s="33" t="s">
        <v>83</v>
      </c>
      <c r="AR19" s="33">
        <v>466.7</v>
      </c>
      <c r="AS19" s="33" t="s">
        <v>84</v>
      </c>
      <c r="AT19" s="33" t="s">
        <v>394</v>
      </c>
      <c r="AU19" s="33" t="s">
        <v>395</v>
      </c>
      <c r="AV19" s="33">
        <v>3.0</v>
      </c>
      <c r="AW19" s="33" t="str">
        <f t="shared" si="1"/>
        <v>Yes</v>
      </c>
      <c r="AX19" s="33" t="s">
        <v>104</v>
      </c>
      <c r="AY19" s="31"/>
      <c r="AZ19" s="31"/>
      <c r="BA19" s="31"/>
      <c r="BB19" s="31"/>
      <c r="BC19" s="18" t="str">
        <f t="shared" si="3"/>
        <v>Found at our houses</v>
      </c>
      <c r="BD19" s="31"/>
      <c r="BE19" s="31"/>
      <c r="BF19" s="38"/>
      <c r="BG19" s="38"/>
      <c r="BH19" s="38"/>
      <c r="BI19" s="38"/>
      <c r="BJ19" s="38"/>
      <c r="BK19" s="38"/>
      <c r="BL19" s="38"/>
    </row>
    <row r="20">
      <c r="A20" s="31">
        <v>18.0</v>
      </c>
      <c r="B20" s="31"/>
      <c r="C20" s="31" t="s">
        <v>165</v>
      </c>
      <c r="D20" s="31" t="s">
        <v>175</v>
      </c>
      <c r="E20" s="31" t="s">
        <v>176</v>
      </c>
      <c r="F20" s="31">
        <v>1.0</v>
      </c>
      <c r="G20" s="33" t="s">
        <v>233</v>
      </c>
      <c r="H20" s="53">
        <v>176.23</v>
      </c>
      <c r="I20" s="33" t="s">
        <v>84</v>
      </c>
      <c r="J20" s="33" t="s">
        <v>398</v>
      </c>
      <c r="K20" s="39" t="s">
        <v>399</v>
      </c>
      <c r="L20" s="33"/>
      <c r="M20" s="33" t="s">
        <v>83</v>
      </c>
      <c r="N20" s="33">
        <v>175.41</v>
      </c>
      <c r="O20" s="33" t="s">
        <v>84</v>
      </c>
      <c r="P20" s="33" t="s">
        <v>401</v>
      </c>
      <c r="Q20" s="39" t="s">
        <v>402</v>
      </c>
      <c r="R20" s="33"/>
      <c r="S20" s="33" t="s">
        <v>83</v>
      </c>
      <c r="T20" s="33">
        <v>222.45</v>
      </c>
      <c r="U20" s="33" t="s">
        <v>84</v>
      </c>
      <c r="V20" s="33" t="s">
        <v>406</v>
      </c>
      <c r="W20" s="40" t="s">
        <v>407</v>
      </c>
      <c r="X20" s="33">
        <v>2.0</v>
      </c>
      <c r="Y20" s="33" t="s">
        <v>233</v>
      </c>
      <c r="Z20" s="33">
        <v>138.96</v>
      </c>
      <c r="AA20" s="33" t="s">
        <v>84</v>
      </c>
      <c r="AB20" s="33" t="s">
        <v>408</v>
      </c>
      <c r="AC20" s="33" t="s">
        <v>409</v>
      </c>
      <c r="AD20" s="33">
        <v>2.0</v>
      </c>
      <c r="AE20" s="33" t="s">
        <v>86</v>
      </c>
      <c r="AF20" s="33"/>
      <c r="AG20" s="33"/>
      <c r="AH20" s="33"/>
      <c r="AI20" s="33" t="s">
        <v>411</v>
      </c>
      <c r="AJ20" s="33">
        <v>2.0</v>
      </c>
      <c r="AK20" s="33" t="s">
        <v>86</v>
      </c>
      <c r="AL20" s="33"/>
      <c r="AM20" s="33"/>
      <c r="AN20" s="33"/>
      <c r="AO20" s="33" t="s">
        <v>411</v>
      </c>
      <c r="AP20" s="33">
        <v>2.0</v>
      </c>
      <c r="AQ20" s="33" t="s">
        <v>86</v>
      </c>
      <c r="AR20" s="33"/>
      <c r="AS20" s="33"/>
      <c r="AT20" s="33"/>
      <c r="AU20" s="33" t="s">
        <v>412</v>
      </c>
      <c r="AV20" s="33">
        <v>2.0</v>
      </c>
      <c r="AW20" s="33" t="str">
        <f t="shared" si="1"/>
        <v>Yes</v>
      </c>
      <c r="AX20" s="33" t="s">
        <v>104</v>
      </c>
      <c r="AY20" s="31"/>
      <c r="AZ20" s="31"/>
      <c r="BA20" s="31"/>
      <c r="BB20" s="31"/>
      <c r="BC20" s="18" t="str">
        <f t="shared" si="3"/>
        <v>Found at our houses</v>
      </c>
      <c r="BD20" s="31"/>
      <c r="BE20" s="31"/>
      <c r="BF20" s="38"/>
      <c r="BG20" s="38"/>
      <c r="BH20" s="38"/>
      <c r="BI20" s="38"/>
      <c r="BJ20" s="38"/>
      <c r="BK20" s="38"/>
      <c r="BL20" s="38"/>
    </row>
    <row r="21">
      <c r="A21" s="31">
        <v>19.0</v>
      </c>
      <c r="B21" s="31">
        <v>7.0</v>
      </c>
      <c r="C21" s="31"/>
      <c r="D21" s="31" t="s">
        <v>177</v>
      </c>
      <c r="E21" s="31"/>
      <c r="F21" s="31" t="s">
        <v>178</v>
      </c>
      <c r="G21" s="33" t="s">
        <v>367</v>
      </c>
      <c r="H21" s="31"/>
      <c r="I21" s="31"/>
      <c r="J21" s="33"/>
      <c r="K21" s="33" t="s">
        <v>415</v>
      </c>
      <c r="L21" s="33"/>
      <c r="M21" s="33" t="s">
        <v>367</v>
      </c>
      <c r="N21" s="31"/>
      <c r="O21" s="31"/>
      <c r="P21" s="31"/>
      <c r="Q21" s="33" t="s">
        <v>416</v>
      </c>
      <c r="R21" s="33"/>
      <c r="S21" s="33" t="s">
        <v>86</v>
      </c>
      <c r="T21" s="31"/>
      <c r="U21" s="31"/>
      <c r="V21" s="31"/>
      <c r="W21" s="40" t="s">
        <v>418</v>
      </c>
      <c r="X21" s="33">
        <v>3.0</v>
      </c>
      <c r="Y21" s="33" t="s">
        <v>83</v>
      </c>
      <c r="Z21" s="33">
        <v>362.074</v>
      </c>
      <c r="AA21" s="33" t="s">
        <v>419</v>
      </c>
      <c r="AB21" s="33" t="s">
        <v>420</v>
      </c>
      <c r="AC21" s="33" t="s">
        <v>421</v>
      </c>
      <c r="AD21" s="33">
        <v>3.0</v>
      </c>
      <c r="AE21" s="33" t="s">
        <v>86</v>
      </c>
      <c r="AF21" s="33"/>
      <c r="AG21" s="33"/>
      <c r="AH21" s="33"/>
      <c r="AI21" s="33" t="s">
        <v>422</v>
      </c>
      <c r="AJ21" s="33">
        <v>2.0</v>
      </c>
      <c r="AK21" s="33" t="s">
        <v>86</v>
      </c>
      <c r="AL21" s="33"/>
      <c r="AM21" s="33"/>
      <c r="AN21" s="33"/>
      <c r="AO21" s="33" t="s">
        <v>423</v>
      </c>
      <c r="AP21" s="33">
        <v>2.0</v>
      </c>
      <c r="AQ21" s="33" t="s">
        <v>86</v>
      </c>
      <c r="AR21" s="33"/>
      <c r="AS21" s="33"/>
      <c r="AT21" s="33"/>
      <c r="AU21" s="33" t="s">
        <v>424</v>
      </c>
      <c r="AV21" s="33">
        <v>2.0</v>
      </c>
      <c r="AW21" s="33" t="str">
        <f t="shared" si="1"/>
        <v>Yes</v>
      </c>
      <c r="AX21" s="33" t="s">
        <v>104</v>
      </c>
      <c r="AY21" s="33"/>
      <c r="AZ21" s="31"/>
      <c r="BA21" s="31"/>
      <c r="BB21" s="31"/>
      <c r="BC21" s="18" t="str">
        <f t="shared" si="3"/>
        <v>Found at our houses</v>
      </c>
      <c r="BD21" s="31"/>
      <c r="BE21" s="31"/>
      <c r="BF21" s="38"/>
      <c r="BG21" s="38"/>
      <c r="BH21" s="38"/>
      <c r="BI21" s="38"/>
      <c r="BJ21" s="38"/>
      <c r="BK21" s="38"/>
      <c r="BL21" s="38"/>
    </row>
    <row r="22">
      <c r="A22" s="31">
        <v>20.0</v>
      </c>
      <c r="B22" s="31">
        <v>8.0</v>
      </c>
      <c r="C22" s="31"/>
      <c r="D22" s="31" t="s">
        <v>187</v>
      </c>
      <c r="E22" s="31"/>
      <c r="F22" s="31" t="s">
        <v>178</v>
      </c>
      <c r="G22" s="33" t="s">
        <v>367</v>
      </c>
      <c r="H22" s="31"/>
      <c r="I22" s="31"/>
      <c r="J22" s="33"/>
      <c r="K22" s="40" t="s">
        <v>415</v>
      </c>
      <c r="L22" s="33"/>
      <c r="M22" s="33" t="s">
        <v>367</v>
      </c>
      <c r="N22" s="31"/>
      <c r="O22" s="31"/>
      <c r="P22" s="33"/>
      <c r="Q22" s="33" t="s">
        <v>427</v>
      </c>
      <c r="R22" s="33"/>
      <c r="S22" s="33" t="s">
        <v>86</v>
      </c>
      <c r="T22" s="31"/>
      <c r="U22" s="31"/>
      <c r="V22" s="31"/>
      <c r="W22" s="40" t="s">
        <v>428</v>
      </c>
      <c r="X22" s="33">
        <v>1.0</v>
      </c>
      <c r="Y22" s="33" t="s">
        <v>83</v>
      </c>
      <c r="Z22" s="33">
        <v>165.795</v>
      </c>
      <c r="AA22" s="33" t="s">
        <v>419</v>
      </c>
      <c r="AB22" s="33" t="s">
        <v>429</v>
      </c>
      <c r="AC22" s="33" t="s">
        <v>430</v>
      </c>
      <c r="AD22" s="33">
        <v>3.0</v>
      </c>
      <c r="AE22" s="33" t="s">
        <v>86</v>
      </c>
      <c r="AF22" s="33"/>
      <c r="AG22" s="33"/>
      <c r="AH22" s="33"/>
      <c r="AI22" s="33" t="s">
        <v>431</v>
      </c>
      <c r="AJ22" s="33">
        <v>2.0</v>
      </c>
      <c r="AK22" s="33" t="s">
        <v>86</v>
      </c>
      <c r="AL22" s="33"/>
      <c r="AM22" s="33"/>
      <c r="AN22" s="33"/>
      <c r="AO22" s="33" t="s">
        <v>432</v>
      </c>
      <c r="AP22" s="33">
        <v>2.0</v>
      </c>
      <c r="AQ22" s="33" t="s">
        <v>86</v>
      </c>
      <c r="AR22" s="33"/>
      <c r="AS22" s="33"/>
      <c r="AT22" s="33"/>
      <c r="AU22" s="33" t="s">
        <v>433</v>
      </c>
      <c r="AV22" s="33">
        <v>2.0</v>
      </c>
      <c r="AW22" s="33" t="str">
        <f t="shared" si="1"/>
        <v>Yes</v>
      </c>
      <c r="AX22" s="33" t="s">
        <v>104</v>
      </c>
      <c r="AY22" s="31"/>
      <c r="AZ22" s="31"/>
      <c r="BA22" s="31"/>
      <c r="BB22" s="31"/>
      <c r="BC22" s="18" t="str">
        <f t="shared" si="3"/>
        <v>Found at our houses</v>
      </c>
      <c r="BD22" s="31"/>
      <c r="BE22" s="31"/>
      <c r="BF22" s="38"/>
      <c r="BG22" s="38"/>
      <c r="BH22" s="38"/>
      <c r="BI22" s="38"/>
      <c r="BJ22" s="38"/>
      <c r="BK22" s="38"/>
      <c r="BL22" s="38"/>
    </row>
    <row r="23">
      <c r="A23" s="31">
        <v>21.0</v>
      </c>
      <c r="B23" s="31">
        <v>9.0</v>
      </c>
      <c r="C23" s="31"/>
      <c r="D23" s="31" t="s">
        <v>192</v>
      </c>
      <c r="E23" s="31"/>
      <c r="F23" s="31" t="s">
        <v>193</v>
      </c>
      <c r="G23" s="33" t="s">
        <v>367</v>
      </c>
      <c r="H23" s="53"/>
      <c r="I23" s="33"/>
      <c r="J23" s="31"/>
      <c r="K23" s="33" t="s">
        <v>415</v>
      </c>
      <c r="L23" s="33"/>
      <c r="M23" s="33" t="s">
        <v>367</v>
      </c>
      <c r="N23" s="31"/>
      <c r="O23" s="31"/>
      <c r="P23" s="31"/>
      <c r="Q23" s="33" t="s">
        <v>435</v>
      </c>
      <c r="R23" s="33"/>
      <c r="S23" s="33" t="s">
        <v>86</v>
      </c>
      <c r="T23" s="31"/>
      <c r="U23" s="31"/>
      <c r="V23" s="31"/>
      <c r="W23" s="40" t="s">
        <v>438</v>
      </c>
      <c r="X23" s="33">
        <v>1.0</v>
      </c>
      <c r="Y23" s="33" t="s">
        <v>83</v>
      </c>
      <c r="Z23" s="33">
        <v>500.699</v>
      </c>
      <c r="AA23" s="33" t="s">
        <v>419</v>
      </c>
      <c r="AB23" s="33" t="s">
        <v>439</v>
      </c>
      <c r="AC23" s="33" t="s">
        <v>440</v>
      </c>
      <c r="AD23" s="33">
        <v>3.0</v>
      </c>
      <c r="AE23" s="33" t="s">
        <v>86</v>
      </c>
      <c r="AF23" s="33"/>
      <c r="AG23" s="33"/>
      <c r="AH23" s="33"/>
      <c r="AI23" s="33" t="s">
        <v>441</v>
      </c>
      <c r="AJ23" s="33">
        <v>2.0</v>
      </c>
      <c r="AK23" s="33" t="s">
        <v>86</v>
      </c>
      <c r="AL23" s="33"/>
      <c r="AM23" s="33"/>
      <c r="AN23" s="33"/>
      <c r="AO23" s="33" t="s">
        <v>442</v>
      </c>
      <c r="AP23" s="33">
        <v>2.0</v>
      </c>
      <c r="AQ23" s="33" t="s">
        <v>86</v>
      </c>
      <c r="AR23" s="33"/>
      <c r="AS23" s="33"/>
      <c r="AT23" s="33"/>
      <c r="AU23" s="33" t="s">
        <v>443</v>
      </c>
      <c r="AV23" s="33">
        <v>2.0</v>
      </c>
      <c r="AW23" s="33" t="str">
        <f t="shared" si="1"/>
        <v>Yes</v>
      </c>
      <c r="AX23" s="33" t="s">
        <v>104</v>
      </c>
      <c r="AY23" s="33"/>
      <c r="AZ23" s="31"/>
      <c r="BA23" s="31"/>
      <c r="BB23" s="31"/>
      <c r="BC23" s="18" t="str">
        <f t="shared" si="3"/>
        <v>Found at our houses</v>
      </c>
      <c r="BD23" s="31"/>
      <c r="BE23" s="31"/>
      <c r="BF23" s="38"/>
      <c r="BG23" s="38"/>
      <c r="BH23" s="38"/>
      <c r="BI23" s="38"/>
      <c r="BJ23" s="38"/>
      <c r="BK23" s="38"/>
      <c r="BL23" s="38"/>
    </row>
    <row r="24" ht="15.75" customHeight="1">
      <c r="A24" s="31">
        <v>22.0</v>
      </c>
      <c r="B24" s="31">
        <v>10.0</v>
      </c>
      <c r="C24" s="31"/>
      <c r="D24" s="31" t="s">
        <v>205</v>
      </c>
      <c r="E24" s="31"/>
      <c r="F24" s="31">
        <v>3.0</v>
      </c>
      <c r="G24" s="33" t="s">
        <v>367</v>
      </c>
      <c r="H24" s="31"/>
      <c r="I24" s="31"/>
      <c r="J24" s="33"/>
      <c r="K24" s="33" t="s">
        <v>446</v>
      </c>
      <c r="L24" s="33"/>
      <c r="M24" s="33" t="s">
        <v>367</v>
      </c>
      <c r="N24" s="31"/>
      <c r="O24" s="31"/>
      <c r="P24" s="31"/>
      <c r="Q24" s="39" t="s">
        <v>448</v>
      </c>
      <c r="R24" s="33"/>
      <c r="S24" s="33" t="s">
        <v>86</v>
      </c>
      <c r="T24" s="31"/>
      <c r="U24" s="31"/>
      <c r="V24" s="31"/>
      <c r="W24" s="40" t="s">
        <v>451</v>
      </c>
      <c r="X24" s="33">
        <v>1.0</v>
      </c>
      <c r="Y24" s="33" t="s">
        <v>83</v>
      </c>
      <c r="Z24" s="33">
        <v>16.78</v>
      </c>
      <c r="AA24" s="33" t="s">
        <v>84</v>
      </c>
      <c r="AB24" s="33" t="s">
        <v>452</v>
      </c>
      <c r="AC24" s="33" t="s">
        <v>453</v>
      </c>
      <c r="AD24" s="33">
        <v>2.0</v>
      </c>
      <c r="AE24" s="33" t="s">
        <v>86</v>
      </c>
      <c r="AF24" s="33"/>
      <c r="AG24" s="33"/>
      <c r="AH24" s="33"/>
      <c r="AI24" s="33" t="s">
        <v>454</v>
      </c>
      <c r="AJ24" s="33">
        <v>2.0</v>
      </c>
      <c r="AK24" s="33" t="s">
        <v>86</v>
      </c>
      <c r="AL24" s="33"/>
      <c r="AM24" s="33"/>
      <c r="AN24" s="33"/>
      <c r="AO24" s="33" t="s">
        <v>455</v>
      </c>
      <c r="AP24" s="33">
        <v>2.0</v>
      </c>
      <c r="AQ24" s="33" t="s">
        <v>86</v>
      </c>
      <c r="AR24" s="33"/>
      <c r="AS24" s="33"/>
      <c r="AT24" s="33"/>
      <c r="AU24" s="33" t="s">
        <v>457</v>
      </c>
      <c r="AV24" s="33">
        <v>2.0</v>
      </c>
      <c r="AW24" s="33" t="str">
        <f t="shared" si="1"/>
        <v>Yes</v>
      </c>
      <c r="AX24" s="33" t="s">
        <v>104</v>
      </c>
      <c r="AY24" s="31"/>
      <c r="AZ24" s="31"/>
      <c r="BA24" s="31"/>
      <c r="BB24" s="31"/>
      <c r="BC24" s="18" t="str">
        <f t="shared" si="3"/>
        <v>Found at our houses</v>
      </c>
      <c r="BD24" s="31"/>
      <c r="BE24" s="31"/>
      <c r="BF24" s="38"/>
      <c r="BG24" s="38"/>
      <c r="BH24" s="38"/>
      <c r="BI24" s="38"/>
      <c r="BJ24" s="38"/>
      <c r="BK24" s="38"/>
      <c r="BL24" s="38"/>
    </row>
    <row r="25" ht="15.75" customHeight="1">
      <c r="A25" s="31">
        <v>23.0</v>
      </c>
      <c r="B25" s="31">
        <v>11.0</v>
      </c>
      <c r="C25" s="31"/>
      <c r="D25" s="31" t="s">
        <v>207</v>
      </c>
      <c r="E25" s="31"/>
      <c r="F25" s="31">
        <v>6.0</v>
      </c>
      <c r="G25" s="33" t="s">
        <v>367</v>
      </c>
      <c r="H25" s="53"/>
      <c r="I25" s="33"/>
      <c r="J25" s="33"/>
      <c r="K25" s="33" t="s">
        <v>459</v>
      </c>
      <c r="L25" s="33"/>
      <c r="M25" s="33" t="s">
        <v>367</v>
      </c>
      <c r="N25" s="31"/>
      <c r="O25" s="31"/>
      <c r="P25" s="31"/>
      <c r="Q25" s="62" t="s">
        <v>461</v>
      </c>
      <c r="R25" s="33"/>
      <c r="S25" s="33" t="s">
        <v>86</v>
      </c>
      <c r="T25" s="31"/>
      <c r="U25" s="31"/>
      <c r="V25" s="31"/>
      <c r="W25" s="40" t="s">
        <v>462</v>
      </c>
      <c r="X25" s="33">
        <v>2.0</v>
      </c>
      <c r="Y25" s="33" t="s">
        <v>86</v>
      </c>
      <c r="Z25" s="33"/>
      <c r="AA25" s="33"/>
      <c r="AB25" s="33"/>
      <c r="AC25" s="33" t="s">
        <v>463</v>
      </c>
      <c r="AD25" s="33">
        <v>2.0</v>
      </c>
      <c r="AE25" s="33" t="s">
        <v>86</v>
      </c>
      <c r="AF25" s="33"/>
      <c r="AG25" s="33"/>
      <c r="AH25" s="33"/>
      <c r="AI25" s="33" t="s">
        <v>465</v>
      </c>
      <c r="AJ25" s="33">
        <v>2.0</v>
      </c>
      <c r="AK25" s="33" t="s">
        <v>86</v>
      </c>
      <c r="AL25" s="33"/>
      <c r="AM25" s="33"/>
      <c r="AN25" s="33"/>
      <c r="AO25" s="33" t="s">
        <v>466</v>
      </c>
      <c r="AP25" s="33">
        <v>2.0</v>
      </c>
      <c r="AQ25" s="33" t="s">
        <v>86</v>
      </c>
      <c r="AR25" s="33"/>
      <c r="AS25" s="33"/>
      <c r="AT25" s="33"/>
      <c r="AU25" s="33" t="s">
        <v>467</v>
      </c>
      <c r="AV25" s="33">
        <v>2.0</v>
      </c>
      <c r="AW25" s="31" t="str">
        <f t="shared" si="1"/>
        <v>No</v>
      </c>
      <c r="AX25" s="33" t="s">
        <v>104</v>
      </c>
      <c r="AY25" s="33"/>
      <c r="AZ25" s="31"/>
      <c r="BA25" s="31"/>
      <c r="BB25" s="31"/>
      <c r="BC25" s="18" t="str">
        <f t="shared" si="3"/>
        <v>Pending</v>
      </c>
      <c r="BD25" s="31"/>
      <c r="BE25" s="31"/>
      <c r="BF25" s="38"/>
      <c r="BG25" s="38"/>
      <c r="BH25" s="38"/>
      <c r="BI25" s="38"/>
      <c r="BJ25" s="38"/>
      <c r="BK25" s="38"/>
      <c r="BL25" s="38"/>
    </row>
    <row r="26" ht="15.75" customHeight="1">
      <c r="A26" s="31">
        <v>24.0</v>
      </c>
      <c r="B26" s="31">
        <v>12.0</v>
      </c>
      <c r="C26" s="31"/>
      <c r="D26" s="31" t="s">
        <v>209</v>
      </c>
      <c r="E26" s="31"/>
      <c r="F26" s="31">
        <v>1.0</v>
      </c>
      <c r="G26" s="33" t="s">
        <v>367</v>
      </c>
      <c r="H26" s="63"/>
      <c r="I26" s="33"/>
      <c r="J26" s="33"/>
      <c r="K26" s="33" t="s">
        <v>459</v>
      </c>
      <c r="L26" s="33"/>
      <c r="M26" s="33" t="s">
        <v>83</v>
      </c>
      <c r="N26" s="33">
        <v>421.61</v>
      </c>
      <c r="O26" s="33" t="s">
        <v>84</v>
      </c>
      <c r="P26" s="33" t="s">
        <v>469</v>
      </c>
      <c r="Q26" s="39" t="s">
        <v>471</v>
      </c>
      <c r="R26" s="33"/>
      <c r="S26" s="33" t="s">
        <v>83</v>
      </c>
      <c r="T26" s="33">
        <v>638.0</v>
      </c>
      <c r="U26" s="33" t="s">
        <v>84</v>
      </c>
      <c r="V26" s="33" t="s">
        <v>476</v>
      </c>
      <c r="W26" s="40" t="s">
        <v>477</v>
      </c>
      <c r="X26" s="33">
        <v>2.0</v>
      </c>
      <c r="Y26" s="33" t="s">
        <v>86</v>
      </c>
      <c r="Z26" s="33"/>
      <c r="AA26" s="33"/>
      <c r="AB26" s="33"/>
      <c r="AC26" s="33" t="s">
        <v>479</v>
      </c>
      <c r="AD26" s="33">
        <v>2.0</v>
      </c>
      <c r="AE26" s="33" t="s">
        <v>86</v>
      </c>
      <c r="AF26" s="33"/>
      <c r="AG26" s="33"/>
      <c r="AH26" s="33"/>
      <c r="AI26" s="33" t="s">
        <v>480</v>
      </c>
      <c r="AJ26" s="33">
        <v>2.0</v>
      </c>
      <c r="AK26" s="33" t="s">
        <v>86</v>
      </c>
      <c r="AL26" s="33"/>
      <c r="AM26" s="33"/>
      <c r="AN26" s="33"/>
      <c r="AO26" s="33" t="s">
        <v>482</v>
      </c>
      <c r="AP26" s="33">
        <v>2.0</v>
      </c>
      <c r="AQ26" s="33" t="s">
        <v>86</v>
      </c>
      <c r="AR26" s="33"/>
      <c r="AS26" s="33"/>
      <c r="AT26" s="33"/>
      <c r="AU26" s="33" t="s">
        <v>483</v>
      </c>
      <c r="AV26" s="33">
        <v>2.0</v>
      </c>
      <c r="AW26" s="31" t="str">
        <f t="shared" si="1"/>
        <v>Yes</v>
      </c>
      <c r="AX26" s="33" t="s">
        <v>104</v>
      </c>
      <c r="AY26" s="33"/>
      <c r="AZ26" s="31"/>
      <c r="BA26" s="31"/>
      <c r="BB26" s="31"/>
      <c r="BC26" s="18" t="str">
        <f t="shared" si="3"/>
        <v>Found at our houses</v>
      </c>
      <c r="BD26" s="31"/>
      <c r="BE26" s="31"/>
      <c r="BF26" s="38"/>
      <c r="BG26" s="38"/>
      <c r="BH26" s="38"/>
      <c r="BI26" s="38"/>
      <c r="BJ26" s="38"/>
      <c r="BK26" s="38"/>
      <c r="BL26" s="38"/>
    </row>
    <row r="27" ht="15.75" customHeight="1">
      <c r="A27" s="31">
        <v>25.0</v>
      </c>
      <c r="B27" s="31">
        <v>13.0</v>
      </c>
      <c r="C27" s="31"/>
      <c r="D27" s="31" t="s">
        <v>226</v>
      </c>
      <c r="E27" s="31"/>
      <c r="F27" s="31">
        <v>1.0</v>
      </c>
      <c r="G27" s="33" t="s">
        <v>367</v>
      </c>
      <c r="H27" s="31"/>
      <c r="I27" s="31"/>
      <c r="J27" s="31"/>
      <c r="K27" s="33" t="s">
        <v>459</v>
      </c>
      <c r="L27" s="33"/>
      <c r="M27" s="33" t="s">
        <v>367</v>
      </c>
      <c r="N27" s="31"/>
      <c r="O27" s="31"/>
      <c r="P27" s="31"/>
      <c r="Q27" s="33" t="s">
        <v>487</v>
      </c>
      <c r="R27" s="33"/>
      <c r="S27" s="33" t="s">
        <v>86</v>
      </c>
      <c r="T27" s="31"/>
      <c r="U27" s="31"/>
      <c r="V27" s="31"/>
      <c r="W27" s="40" t="s">
        <v>488</v>
      </c>
      <c r="X27" s="33">
        <v>1.0</v>
      </c>
      <c r="Y27" s="33" t="s">
        <v>86</v>
      </c>
      <c r="Z27" s="33"/>
      <c r="AA27" s="33"/>
      <c r="AB27" s="33"/>
      <c r="AC27" s="33" t="s">
        <v>490</v>
      </c>
      <c r="AD27" s="33">
        <v>2.0</v>
      </c>
      <c r="AE27" s="33" t="s">
        <v>86</v>
      </c>
      <c r="AF27" s="33"/>
      <c r="AG27" s="33"/>
      <c r="AH27" s="33"/>
      <c r="AI27" s="33" t="s">
        <v>491</v>
      </c>
      <c r="AJ27" s="33">
        <v>2.0</v>
      </c>
      <c r="AK27" s="33" t="s">
        <v>86</v>
      </c>
      <c r="AL27" s="33"/>
      <c r="AM27" s="33"/>
      <c r="AN27" s="33"/>
      <c r="AO27" s="33" t="s">
        <v>482</v>
      </c>
      <c r="AP27" s="33">
        <v>2.0</v>
      </c>
      <c r="AQ27" s="33" t="s">
        <v>86</v>
      </c>
      <c r="AR27" s="33"/>
      <c r="AS27" s="33"/>
      <c r="AT27" s="33"/>
      <c r="AU27" s="33" t="s">
        <v>492</v>
      </c>
      <c r="AV27" s="33">
        <v>2.0</v>
      </c>
      <c r="AW27" s="31" t="str">
        <f t="shared" si="1"/>
        <v>No</v>
      </c>
      <c r="AX27" s="33" t="s">
        <v>104</v>
      </c>
      <c r="AY27" s="33"/>
      <c r="AZ27" s="31"/>
      <c r="BA27" s="31"/>
      <c r="BB27" s="31"/>
      <c r="BC27" s="18" t="str">
        <f t="shared" si="3"/>
        <v>Pending</v>
      </c>
      <c r="BD27" s="31"/>
      <c r="BE27" s="31"/>
      <c r="BF27" s="38"/>
      <c r="BG27" s="38"/>
      <c r="BH27" s="38"/>
      <c r="BI27" s="38"/>
      <c r="BJ27" s="38"/>
      <c r="BK27" s="38"/>
      <c r="BL27" s="38"/>
    </row>
    <row r="28" ht="15.75" customHeight="1">
      <c r="A28" s="31">
        <v>52.0</v>
      </c>
      <c r="B28" s="64">
        <v>40.0</v>
      </c>
      <c r="C28" s="64" t="s">
        <v>361</v>
      </c>
      <c r="D28" s="64" t="s">
        <v>362</v>
      </c>
      <c r="E28" s="64" t="s">
        <v>363</v>
      </c>
      <c r="G28" s="64" t="s">
        <v>86</v>
      </c>
      <c r="K28" s="64" t="s">
        <v>495</v>
      </c>
      <c r="L28" s="64">
        <v>2.0</v>
      </c>
      <c r="M28" s="64" t="s">
        <v>86</v>
      </c>
      <c r="Q28" s="64" t="s">
        <v>496</v>
      </c>
      <c r="R28" s="64">
        <v>2.0</v>
      </c>
      <c r="S28" s="64" t="s">
        <v>83</v>
      </c>
      <c r="T28" s="64">
        <v>626.22</v>
      </c>
      <c r="U28" s="64" t="s">
        <v>84</v>
      </c>
      <c r="V28" s="64" t="s">
        <v>498</v>
      </c>
      <c r="W28" s="64" t="s">
        <v>499</v>
      </c>
      <c r="X28" s="64">
        <v>3.0</v>
      </c>
      <c r="Y28" s="64" t="s">
        <v>86</v>
      </c>
      <c r="AC28" s="64" t="s">
        <v>500</v>
      </c>
      <c r="AD28" s="64">
        <v>2.0</v>
      </c>
      <c r="AE28" s="64" t="s">
        <v>86</v>
      </c>
      <c r="AI28" s="64" t="s">
        <v>501</v>
      </c>
      <c r="AJ28" s="64">
        <v>2.0</v>
      </c>
      <c r="AK28" s="64" t="s">
        <v>86</v>
      </c>
      <c r="AO28" s="64" t="s">
        <v>503</v>
      </c>
      <c r="AP28" s="64">
        <v>2.0</v>
      </c>
      <c r="AQ28" s="64" t="s">
        <v>86</v>
      </c>
      <c r="AU28" s="64" t="s">
        <v>504</v>
      </c>
      <c r="AV28" s="64">
        <v>2.0</v>
      </c>
      <c r="AW28" s="65" t="str">
        <f t="shared" si="1"/>
        <v>Yes</v>
      </c>
      <c r="AX28" s="64" t="s">
        <v>104</v>
      </c>
      <c r="BF28" s="38"/>
      <c r="BG28" s="38"/>
      <c r="BH28" s="38"/>
      <c r="BI28" s="38"/>
      <c r="BJ28" s="38"/>
      <c r="BK28" s="38"/>
      <c r="BL28" s="38"/>
    </row>
    <row r="29" ht="15.75" customHeight="1">
      <c r="A29" s="31">
        <v>53.0</v>
      </c>
      <c r="B29" s="64">
        <v>40.0</v>
      </c>
      <c r="C29" s="64" t="s">
        <v>361</v>
      </c>
      <c r="D29" s="64" t="s">
        <v>375</v>
      </c>
      <c r="E29" s="64" t="s">
        <v>377</v>
      </c>
      <c r="G29" s="64" t="s">
        <v>86</v>
      </c>
      <c r="K29" s="64" t="s">
        <v>505</v>
      </c>
      <c r="L29" s="64">
        <v>2.0</v>
      </c>
      <c r="M29" s="64" t="s">
        <v>86</v>
      </c>
      <c r="Q29" s="64" t="s">
        <v>506</v>
      </c>
      <c r="R29" s="64">
        <v>2.0</v>
      </c>
      <c r="S29" s="64" t="s">
        <v>83</v>
      </c>
      <c r="T29" s="64">
        <v>940.18</v>
      </c>
      <c r="U29" s="64" t="s">
        <v>84</v>
      </c>
      <c r="V29" s="64" t="s">
        <v>507</v>
      </c>
      <c r="W29" s="64" t="s">
        <v>508</v>
      </c>
      <c r="X29" s="64">
        <v>3.0</v>
      </c>
      <c r="Y29" s="64" t="s">
        <v>86</v>
      </c>
      <c r="AC29" s="64" t="s">
        <v>510</v>
      </c>
      <c r="AD29" s="64">
        <v>2.0</v>
      </c>
      <c r="AE29" s="64" t="s">
        <v>86</v>
      </c>
      <c r="AI29" s="64" t="s">
        <v>511</v>
      </c>
      <c r="AJ29" s="64">
        <v>2.0</v>
      </c>
      <c r="AK29" s="64" t="s">
        <v>86</v>
      </c>
      <c r="AO29" s="64" t="s">
        <v>513</v>
      </c>
      <c r="AP29" s="64">
        <v>2.0</v>
      </c>
      <c r="AQ29" s="64" t="s">
        <v>86</v>
      </c>
      <c r="AU29" s="64" t="s">
        <v>515</v>
      </c>
      <c r="AV29" s="64">
        <v>2.0</v>
      </c>
      <c r="AW29" s="65" t="str">
        <f t="shared" si="1"/>
        <v>Yes</v>
      </c>
      <c r="AX29" s="64" t="s">
        <v>104</v>
      </c>
      <c r="BF29" s="38"/>
      <c r="BG29" s="38"/>
      <c r="BH29" s="38"/>
      <c r="BI29" s="38"/>
      <c r="BJ29" s="38"/>
      <c r="BK29" s="38"/>
      <c r="BL29" s="38"/>
    </row>
    <row r="30" ht="15.75" customHeight="1">
      <c r="A30" s="31">
        <v>54.0</v>
      </c>
      <c r="B30" s="64">
        <v>40.0</v>
      </c>
      <c r="C30" s="64" t="s">
        <v>361</v>
      </c>
      <c r="D30" s="64" t="s">
        <v>383</v>
      </c>
      <c r="E30" s="64" t="s">
        <v>385</v>
      </c>
      <c r="G30" s="64" t="s">
        <v>86</v>
      </c>
      <c r="K30" s="64" t="s">
        <v>516</v>
      </c>
      <c r="L30" s="64">
        <v>2.0</v>
      </c>
      <c r="M30" s="64" t="s">
        <v>86</v>
      </c>
      <c r="Q30" s="64" t="s">
        <v>517</v>
      </c>
      <c r="R30" s="64">
        <v>2.0</v>
      </c>
      <c r="S30" s="64" t="s">
        <v>83</v>
      </c>
      <c r="T30" s="64">
        <v>441.0</v>
      </c>
      <c r="U30" s="64" t="s">
        <v>84</v>
      </c>
      <c r="V30" s="64" t="s">
        <v>518</v>
      </c>
      <c r="W30" s="64" t="s">
        <v>519</v>
      </c>
      <c r="X30" s="64">
        <v>3.0</v>
      </c>
      <c r="Y30" s="64" t="s">
        <v>86</v>
      </c>
      <c r="AC30" s="64" t="s">
        <v>520</v>
      </c>
      <c r="AD30" s="64">
        <v>2.0</v>
      </c>
      <c r="AE30" s="64" t="s">
        <v>86</v>
      </c>
      <c r="AI30" s="64" t="s">
        <v>521</v>
      </c>
      <c r="AJ30" s="64">
        <v>2.0</v>
      </c>
      <c r="AK30" s="64" t="s">
        <v>86</v>
      </c>
      <c r="AO30" s="64" t="s">
        <v>522</v>
      </c>
      <c r="AP30" s="64">
        <v>2.0</v>
      </c>
      <c r="AQ30" s="64" t="s">
        <v>86</v>
      </c>
      <c r="AU30" s="64" t="s">
        <v>524</v>
      </c>
      <c r="AV30" s="64">
        <v>2.0</v>
      </c>
      <c r="AW30" s="65" t="str">
        <f t="shared" si="1"/>
        <v>Yes</v>
      </c>
      <c r="AX30" s="64" t="s">
        <v>104</v>
      </c>
      <c r="BF30" s="38"/>
      <c r="BG30" s="38"/>
      <c r="BH30" s="38"/>
      <c r="BI30" s="38"/>
      <c r="BJ30" s="38"/>
      <c r="BK30" s="38"/>
      <c r="BL30" s="38"/>
    </row>
    <row r="31" ht="15.75" customHeight="1">
      <c r="A31" s="31">
        <v>55.0</v>
      </c>
      <c r="B31" s="64">
        <v>40.0</v>
      </c>
      <c r="C31" s="64" t="s">
        <v>361</v>
      </c>
      <c r="D31" s="64" t="s">
        <v>396</v>
      </c>
      <c r="E31" s="64" t="s">
        <v>397</v>
      </c>
      <c r="G31" s="64" t="s">
        <v>86</v>
      </c>
      <c r="K31" s="64" t="s">
        <v>525</v>
      </c>
      <c r="L31" s="64">
        <v>2.0</v>
      </c>
      <c r="M31" s="64" t="s">
        <v>86</v>
      </c>
      <c r="Q31" s="64" t="s">
        <v>526</v>
      </c>
      <c r="R31" s="64">
        <v>2.0</v>
      </c>
      <c r="S31" s="64" t="s">
        <v>83</v>
      </c>
      <c r="T31" s="64">
        <v>130.56</v>
      </c>
      <c r="U31" s="64" t="s">
        <v>84</v>
      </c>
      <c r="V31" s="64" t="s">
        <v>527</v>
      </c>
      <c r="W31" s="64" t="s">
        <v>529</v>
      </c>
      <c r="X31" s="64">
        <v>3.0</v>
      </c>
      <c r="Y31" s="64" t="s">
        <v>86</v>
      </c>
      <c r="AC31" s="64" t="s">
        <v>530</v>
      </c>
      <c r="AD31" s="64">
        <v>2.0</v>
      </c>
      <c r="AE31" s="64" t="s">
        <v>86</v>
      </c>
      <c r="AI31" s="64" t="s">
        <v>531</v>
      </c>
      <c r="AJ31" s="64">
        <v>2.0</v>
      </c>
      <c r="AK31" s="64" t="s">
        <v>86</v>
      </c>
      <c r="AO31" s="64" t="s">
        <v>532</v>
      </c>
      <c r="AP31" s="64">
        <v>2.0</v>
      </c>
      <c r="AQ31" s="64" t="s">
        <v>86</v>
      </c>
      <c r="AU31" s="64" t="s">
        <v>533</v>
      </c>
      <c r="AV31" s="64">
        <v>2.0</v>
      </c>
      <c r="AW31" s="65" t="str">
        <f t="shared" si="1"/>
        <v>Yes</v>
      </c>
      <c r="AX31" s="64" t="s">
        <v>104</v>
      </c>
      <c r="BF31" s="38"/>
      <c r="BG31" s="38"/>
      <c r="BH31" s="38"/>
      <c r="BI31" s="38"/>
      <c r="BJ31" s="38"/>
      <c r="BK31" s="38"/>
      <c r="BL31" s="38"/>
    </row>
    <row r="32" ht="15.75" customHeight="1">
      <c r="A32" s="31">
        <v>56.0</v>
      </c>
      <c r="B32" s="64">
        <v>40.0</v>
      </c>
      <c r="C32" s="64" t="s">
        <v>361</v>
      </c>
      <c r="D32" s="64" t="s">
        <v>403</v>
      </c>
      <c r="E32" s="64" t="s">
        <v>404</v>
      </c>
      <c r="G32" s="64" t="s">
        <v>86</v>
      </c>
      <c r="K32" s="64" t="s">
        <v>536</v>
      </c>
      <c r="L32" s="64">
        <v>2.0</v>
      </c>
      <c r="M32" s="64" t="s">
        <v>86</v>
      </c>
      <c r="Q32" s="64" t="s">
        <v>537</v>
      </c>
      <c r="R32" s="64">
        <v>2.0</v>
      </c>
      <c r="S32" s="64" t="s">
        <v>83</v>
      </c>
      <c r="T32" s="64">
        <v>61.2</v>
      </c>
      <c r="U32" s="64" t="s">
        <v>84</v>
      </c>
      <c r="V32" s="64" t="s">
        <v>538</v>
      </c>
      <c r="W32" s="64" t="s">
        <v>539</v>
      </c>
      <c r="X32" s="64">
        <v>4.0</v>
      </c>
      <c r="Y32" s="64" t="s">
        <v>86</v>
      </c>
      <c r="AC32" s="64" t="s">
        <v>540</v>
      </c>
      <c r="AD32" s="64">
        <v>2.0</v>
      </c>
      <c r="AE32" s="64" t="s">
        <v>86</v>
      </c>
      <c r="AI32" s="64" t="s">
        <v>541</v>
      </c>
      <c r="AJ32" s="64">
        <v>2.0</v>
      </c>
      <c r="AK32" s="64" t="s">
        <v>86</v>
      </c>
      <c r="AO32" s="64" t="s">
        <v>542</v>
      </c>
      <c r="AP32" s="64">
        <v>2.0</v>
      </c>
      <c r="AQ32" s="64" t="s">
        <v>86</v>
      </c>
      <c r="AU32" s="64" t="s">
        <v>543</v>
      </c>
      <c r="AV32" s="64">
        <v>2.0</v>
      </c>
      <c r="AW32" s="65" t="str">
        <f t="shared" si="1"/>
        <v>Yes</v>
      </c>
      <c r="AX32" s="64" t="s">
        <v>104</v>
      </c>
      <c r="BF32" s="38"/>
      <c r="BG32" s="38"/>
      <c r="BH32" s="38"/>
      <c r="BI32" s="38"/>
      <c r="BJ32" s="38"/>
      <c r="BK32" s="38"/>
      <c r="BL32" s="38"/>
    </row>
    <row r="33" ht="15.75" customHeight="1">
      <c r="A33" s="31">
        <v>57.0</v>
      </c>
      <c r="B33" s="64">
        <v>40.0</v>
      </c>
      <c r="C33" s="64" t="s">
        <v>361</v>
      </c>
      <c r="D33" s="64" t="s">
        <v>413</v>
      </c>
      <c r="E33" s="64" t="s">
        <v>414</v>
      </c>
      <c r="G33" s="64" t="s">
        <v>86</v>
      </c>
      <c r="K33" s="64" t="s">
        <v>544</v>
      </c>
      <c r="L33" s="64">
        <v>2.0</v>
      </c>
      <c r="M33" s="64" t="s">
        <v>86</v>
      </c>
      <c r="Q33" s="64" t="s">
        <v>546</v>
      </c>
      <c r="R33" s="64">
        <v>2.0</v>
      </c>
      <c r="S33" s="64" t="s">
        <v>83</v>
      </c>
      <c r="T33" s="64">
        <v>78.88</v>
      </c>
      <c r="U33" s="64" t="s">
        <v>84</v>
      </c>
      <c r="V33" s="64" t="s">
        <v>548</v>
      </c>
      <c r="W33" s="64" t="s">
        <v>549</v>
      </c>
      <c r="X33" s="64">
        <v>4.0</v>
      </c>
      <c r="Y33" s="64" t="s">
        <v>86</v>
      </c>
      <c r="AC33" s="64" t="s">
        <v>550</v>
      </c>
      <c r="AD33" s="64">
        <v>2.0</v>
      </c>
      <c r="AE33" s="64" t="s">
        <v>86</v>
      </c>
      <c r="AI33" s="64" t="s">
        <v>551</v>
      </c>
      <c r="AJ33" s="64">
        <v>2.0</v>
      </c>
      <c r="AK33" s="64" t="s">
        <v>86</v>
      </c>
      <c r="AO33" s="64" t="s">
        <v>552</v>
      </c>
      <c r="AP33" s="64">
        <v>2.0</v>
      </c>
      <c r="AQ33" s="64" t="s">
        <v>86</v>
      </c>
      <c r="AU33" s="64" t="s">
        <v>553</v>
      </c>
      <c r="AV33" s="64">
        <v>2.0</v>
      </c>
      <c r="AW33" s="65" t="str">
        <f t="shared" si="1"/>
        <v>Yes</v>
      </c>
      <c r="AX33" s="64" t="s">
        <v>104</v>
      </c>
      <c r="BF33" s="38"/>
      <c r="BG33" s="38"/>
      <c r="BH33" s="38"/>
      <c r="BI33" s="38"/>
      <c r="BJ33" s="38"/>
      <c r="BK33" s="38"/>
      <c r="BL33" s="38"/>
    </row>
    <row r="34">
      <c r="A34" s="4" t="s">
        <v>554</v>
      </c>
      <c r="B34" s="66"/>
      <c r="C34" s="67"/>
      <c r="D34" s="66"/>
      <c r="E34" s="66"/>
      <c r="F34" s="66"/>
      <c r="G34" s="68"/>
      <c r="H34" s="69"/>
      <c r="I34" s="69"/>
      <c r="J34" s="69"/>
      <c r="K34" s="69"/>
      <c r="L34" s="70"/>
      <c r="M34" s="69"/>
      <c r="N34" s="69"/>
      <c r="O34" s="69"/>
      <c r="P34" s="69"/>
      <c r="Q34" s="69"/>
      <c r="R34" s="70"/>
      <c r="S34" s="69"/>
      <c r="T34" s="69"/>
      <c r="U34" s="69"/>
      <c r="V34" s="69"/>
      <c r="W34" s="69"/>
      <c r="X34" s="70"/>
      <c r="Y34" s="69"/>
      <c r="Z34" s="69"/>
      <c r="AA34" s="69"/>
      <c r="AB34" s="69"/>
      <c r="AC34" s="69"/>
      <c r="AD34" s="70"/>
      <c r="AE34" s="69"/>
      <c r="AF34" s="69"/>
      <c r="AG34" s="69"/>
      <c r="AH34" s="69"/>
      <c r="AI34" s="69"/>
      <c r="AJ34" s="70"/>
      <c r="AK34" s="69"/>
      <c r="AL34" s="69"/>
      <c r="AM34" s="69"/>
      <c r="AN34" s="69"/>
      <c r="AO34" s="69"/>
      <c r="AP34" s="70"/>
      <c r="AQ34" s="69"/>
      <c r="AR34" s="69"/>
      <c r="AS34" s="69"/>
      <c r="AT34" s="69"/>
      <c r="AU34" s="69"/>
      <c r="AV34" s="70"/>
      <c r="AW34" s="69"/>
      <c r="AX34" s="69"/>
      <c r="AY34" s="69"/>
      <c r="AZ34" s="69"/>
      <c r="BA34" s="69"/>
      <c r="BB34" s="70"/>
      <c r="BC34" s="69"/>
      <c r="BD34" s="69"/>
      <c r="BE34" s="69"/>
      <c r="BF34" s="69"/>
      <c r="BG34" s="69"/>
      <c r="BH34" s="69"/>
      <c r="BI34" s="69"/>
      <c r="BJ34" s="69"/>
      <c r="BK34" s="69"/>
      <c r="BL34" s="69"/>
    </row>
    <row r="35" ht="75.0" customHeight="1">
      <c r="A35" s="71" t="s">
        <v>16</v>
      </c>
      <c r="B35" s="71" t="s">
        <v>17</v>
      </c>
      <c r="C35" s="71" t="s">
        <v>18</v>
      </c>
      <c r="D35" s="71" t="s">
        <v>19</v>
      </c>
      <c r="E35" s="72" t="s">
        <v>561</v>
      </c>
      <c r="F35" s="71" t="s">
        <v>20</v>
      </c>
      <c r="G35" s="71" t="s">
        <v>21</v>
      </c>
      <c r="H35" s="72" t="s">
        <v>22</v>
      </c>
      <c r="I35" s="72" t="s">
        <v>23</v>
      </c>
      <c r="J35" s="72" t="s">
        <v>24</v>
      </c>
      <c r="K35" s="72" t="s">
        <v>25</v>
      </c>
      <c r="L35" s="72" t="s">
        <v>26</v>
      </c>
      <c r="M35" s="72" t="s">
        <v>27</v>
      </c>
      <c r="N35" s="72" t="s">
        <v>28</v>
      </c>
      <c r="O35" s="72" t="s">
        <v>29</v>
      </c>
      <c r="P35" s="72" t="s">
        <v>30</v>
      </c>
      <c r="Q35" s="72" t="s">
        <v>31</v>
      </c>
      <c r="R35" s="72" t="s">
        <v>32</v>
      </c>
      <c r="S35" s="72" t="s">
        <v>33</v>
      </c>
      <c r="T35" s="72" t="s">
        <v>34</v>
      </c>
      <c r="U35" s="72" t="s">
        <v>35</v>
      </c>
      <c r="V35" s="72" t="s">
        <v>36</v>
      </c>
      <c r="W35" s="72" t="s">
        <v>37</v>
      </c>
      <c r="X35" s="72" t="s">
        <v>38</v>
      </c>
      <c r="Y35" s="72" t="s">
        <v>39</v>
      </c>
      <c r="Z35" s="71" t="s">
        <v>40</v>
      </c>
      <c r="AA35" s="71" t="s">
        <v>41</v>
      </c>
      <c r="AB35" s="71" t="s">
        <v>42</v>
      </c>
      <c r="AC35" s="71" t="s">
        <v>43</v>
      </c>
      <c r="AD35" s="71" t="s">
        <v>44</v>
      </c>
      <c r="AE35" s="71" t="s">
        <v>45</v>
      </c>
      <c r="AF35" s="71" t="s">
        <v>46</v>
      </c>
      <c r="AG35" s="71" t="s">
        <v>47</v>
      </c>
      <c r="AH35" s="71" t="s">
        <v>48</v>
      </c>
      <c r="AI35" s="71" t="s">
        <v>49</v>
      </c>
      <c r="AJ35" s="71" t="s">
        <v>50</v>
      </c>
      <c r="AK35" s="71" t="s">
        <v>51</v>
      </c>
      <c r="AL35" s="71" t="s">
        <v>52</v>
      </c>
      <c r="AM35" s="71" t="s">
        <v>53</v>
      </c>
      <c r="AN35" s="71" t="s">
        <v>54</v>
      </c>
      <c r="AO35" s="71" t="s">
        <v>55</v>
      </c>
      <c r="AP35" s="71" t="s">
        <v>56</v>
      </c>
      <c r="AQ35" s="71" t="s">
        <v>57</v>
      </c>
      <c r="AR35" s="72" t="s">
        <v>61</v>
      </c>
      <c r="AS35" s="72" t="s">
        <v>63</v>
      </c>
      <c r="AT35" s="72" t="s">
        <v>65</v>
      </c>
      <c r="AU35" s="72" t="s">
        <v>66</v>
      </c>
      <c r="AV35" s="72" t="s">
        <v>67</v>
      </c>
      <c r="AW35" s="72" t="s">
        <v>69</v>
      </c>
      <c r="AX35" s="77" t="s">
        <v>70</v>
      </c>
      <c r="AY35" s="77" t="s">
        <v>71</v>
      </c>
      <c r="AZ35" s="72" t="s">
        <v>72</v>
      </c>
      <c r="BA35" s="71" t="s">
        <v>73</v>
      </c>
      <c r="BB35" s="71" t="s">
        <v>74</v>
      </c>
      <c r="BC35" s="71" t="s">
        <v>75</v>
      </c>
      <c r="BD35" s="71" t="s">
        <v>76</v>
      </c>
      <c r="BE35" s="71" t="s">
        <v>77</v>
      </c>
      <c r="BF35" s="71" t="s">
        <v>78</v>
      </c>
      <c r="BG35" s="78"/>
      <c r="BH35" s="78"/>
      <c r="BI35" s="78"/>
      <c r="BJ35" s="78"/>
      <c r="BK35" s="78"/>
      <c r="BL35" s="78"/>
    </row>
    <row r="36">
      <c r="A36" s="31">
        <v>1.0</v>
      </c>
      <c r="B36" s="31">
        <v>1.0</v>
      </c>
      <c r="C36" s="31" t="s">
        <v>80</v>
      </c>
      <c r="D36" s="31" t="s">
        <v>81</v>
      </c>
      <c r="E36" s="33" t="s">
        <v>566</v>
      </c>
      <c r="F36" s="31" t="s">
        <v>82</v>
      </c>
      <c r="G36" s="31">
        <v>1.0</v>
      </c>
      <c r="H36" s="33" t="s">
        <v>83</v>
      </c>
      <c r="I36" s="33">
        <v>6249.4</v>
      </c>
      <c r="J36" s="33" t="s">
        <v>84</v>
      </c>
      <c r="K36" s="33" t="s">
        <v>567</v>
      </c>
      <c r="L36" s="40" t="s">
        <v>568</v>
      </c>
      <c r="M36" s="33">
        <v>0.0</v>
      </c>
      <c r="N36" s="33" t="s">
        <v>83</v>
      </c>
      <c r="O36" s="31"/>
      <c r="P36" s="31"/>
      <c r="Q36" s="33" t="s">
        <v>569</v>
      </c>
      <c r="R36" s="33" t="s">
        <v>570</v>
      </c>
      <c r="S36" s="33">
        <v>0.0</v>
      </c>
      <c r="T36" s="40" t="s">
        <v>83</v>
      </c>
      <c r="U36" s="33">
        <v>6010.0</v>
      </c>
      <c r="V36" s="33" t="s">
        <v>84</v>
      </c>
      <c r="W36" s="33" t="s">
        <v>573</v>
      </c>
      <c r="X36" s="40" t="s">
        <v>574</v>
      </c>
      <c r="Y36" s="33">
        <v>2.0</v>
      </c>
      <c r="Z36" s="33" t="s">
        <v>86</v>
      </c>
      <c r="AA36" s="33"/>
      <c r="AB36" s="33"/>
      <c r="AC36" s="33"/>
      <c r="AD36" s="33" t="s">
        <v>575</v>
      </c>
      <c r="AE36" s="33">
        <v>3.0</v>
      </c>
      <c r="AF36" s="33" t="s">
        <v>86</v>
      </c>
      <c r="AG36" s="33"/>
      <c r="AH36" s="33"/>
      <c r="AI36" s="33"/>
      <c r="AJ36" s="33" t="s">
        <v>576</v>
      </c>
      <c r="AK36" s="33">
        <v>2.0</v>
      </c>
      <c r="AL36" s="33" t="s">
        <v>86</v>
      </c>
      <c r="AM36" s="33"/>
      <c r="AN36" s="33"/>
      <c r="AO36" s="33"/>
      <c r="AP36" s="33" t="s">
        <v>577</v>
      </c>
      <c r="AQ36" s="33">
        <v>0.0</v>
      </c>
      <c r="AR36" s="33" t="s">
        <v>86</v>
      </c>
      <c r="AS36" s="33"/>
      <c r="AT36" s="33"/>
      <c r="AU36" s="33"/>
      <c r="AV36" s="33" t="s">
        <v>578</v>
      </c>
      <c r="AW36" s="33">
        <v>2.0</v>
      </c>
      <c r="AX36" s="33" t="s">
        <v>160</v>
      </c>
      <c r="AY36" s="33" t="s">
        <v>104</v>
      </c>
      <c r="AZ36" s="31"/>
      <c r="BA36" s="31"/>
      <c r="BB36" s="31"/>
      <c r="BC36" s="31"/>
      <c r="BD36" s="18"/>
      <c r="BE36" s="31"/>
      <c r="BF36" s="31"/>
      <c r="BG36" s="38"/>
      <c r="BH36" s="38"/>
      <c r="BI36" s="38"/>
      <c r="BJ36" s="38"/>
      <c r="BK36" s="38"/>
      <c r="BL36" s="38"/>
    </row>
    <row r="37">
      <c r="A37" s="31">
        <v>2.0</v>
      </c>
      <c r="B37" s="31"/>
      <c r="C37" s="31" t="s">
        <v>80</v>
      </c>
      <c r="D37" s="31" t="s">
        <v>89</v>
      </c>
      <c r="E37" s="33" t="s">
        <v>580</v>
      </c>
      <c r="F37" s="31" t="s">
        <v>90</v>
      </c>
      <c r="G37" s="31">
        <v>1.0</v>
      </c>
      <c r="H37" s="33" t="s">
        <v>83</v>
      </c>
      <c r="I37" s="33">
        <v>52.79</v>
      </c>
      <c r="J37" s="33" t="s">
        <v>84</v>
      </c>
      <c r="K37" s="33" t="s">
        <v>581</v>
      </c>
      <c r="L37" s="40" t="s">
        <v>582</v>
      </c>
      <c r="M37" s="33">
        <v>2.0</v>
      </c>
      <c r="N37" s="33" t="s">
        <v>83</v>
      </c>
      <c r="O37" s="33"/>
      <c r="P37" s="33"/>
      <c r="Q37" s="33" t="s">
        <v>592</v>
      </c>
      <c r="R37" s="40" t="s">
        <v>593</v>
      </c>
      <c r="S37" s="33">
        <v>2.0</v>
      </c>
      <c r="T37" s="33" t="s">
        <v>83</v>
      </c>
      <c r="U37" s="33">
        <v>42.0</v>
      </c>
      <c r="V37" s="33" t="s">
        <v>84</v>
      </c>
      <c r="W37" s="33" t="s">
        <v>594</v>
      </c>
      <c r="X37" s="40" t="s">
        <v>595</v>
      </c>
      <c r="Y37" s="33">
        <v>2.0</v>
      </c>
      <c r="Z37" s="33" t="s">
        <v>233</v>
      </c>
      <c r="AA37" s="33">
        <v>62.025</v>
      </c>
      <c r="AB37" s="33" t="s">
        <v>84</v>
      </c>
      <c r="AC37" s="33" t="s">
        <v>596</v>
      </c>
      <c r="AD37" s="33" t="s">
        <v>597</v>
      </c>
      <c r="AE37" s="33">
        <v>2.0</v>
      </c>
      <c r="AF37" s="33" t="s">
        <v>83</v>
      </c>
      <c r="AG37" s="33">
        <v>73.3</v>
      </c>
      <c r="AH37" s="33" t="s">
        <v>84</v>
      </c>
      <c r="AI37" s="33" t="s">
        <v>598</v>
      </c>
      <c r="AJ37" s="33" t="s">
        <v>599</v>
      </c>
      <c r="AK37" s="33">
        <v>2.0</v>
      </c>
      <c r="AL37" s="33" t="s">
        <v>86</v>
      </c>
      <c r="AM37" s="33"/>
      <c r="AN37" s="33"/>
      <c r="AO37" s="33"/>
      <c r="AP37" s="33" t="s">
        <v>600</v>
      </c>
      <c r="AQ37" s="33">
        <v>2.0</v>
      </c>
      <c r="AR37" s="33" t="s">
        <v>83</v>
      </c>
      <c r="AS37" s="33">
        <v>83.9</v>
      </c>
      <c r="AT37" s="33" t="s">
        <v>84</v>
      </c>
      <c r="AU37" s="33" t="s">
        <v>602</v>
      </c>
      <c r="AV37" s="33" t="s">
        <v>603</v>
      </c>
      <c r="AW37" s="33">
        <v>2.0</v>
      </c>
      <c r="AX37" s="33" t="s">
        <v>160</v>
      </c>
      <c r="AY37" s="33" t="s">
        <v>104</v>
      </c>
      <c r="AZ37" s="33"/>
      <c r="BA37" s="31"/>
      <c r="BB37" s="31"/>
      <c r="BC37" s="31"/>
      <c r="BD37" s="18"/>
      <c r="BE37" s="31"/>
      <c r="BF37" s="31"/>
      <c r="BG37" s="38"/>
      <c r="BH37" s="38"/>
      <c r="BI37" s="38"/>
      <c r="BJ37" s="38"/>
      <c r="BK37" s="38"/>
      <c r="BL37" s="38"/>
    </row>
    <row r="38">
      <c r="A38" s="31">
        <v>3.0</v>
      </c>
      <c r="B38" s="31"/>
      <c r="C38" s="31" t="s">
        <v>80</v>
      </c>
      <c r="D38" s="31" t="s">
        <v>97</v>
      </c>
      <c r="E38" s="33" t="s">
        <v>604</v>
      </c>
      <c r="F38" s="33" t="s">
        <v>99</v>
      </c>
      <c r="G38" s="31">
        <v>1.0</v>
      </c>
      <c r="H38" s="33" t="s">
        <v>86</v>
      </c>
      <c r="I38" s="31"/>
      <c r="J38" s="31"/>
      <c r="K38" s="31"/>
      <c r="L38" s="33" t="s">
        <v>605</v>
      </c>
      <c r="M38" s="33">
        <v>1.0</v>
      </c>
      <c r="N38" s="33" t="s">
        <v>86</v>
      </c>
      <c r="O38" s="31"/>
      <c r="P38" s="31"/>
      <c r="Q38" s="31"/>
      <c r="R38" s="33" t="s">
        <v>606</v>
      </c>
      <c r="S38" s="33">
        <v>0.0</v>
      </c>
      <c r="T38" s="33" t="s">
        <v>83</v>
      </c>
      <c r="U38" s="33">
        <v>17.0</v>
      </c>
      <c r="V38" s="33" t="s">
        <v>84</v>
      </c>
      <c r="W38" s="33" t="s">
        <v>607</v>
      </c>
      <c r="X38" s="40" t="s">
        <v>574</v>
      </c>
      <c r="Y38" s="33">
        <v>2.0</v>
      </c>
      <c r="Z38" s="33" t="s">
        <v>86</v>
      </c>
      <c r="AA38" s="33"/>
      <c r="AB38" s="33"/>
      <c r="AC38" s="33"/>
      <c r="AD38" s="33" t="s">
        <v>609</v>
      </c>
      <c r="AE38" s="33">
        <v>0.0</v>
      </c>
      <c r="AF38" s="33" t="s">
        <v>86</v>
      </c>
      <c r="AG38" s="33"/>
      <c r="AH38" s="33"/>
      <c r="AI38" s="33"/>
      <c r="AJ38" s="33" t="s">
        <v>606</v>
      </c>
      <c r="AK38" s="33">
        <v>0.0</v>
      </c>
      <c r="AL38" s="33" t="s">
        <v>86</v>
      </c>
      <c r="AM38" s="33"/>
      <c r="AN38" s="33"/>
      <c r="AO38" s="33"/>
      <c r="AP38" s="33" t="s">
        <v>610</v>
      </c>
      <c r="AQ38" s="33">
        <v>0.0</v>
      </c>
      <c r="AR38" s="33" t="s">
        <v>86</v>
      </c>
      <c r="AS38" s="33"/>
      <c r="AT38" s="33"/>
      <c r="AU38" s="33"/>
      <c r="AV38" s="33" t="s">
        <v>610</v>
      </c>
      <c r="AW38" s="33">
        <v>0.0</v>
      </c>
      <c r="AX38" s="33" t="s">
        <v>160</v>
      </c>
      <c r="AY38" s="33" t="s">
        <v>104</v>
      </c>
      <c r="AZ38" s="33"/>
      <c r="BA38" s="31"/>
      <c r="BB38" s="31"/>
      <c r="BC38" s="31"/>
      <c r="BD38" s="18"/>
      <c r="BE38" s="31"/>
      <c r="BF38" s="31"/>
      <c r="BG38" s="38"/>
      <c r="BH38" s="38"/>
      <c r="BI38" s="38"/>
      <c r="BJ38" s="38"/>
      <c r="BK38" s="38"/>
      <c r="BL38" s="38"/>
    </row>
    <row r="39">
      <c r="A39" s="31">
        <v>4.0</v>
      </c>
      <c r="B39" s="31"/>
      <c r="C39" s="31" t="s">
        <v>80</v>
      </c>
      <c r="D39" s="31" t="s">
        <v>97</v>
      </c>
      <c r="E39" s="33" t="s">
        <v>611</v>
      </c>
      <c r="F39" s="33" t="s">
        <v>101</v>
      </c>
      <c r="G39" s="33">
        <v>1.0</v>
      </c>
      <c r="H39" s="33" t="s">
        <v>83</v>
      </c>
      <c r="I39" s="33">
        <v>31.25</v>
      </c>
      <c r="J39" s="33" t="s">
        <v>84</v>
      </c>
      <c r="K39" s="33" t="s">
        <v>616</v>
      </c>
      <c r="L39" s="40" t="s">
        <v>617</v>
      </c>
      <c r="M39" s="33">
        <v>2.0</v>
      </c>
      <c r="N39" s="33" t="s">
        <v>83</v>
      </c>
      <c r="O39" s="31"/>
      <c r="P39" s="31"/>
      <c r="Q39" s="33" t="s">
        <v>619</v>
      </c>
      <c r="R39" s="33" t="s">
        <v>620</v>
      </c>
      <c r="S39" s="33">
        <v>2.0</v>
      </c>
      <c r="T39" s="33" t="s">
        <v>83</v>
      </c>
      <c r="U39" s="33">
        <v>47.02</v>
      </c>
      <c r="V39" s="33" t="s">
        <v>84</v>
      </c>
      <c r="W39" s="33" t="s">
        <v>621</v>
      </c>
      <c r="X39" s="40" t="s">
        <v>574</v>
      </c>
      <c r="Y39" s="33">
        <v>2.0</v>
      </c>
      <c r="Z39" s="33" t="s">
        <v>233</v>
      </c>
      <c r="AA39" s="33">
        <v>28.538</v>
      </c>
      <c r="AB39" s="33" t="s">
        <v>84</v>
      </c>
      <c r="AC39" s="33" t="s">
        <v>622</v>
      </c>
      <c r="AD39" s="33" t="s">
        <v>623</v>
      </c>
      <c r="AE39" s="33">
        <v>2.0</v>
      </c>
      <c r="AF39" s="33" t="s">
        <v>83</v>
      </c>
      <c r="AG39" s="33">
        <v>53.14</v>
      </c>
      <c r="AH39" s="33" t="s">
        <v>84</v>
      </c>
      <c r="AI39" s="33" t="s">
        <v>625</v>
      </c>
      <c r="AJ39" s="33" t="s">
        <v>626</v>
      </c>
      <c r="AK39" s="33">
        <v>2.0</v>
      </c>
      <c r="AL39" s="33" t="s">
        <v>86</v>
      </c>
      <c r="AM39" s="33"/>
      <c r="AN39" s="33"/>
      <c r="AO39" s="33"/>
      <c r="AP39" s="33" t="s">
        <v>627</v>
      </c>
      <c r="AQ39" s="33">
        <v>1.0</v>
      </c>
      <c r="AR39" s="33" t="s">
        <v>83</v>
      </c>
      <c r="AS39" s="33">
        <v>190.03</v>
      </c>
      <c r="AT39" s="33" t="s">
        <v>84</v>
      </c>
      <c r="AU39" s="33" t="s">
        <v>628</v>
      </c>
      <c r="AV39" s="33" t="s">
        <v>629</v>
      </c>
      <c r="AW39" s="33">
        <v>2.0</v>
      </c>
      <c r="AX39" s="33" t="s">
        <v>160</v>
      </c>
      <c r="AY39" s="33" t="s">
        <v>104</v>
      </c>
      <c r="AZ39" s="33"/>
      <c r="BA39" s="31"/>
      <c r="BB39" s="31"/>
      <c r="BC39" s="31"/>
      <c r="BD39" s="18"/>
      <c r="BE39" s="31"/>
      <c r="BF39" s="31"/>
      <c r="BG39" s="38"/>
      <c r="BH39" s="38"/>
      <c r="BI39" s="38"/>
      <c r="BJ39" s="38"/>
      <c r="BK39" s="38"/>
      <c r="BL39" s="38"/>
    </row>
    <row r="40">
      <c r="A40" s="31">
        <v>5.0</v>
      </c>
      <c r="B40" s="31"/>
      <c r="C40" s="31" t="s">
        <v>80</v>
      </c>
      <c r="D40" s="31" t="s">
        <v>97</v>
      </c>
      <c r="E40" s="33" t="s">
        <v>631</v>
      </c>
      <c r="F40" s="33" t="s">
        <v>103</v>
      </c>
      <c r="G40" s="33">
        <v>1.0</v>
      </c>
      <c r="H40" s="33" t="s">
        <v>83</v>
      </c>
      <c r="I40" s="33">
        <v>51.79</v>
      </c>
      <c r="J40" s="33" t="s">
        <v>84</v>
      </c>
      <c r="K40" s="33" t="s">
        <v>632</v>
      </c>
      <c r="L40" s="40" t="s">
        <v>633</v>
      </c>
      <c r="M40" s="33">
        <v>0.0</v>
      </c>
      <c r="N40" s="33" t="s">
        <v>83</v>
      </c>
      <c r="O40" s="33"/>
      <c r="P40" s="33"/>
      <c r="Q40" s="33" t="s">
        <v>634</v>
      </c>
      <c r="R40" s="40" t="s">
        <v>635</v>
      </c>
      <c r="S40" s="33">
        <v>0.0</v>
      </c>
      <c r="T40" s="33" t="s">
        <v>83</v>
      </c>
      <c r="U40" s="33">
        <v>81.0</v>
      </c>
      <c r="V40" s="33" t="s">
        <v>84</v>
      </c>
      <c r="W40" s="33" t="s">
        <v>569</v>
      </c>
      <c r="X40" s="40" t="s">
        <v>636</v>
      </c>
      <c r="Y40" s="33">
        <v>0.0</v>
      </c>
      <c r="Z40" s="33" t="s">
        <v>86</v>
      </c>
      <c r="AA40" s="33"/>
      <c r="AB40" s="33"/>
      <c r="AC40" s="33"/>
      <c r="AD40" s="33" t="s">
        <v>637</v>
      </c>
      <c r="AE40" s="33">
        <v>2.0</v>
      </c>
      <c r="AF40" s="33" t="s">
        <v>86</v>
      </c>
      <c r="AG40" s="33"/>
      <c r="AH40" s="33"/>
      <c r="AI40" s="33"/>
      <c r="AJ40" s="33" t="s">
        <v>639</v>
      </c>
      <c r="AK40" s="33">
        <v>2.0</v>
      </c>
      <c r="AL40" s="33" t="s">
        <v>86</v>
      </c>
      <c r="AM40" s="33"/>
      <c r="AN40" s="33"/>
      <c r="AO40" s="33"/>
      <c r="AP40" s="33" t="s">
        <v>640</v>
      </c>
      <c r="AQ40" s="33">
        <v>1.0</v>
      </c>
      <c r="AR40" s="33" t="s">
        <v>83</v>
      </c>
      <c r="AS40" s="33">
        <v>74.56</v>
      </c>
      <c r="AT40" s="33" t="s">
        <v>84</v>
      </c>
      <c r="AU40" s="33" t="s">
        <v>641</v>
      </c>
      <c r="AV40" s="33" t="s">
        <v>642</v>
      </c>
      <c r="AW40" s="33">
        <v>0.0</v>
      </c>
      <c r="AX40" s="33" t="s">
        <v>160</v>
      </c>
      <c r="AY40" s="33" t="s">
        <v>104</v>
      </c>
      <c r="AZ40" s="31"/>
      <c r="BA40" s="31"/>
      <c r="BB40" s="31"/>
      <c r="BC40" s="31"/>
      <c r="BD40" s="18"/>
      <c r="BE40" s="31"/>
      <c r="BF40" s="31"/>
      <c r="BG40" s="38"/>
      <c r="BH40" s="38"/>
      <c r="BI40" s="38"/>
      <c r="BJ40" s="38"/>
      <c r="BK40" s="38"/>
      <c r="BL40" s="38"/>
    </row>
    <row r="41">
      <c r="A41" s="31">
        <v>6.0</v>
      </c>
      <c r="B41" s="31"/>
      <c r="C41" s="31" t="s">
        <v>80</v>
      </c>
      <c r="D41" s="31" t="s">
        <v>105</v>
      </c>
      <c r="E41" s="33" t="s">
        <v>643</v>
      </c>
      <c r="F41" s="31"/>
      <c r="G41" s="31">
        <v>1.0</v>
      </c>
      <c r="H41" s="33" t="s">
        <v>86</v>
      </c>
      <c r="I41" s="53"/>
      <c r="J41" s="33"/>
      <c r="K41" s="33"/>
      <c r="L41" s="33" t="s">
        <v>646</v>
      </c>
      <c r="M41" s="33" t="s">
        <v>635</v>
      </c>
      <c r="N41" s="33" t="s">
        <v>83</v>
      </c>
      <c r="O41" s="53"/>
      <c r="P41" s="33"/>
      <c r="Q41" s="33" t="s">
        <v>647</v>
      </c>
      <c r="R41" s="40" t="s">
        <v>635</v>
      </c>
      <c r="S41" s="33">
        <v>0.0</v>
      </c>
      <c r="T41" s="33" t="s">
        <v>83</v>
      </c>
      <c r="U41" s="53">
        <v>80.78</v>
      </c>
      <c r="V41" s="33" t="s">
        <v>84</v>
      </c>
      <c r="W41" s="33" t="s">
        <v>648</v>
      </c>
      <c r="X41" s="40" t="s">
        <v>636</v>
      </c>
      <c r="Y41" s="33">
        <v>0.0</v>
      </c>
      <c r="Z41" s="33" t="s">
        <v>83</v>
      </c>
      <c r="AA41" s="33">
        <v>9.608</v>
      </c>
      <c r="AB41" s="33" t="s">
        <v>84</v>
      </c>
      <c r="AC41" s="33" t="s">
        <v>649</v>
      </c>
      <c r="AD41" s="33" t="s">
        <v>650</v>
      </c>
      <c r="AE41" s="33">
        <v>0.0</v>
      </c>
      <c r="AF41" s="33" t="s">
        <v>83</v>
      </c>
      <c r="AG41" s="33"/>
      <c r="AH41" s="33"/>
      <c r="AI41" s="33" t="s">
        <v>651</v>
      </c>
      <c r="AJ41" s="33" t="s">
        <v>652</v>
      </c>
      <c r="AK41" s="33">
        <v>1.0</v>
      </c>
      <c r="AL41" s="33" t="s">
        <v>83</v>
      </c>
      <c r="AM41" s="33">
        <v>7.49</v>
      </c>
      <c r="AN41" s="33" t="s">
        <v>84</v>
      </c>
      <c r="AO41" s="33" t="s">
        <v>653</v>
      </c>
      <c r="AP41" s="33" t="s">
        <v>654</v>
      </c>
      <c r="AQ41" s="33">
        <v>0.0</v>
      </c>
      <c r="AR41" s="33" t="s">
        <v>83</v>
      </c>
      <c r="AS41" s="33"/>
      <c r="AT41" s="33"/>
      <c r="AU41" s="33" t="s">
        <v>655</v>
      </c>
      <c r="AV41" s="33" t="s">
        <v>650</v>
      </c>
      <c r="AW41" s="33">
        <v>0.0</v>
      </c>
      <c r="AX41" s="33" t="s">
        <v>160</v>
      </c>
      <c r="AY41" s="33" t="s">
        <v>160</v>
      </c>
      <c r="AZ41" s="33"/>
      <c r="BA41" s="31"/>
      <c r="BB41" s="31"/>
      <c r="BC41" s="31"/>
      <c r="BD41" s="18"/>
      <c r="BE41" s="31"/>
      <c r="BF41" s="31"/>
      <c r="BG41" s="38"/>
      <c r="BH41" s="38"/>
      <c r="BI41" s="38"/>
      <c r="BJ41" s="38"/>
      <c r="BK41" s="38"/>
      <c r="BL41" s="38"/>
    </row>
    <row r="42">
      <c r="A42" s="31">
        <v>7.0</v>
      </c>
      <c r="B42" s="31">
        <v>2.0</v>
      </c>
      <c r="C42" s="31" t="s">
        <v>107</v>
      </c>
      <c r="D42" s="31" t="s">
        <v>108</v>
      </c>
      <c r="E42" s="33" t="s">
        <v>657</v>
      </c>
      <c r="F42" s="31" t="s">
        <v>109</v>
      </c>
      <c r="G42" s="31">
        <v>1.0</v>
      </c>
      <c r="H42" s="33" t="s">
        <v>233</v>
      </c>
      <c r="I42" s="33"/>
      <c r="J42" s="33"/>
      <c r="K42" s="33" t="s">
        <v>658</v>
      </c>
      <c r="L42" s="40" t="s">
        <v>659</v>
      </c>
      <c r="M42" s="33">
        <v>2.0</v>
      </c>
      <c r="N42" s="33" t="s">
        <v>83</v>
      </c>
      <c r="O42" s="33">
        <v>85.54</v>
      </c>
      <c r="P42" s="33" t="s">
        <v>84</v>
      </c>
      <c r="Q42" s="33" t="s">
        <v>660</v>
      </c>
      <c r="R42" s="33" t="s">
        <v>661</v>
      </c>
      <c r="S42" s="33">
        <v>2.0</v>
      </c>
      <c r="T42" s="33" t="s">
        <v>83</v>
      </c>
      <c r="U42" s="33">
        <v>106.0</v>
      </c>
      <c r="V42" s="33" t="s">
        <v>84</v>
      </c>
      <c r="W42" s="33" t="s">
        <v>662</v>
      </c>
      <c r="X42" s="40" t="s">
        <v>663</v>
      </c>
      <c r="Y42" s="33">
        <v>2.0</v>
      </c>
      <c r="Z42" s="33" t="s">
        <v>83</v>
      </c>
      <c r="AA42" s="33">
        <v>155.288</v>
      </c>
      <c r="AB42" s="33" t="s">
        <v>84</v>
      </c>
      <c r="AC42" s="33" t="s">
        <v>664</v>
      </c>
      <c r="AD42" s="33" t="s">
        <v>665</v>
      </c>
      <c r="AE42" s="33">
        <v>3.0</v>
      </c>
      <c r="AF42" s="33" t="s">
        <v>83</v>
      </c>
      <c r="AG42" s="33">
        <v>104.99</v>
      </c>
      <c r="AH42" s="33" t="s">
        <v>84</v>
      </c>
      <c r="AI42" s="33" t="s">
        <v>666</v>
      </c>
      <c r="AJ42" s="33" t="s">
        <v>667</v>
      </c>
      <c r="AK42" s="33">
        <v>1.0</v>
      </c>
      <c r="AL42" s="33" t="s">
        <v>83</v>
      </c>
      <c r="AM42" s="33">
        <v>103.8</v>
      </c>
      <c r="AN42" s="33" t="s">
        <v>84</v>
      </c>
      <c r="AO42" s="33" t="s">
        <v>668</v>
      </c>
      <c r="AP42" s="33" t="s">
        <v>669</v>
      </c>
      <c r="AQ42" s="33">
        <v>2.0</v>
      </c>
      <c r="AR42" s="33" t="s">
        <v>86</v>
      </c>
      <c r="AS42" s="33"/>
      <c r="AT42" s="33"/>
      <c r="AU42" s="33"/>
      <c r="AV42" s="33" t="s">
        <v>670</v>
      </c>
      <c r="AW42" s="33">
        <v>2.0</v>
      </c>
      <c r="AX42" s="33" t="s">
        <v>160</v>
      </c>
      <c r="AY42" s="33" t="s">
        <v>160</v>
      </c>
      <c r="AZ42" s="31"/>
      <c r="BA42" s="31"/>
      <c r="BB42" s="31"/>
      <c r="BC42" s="31"/>
      <c r="BD42" s="18"/>
      <c r="BE42" s="31"/>
      <c r="BF42" s="31"/>
      <c r="BG42" s="38"/>
      <c r="BH42" s="38"/>
      <c r="BI42" s="38"/>
      <c r="BJ42" s="38"/>
      <c r="BK42" s="38"/>
      <c r="BL42" s="38"/>
    </row>
    <row r="43">
      <c r="A43" s="31">
        <v>8.0</v>
      </c>
      <c r="B43" s="31"/>
      <c r="C43" s="31" t="s">
        <v>107</v>
      </c>
      <c r="D43" s="31" t="s">
        <v>112</v>
      </c>
      <c r="E43" s="33" t="s">
        <v>672</v>
      </c>
      <c r="F43" s="31"/>
      <c r="G43" s="31">
        <v>1.0</v>
      </c>
      <c r="H43" s="33" t="s">
        <v>83</v>
      </c>
      <c r="I43" s="33">
        <v>16.89</v>
      </c>
      <c r="J43" s="33" t="s">
        <v>84</v>
      </c>
      <c r="K43" s="33" t="s">
        <v>673</v>
      </c>
      <c r="L43" s="33" t="s">
        <v>674</v>
      </c>
      <c r="M43" s="33">
        <v>2.0</v>
      </c>
      <c r="N43" s="33" t="s">
        <v>83</v>
      </c>
      <c r="O43" s="33">
        <v>3.55</v>
      </c>
      <c r="P43" s="33" t="s">
        <v>84</v>
      </c>
      <c r="Q43" s="33" t="s">
        <v>675</v>
      </c>
      <c r="R43" s="33" t="s">
        <v>676</v>
      </c>
      <c r="S43" s="33">
        <v>2.0</v>
      </c>
      <c r="T43" s="33" t="s">
        <v>83</v>
      </c>
      <c r="U43" s="33">
        <v>14.0</v>
      </c>
      <c r="V43" s="33" t="s">
        <v>84</v>
      </c>
      <c r="W43" s="33" t="s">
        <v>677</v>
      </c>
      <c r="X43" s="33" t="s">
        <v>678</v>
      </c>
      <c r="Y43" s="33">
        <v>2.0</v>
      </c>
      <c r="Z43" s="33" t="s">
        <v>83</v>
      </c>
      <c r="AA43" s="33">
        <v>2.229</v>
      </c>
      <c r="AB43" s="33" t="s">
        <v>84</v>
      </c>
      <c r="AC43" s="33" t="s">
        <v>679</v>
      </c>
      <c r="AD43" s="33" t="s">
        <v>680</v>
      </c>
      <c r="AE43" s="33">
        <v>2.0</v>
      </c>
      <c r="AF43" s="33" t="s">
        <v>83</v>
      </c>
      <c r="AG43" s="33">
        <v>2.72</v>
      </c>
      <c r="AH43" s="33" t="s">
        <v>84</v>
      </c>
      <c r="AI43" s="33" t="s">
        <v>681</v>
      </c>
      <c r="AJ43" s="33" t="s">
        <v>682</v>
      </c>
      <c r="AK43" s="33">
        <v>2.0</v>
      </c>
      <c r="AL43" s="33" t="s">
        <v>233</v>
      </c>
      <c r="AM43" s="33">
        <v>1.86</v>
      </c>
      <c r="AN43" s="33" t="s">
        <v>84</v>
      </c>
      <c r="AO43" s="33" t="s">
        <v>683</v>
      </c>
      <c r="AP43" s="33" t="s">
        <v>684</v>
      </c>
      <c r="AQ43" s="33">
        <v>3.0</v>
      </c>
      <c r="AR43" s="33" t="s">
        <v>83</v>
      </c>
      <c r="AS43" s="33">
        <v>4.07</v>
      </c>
      <c r="AT43" s="33" t="s">
        <v>84</v>
      </c>
      <c r="AU43" s="33" t="s">
        <v>685</v>
      </c>
      <c r="AV43" s="33" t="s">
        <v>686</v>
      </c>
      <c r="AW43" s="33">
        <v>2.0</v>
      </c>
      <c r="AX43" s="33" t="s">
        <v>160</v>
      </c>
      <c r="AY43" s="33" t="s">
        <v>160</v>
      </c>
      <c r="AZ43" s="31"/>
      <c r="BA43" s="31"/>
      <c r="BB43" s="31"/>
      <c r="BC43" s="31"/>
      <c r="BD43" s="18"/>
      <c r="BE43" s="31"/>
      <c r="BF43" s="31"/>
      <c r="BG43" s="38"/>
      <c r="BH43" s="38"/>
      <c r="BI43" s="38"/>
      <c r="BJ43" s="38"/>
      <c r="BK43" s="38"/>
      <c r="BL43" s="38"/>
    </row>
    <row r="44">
      <c r="A44" s="31">
        <v>9.0</v>
      </c>
      <c r="B44" s="31"/>
      <c r="C44" s="31" t="s">
        <v>107</v>
      </c>
      <c r="D44" s="31" t="s">
        <v>113</v>
      </c>
      <c r="E44" s="33" t="s">
        <v>688</v>
      </c>
      <c r="F44" s="31"/>
      <c r="G44" s="31">
        <v>1.0</v>
      </c>
      <c r="H44" s="33" t="s">
        <v>83</v>
      </c>
      <c r="I44" s="33">
        <v>39.39</v>
      </c>
      <c r="J44" s="33" t="s">
        <v>84</v>
      </c>
      <c r="K44" s="33" t="s">
        <v>689</v>
      </c>
      <c r="L44" s="33" t="s">
        <v>690</v>
      </c>
      <c r="M44" s="33">
        <v>2.0</v>
      </c>
      <c r="N44" s="33" t="s">
        <v>83</v>
      </c>
      <c r="O44" s="33">
        <v>38.07</v>
      </c>
      <c r="P44" s="33" t="s">
        <v>84</v>
      </c>
      <c r="Q44" s="33" t="s">
        <v>691</v>
      </c>
      <c r="R44" s="33" t="s">
        <v>692</v>
      </c>
      <c r="S44" s="33">
        <v>2.0</v>
      </c>
      <c r="T44" s="33" t="s">
        <v>83</v>
      </c>
      <c r="U44" s="33">
        <v>123.0</v>
      </c>
      <c r="V44" s="33" t="s">
        <v>84</v>
      </c>
      <c r="W44" s="33" t="s">
        <v>693</v>
      </c>
      <c r="X44" s="33" t="s">
        <v>574</v>
      </c>
      <c r="Y44" s="33">
        <v>2.0</v>
      </c>
      <c r="Z44" s="33" t="s">
        <v>233</v>
      </c>
      <c r="AA44" s="33">
        <v>29.202</v>
      </c>
      <c r="AB44" s="33" t="s">
        <v>84</v>
      </c>
      <c r="AC44" s="33" t="s">
        <v>694</v>
      </c>
      <c r="AD44" s="33" t="s">
        <v>695</v>
      </c>
      <c r="AE44" s="33">
        <v>2.0</v>
      </c>
      <c r="AF44" s="33" t="s">
        <v>83</v>
      </c>
      <c r="AG44" s="33">
        <v>40.63</v>
      </c>
      <c r="AH44" s="33" t="s">
        <v>84</v>
      </c>
      <c r="AI44" s="33" t="s">
        <v>696</v>
      </c>
      <c r="AJ44" s="33" t="s">
        <v>697</v>
      </c>
      <c r="AK44" s="33">
        <v>2.0</v>
      </c>
      <c r="AL44" s="33" t="s">
        <v>233</v>
      </c>
      <c r="AM44" s="33">
        <v>20.96</v>
      </c>
      <c r="AN44" s="33" t="s">
        <v>84</v>
      </c>
      <c r="AO44" s="33" t="s">
        <v>698</v>
      </c>
      <c r="AP44" s="33" t="s">
        <v>699</v>
      </c>
      <c r="AQ44" s="33">
        <v>3.0</v>
      </c>
      <c r="AR44" s="33" t="s">
        <v>86</v>
      </c>
      <c r="AS44" s="33"/>
      <c r="AT44" s="33"/>
      <c r="AU44" s="33"/>
      <c r="AV44" s="33" t="s">
        <v>700</v>
      </c>
      <c r="AW44" s="33">
        <v>2.0</v>
      </c>
      <c r="AX44" s="33" t="s">
        <v>160</v>
      </c>
      <c r="AY44" s="33" t="s">
        <v>104</v>
      </c>
      <c r="AZ44" s="31"/>
      <c r="BA44" s="31"/>
      <c r="BB44" s="31"/>
      <c r="BC44" s="31"/>
      <c r="BD44" s="18"/>
      <c r="BE44" s="31"/>
      <c r="BF44" s="31"/>
      <c r="BG44" s="38"/>
      <c r="BH44" s="38"/>
      <c r="BI44" s="38"/>
      <c r="BJ44" s="38"/>
      <c r="BK44" s="38"/>
      <c r="BL44" s="38"/>
    </row>
    <row r="45">
      <c r="A45" s="31">
        <v>10.0</v>
      </c>
      <c r="B45" s="31">
        <v>3.0</v>
      </c>
      <c r="C45" s="31" t="s">
        <v>116</v>
      </c>
      <c r="D45" s="31" t="s">
        <v>117</v>
      </c>
      <c r="E45" s="33" t="s">
        <v>701</v>
      </c>
      <c r="F45" s="31" t="s">
        <v>118</v>
      </c>
      <c r="G45" s="31">
        <v>1.0</v>
      </c>
      <c r="H45" s="33" t="s">
        <v>233</v>
      </c>
      <c r="I45" s="33">
        <v>385.99</v>
      </c>
      <c r="J45" s="33" t="s">
        <v>84</v>
      </c>
      <c r="K45" s="33" t="s">
        <v>702</v>
      </c>
      <c r="L45" s="40" t="s">
        <v>703</v>
      </c>
      <c r="M45" s="33">
        <v>2.0</v>
      </c>
      <c r="N45" s="33" t="s">
        <v>233</v>
      </c>
      <c r="O45" s="53">
        <v>398.76</v>
      </c>
      <c r="P45" s="33" t="s">
        <v>84</v>
      </c>
      <c r="Q45" s="33" t="s">
        <v>704</v>
      </c>
      <c r="R45" s="40" t="s">
        <v>705</v>
      </c>
      <c r="S45" s="33">
        <v>2.0</v>
      </c>
      <c r="T45" s="33" t="s">
        <v>83</v>
      </c>
      <c r="U45" s="33">
        <v>264.0</v>
      </c>
      <c r="V45" s="33" t="s">
        <v>84</v>
      </c>
      <c r="W45" s="33" t="s">
        <v>706</v>
      </c>
      <c r="X45" s="40" t="s">
        <v>574</v>
      </c>
      <c r="Y45" s="33">
        <v>2.0</v>
      </c>
      <c r="Z45" s="33" t="s">
        <v>86</v>
      </c>
      <c r="AA45" s="33"/>
      <c r="AB45" s="33"/>
      <c r="AC45" s="33"/>
      <c r="AD45" s="33" t="s">
        <v>707</v>
      </c>
      <c r="AE45" s="33">
        <v>2.0</v>
      </c>
      <c r="AF45" s="33" t="s">
        <v>83</v>
      </c>
      <c r="AG45" s="33">
        <v>338.68</v>
      </c>
      <c r="AH45" s="33" t="s">
        <v>84</v>
      </c>
      <c r="AI45" s="33" t="s">
        <v>708</v>
      </c>
      <c r="AJ45" s="33" t="s">
        <v>709</v>
      </c>
      <c r="AK45" s="33">
        <v>2.0</v>
      </c>
      <c r="AL45" s="33" t="s">
        <v>86</v>
      </c>
      <c r="AM45" s="33"/>
      <c r="AN45" s="33"/>
      <c r="AO45" s="33"/>
      <c r="AP45" s="33" t="s">
        <v>710</v>
      </c>
      <c r="AQ45" s="33">
        <v>2.0</v>
      </c>
      <c r="AR45" s="33" t="s">
        <v>86</v>
      </c>
      <c r="AS45" s="33"/>
      <c r="AT45" s="33"/>
      <c r="AU45" s="33"/>
      <c r="AV45" s="33" t="s">
        <v>711</v>
      </c>
      <c r="AW45" s="33">
        <v>2.0</v>
      </c>
      <c r="AX45" s="33" t="s">
        <v>160</v>
      </c>
      <c r="AY45" s="33" t="s">
        <v>104</v>
      </c>
      <c r="AZ45" s="31"/>
      <c r="BA45" s="31"/>
      <c r="BB45" s="31"/>
      <c r="BC45" s="31"/>
      <c r="BD45" s="18"/>
      <c r="BE45" s="31"/>
      <c r="BF45" s="31"/>
      <c r="BG45" s="38"/>
      <c r="BH45" s="38"/>
      <c r="BI45" s="38"/>
      <c r="BJ45" s="38"/>
      <c r="BK45" s="38"/>
      <c r="BL45" s="38"/>
    </row>
    <row r="46">
      <c r="A46" s="31">
        <v>11.0</v>
      </c>
      <c r="B46" s="31"/>
      <c r="C46" s="31" t="s">
        <v>116</v>
      </c>
      <c r="D46" s="31" t="s">
        <v>119</v>
      </c>
      <c r="E46" s="33" t="s">
        <v>713</v>
      </c>
      <c r="F46" s="31" t="s">
        <v>120</v>
      </c>
      <c r="G46" s="31">
        <v>1.0</v>
      </c>
      <c r="H46" s="33" t="s">
        <v>83</v>
      </c>
      <c r="I46" s="33">
        <v>119.99</v>
      </c>
      <c r="J46" s="33" t="s">
        <v>84</v>
      </c>
      <c r="K46" s="33" t="s">
        <v>714</v>
      </c>
      <c r="L46" s="40" t="s">
        <v>574</v>
      </c>
      <c r="M46" s="33">
        <v>1.0</v>
      </c>
      <c r="N46" s="33" t="s">
        <v>83</v>
      </c>
      <c r="O46" s="53"/>
      <c r="P46" s="33"/>
      <c r="Q46" s="33" t="s">
        <v>716</v>
      </c>
      <c r="R46" s="40" t="s">
        <v>574</v>
      </c>
      <c r="S46" s="33">
        <v>2.0</v>
      </c>
      <c r="T46" s="33" t="s">
        <v>83</v>
      </c>
      <c r="U46" s="33">
        <v>120.0</v>
      </c>
      <c r="V46" s="33" t="s">
        <v>84</v>
      </c>
      <c r="W46" s="33" t="s">
        <v>718</v>
      </c>
      <c r="X46" s="40" t="s">
        <v>719</v>
      </c>
      <c r="Y46" s="33">
        <v>2.0</v>
      </c>
      <c r="Z46" s="33" t="s">
        <v>233</v>
      </c>
      <c r="AA46" s="33">
        <v>156.09</v>
      </c>
      <c r="AB46" s="33" t="s">
        <v>84</v>
      </c>
      <c r="AC46" s="33" t="s">
        <v>720</v>
      </c>
      <c r="AD46" s="33" t="s">
        <v>721</v>
      </c>
      <c r="AE46" s="33">
        <v>2.0</v>
      </c>
      <c r="AF46" s="33" t="s">
        <v>83</v>
      </c>
      <c r="AG46" s="33">
        <v>102.43</v>
      </c>
      <c r="AH46" s="33" t="s">
        <v>84</v>
      </c>
      <c r="AI46" s="33" t="s">
        <v>722</v>
      </c>
      <c r="AJ46" s="33" t="s">
        <v>723</v>
      </c>
      <c r="AK46" s="33">
        <v>2.0</v>
      </c>
      <c r="AL46" s="33" t="s">
        <v>86</v>
      </c>
      <c r="AM46" s="33"/>
      <c r="AN46" s="33"/>
      <c r="AO46" s="33"/>
      <c r="AP46" s="33" t="s">
        <v>724</v>
      </c>
      <c r="AQ46" s="33">
        <v>1.0</v>
      </c>
      <c r="AR46" s="33" t="s">
        <v>83</v>
      </c>
      <c r="AS46" s="33">
        <v>234.35</v>
      </c>
      <c r="AT46" s="33" t="s">
        <v>84</v>
      </c>
      <c r="AU46" s="33" t="s">
        <v>725</v>
      </c>
      <c r="AV46" s="33" t="s">
        <v>574</v>
      </c>
      <c r="AW46" s="33">
        <v>0.0</v>
      </c>
      <c r="AX46" s="33" t="s">
        <v>160</v>
      </c>
      <c r="AY46" s="33" t="s">
        <v>104</v>
      </c>
      <c r="AZ46" s="31"/>
      <c r="BA46" s="31"/>
      <c r="BB46" s="31"/>
      <c r="BC46" s="31"/>
      <c r="BD46" s="18"/>
      <c r="BE46" s="31"/>
      <c r="BF46" s="31"/>
      <c r="BG46" s="38"/>
      <c r="BH46" s="38"/>
      <c r="BI46" s="38"/>
      <c r="BJ46" s="38"/>
      <c r="BK46" s="38"/>
      <c r="BL46" s="38"/>
    </row>
    <row r="47">
      <c r="A47" s="31">
        <v>12.0</v>
      </c>
      <c r="B47" s="31"/>
      <c r="C47" s="31" t="s">
        <v>116</v>
      </c>
      <c r="D47" s="31" t="s">
        <v>130</v>
      </c>
      <c r="E47" s="33" t="s">
        <v>726</v>
      </c>
      <c r="F47" s="31" t="s">
        <v>131</v>
      </c>
      <c r="G47" s="31">
        <v>1.0</v>
      </c>
      <c r="H47" s="33" t="s">
        <v>83</v>
      </c>
      <c r="I47" s="31"/>
      <c r="J47" s="31"/>
      <c r="K47" s="33" t="s">
        <v>728</v>
      </c>
      <c r="L47" s="33" t="s">
        <v>729</v>
      </c>
      <c r="M47" s="33">
        <v>2.0</v>
      </c>
      <c r="N47" s="33" t="s">
        <v>83</v>
      </c>
      <c r="O47" s="31"/>
      <c r="P47" s="31"/>
      <c r="Q47" s="33" t="s">
        <v>730</v>
      </c>
      <c r="R47" s="33" t="s">
        <v>731</v>
      </c>
      <c r="S47" s="33">
        <v>2.0</v>
      </c>
      <c r="T47" s="33" t="s">
        <v>83</v>
      </c>
      <c r="U47" s="31"/>
      <c r="V47" s="31"/>
      <c r="W47" s="33" t="s">
        <v>732</v>
      </c>
      <c r="X47" s="33" t="s">
        <v>733</v>
      </c>
      <c r="Y47" s="33">
        <v>1.0</v>
      </c>
      <c r="Z47" s="33" t="s">
        <v>83</v>
      </c>
      <c r="AA47" s="33">
        <v>3.412</v>
      </c>
      <c r="AB47" s="33" t="s">
        <v>84</v>
      </c>
      <c r="AC47" s="33" t="s">
        <v>734</v>
      </c>
      <c r="AD47" s="33" t="s">
        <v>735</v>
      </c>
      <c r="AE47" s="33">
        <v>2.0</v>
      </c>
      <c r="AF47" s="33" t="s">
        <v>83</v>
      </c>
      <c r="AG47" s="31"/>
      <c r="AH47" s="31"/>
      <c r="AI47" s="33" t="s">
        <v>736</v>
      </c>
      <c r="AJ47" s="33" t="s">
        <v>737</v>
      </c>
      <c r="AK47" s="33">
        <v>1.0</v>
      </c>
      <c r="AL47" s="33" t="s">
        <v>233</v>
      </c>
      <c r="AM47" s="31"/>
      <c r="AN47" s="31"/>
      <c r="AO47" s="33" t="s">
        <v>738</v>
      </c>
      <c r="AP47" s="33" t="s">
        <v>739</v>
      </c>
      <c r="AQ47" s="33">
        <v>1.0</v>
      </c>
      <c r="AR47" s="33" t="s">
        <v>86</v>
      </c>
      <c r="AS47" s="31"/>
      <c r="AT47" s="31"/>
      <c r="AU47" s="31"/>
      <c r="AV47" s="33" t="s">
        <v>740</v>
      </c>
      <c r="AW47" s="33">
        <v>0.0</v>
      </c>
      <c r="AX47" s="33" t="s">
        <v>160</v>
      </c>
      <c r="AY47" s="33" t="s">
        <v>160</v>
      </c>
      <c r="AZ47" s="31"/>
      <c r="BA47" s="31"/>
      <c r="BB47" s="31"/>
      <c r="BC47" s="31"/>
      <c r="BD47" s="18"/>
      <c r="BE47" s="31"/>
      <c r="BF47" s="31"/>
      <c r="BG47" s="38"/>
      <c r="BH47" s="38"/>
      <c r="BI47" s="38"/>
      <c r="BJ47" s="38"/>
      <c r="BK47" s="38"/>
      <c r="BL47" s="38"/>
    </row>
    <row r="48">
      <c r="A48" s="31">
        <v>13.0</v>
      </c>
      <c r="B48" s="31">
        <v>4.0</v>
      </c>
      <c r="C48" s="31" t="s">
        <v>136</v>
      </c>
      <c r="D48" s="31" t="s">
        <v>138</v>
      </c>
      <c r="E48" s="33" t="s">
        <v>742</v>
      </c>
      <c r="F48" s="31" t="s">
        <v>139</v>
      </c>
      <c r="G48" s="31">
        <v>1.0</v>
      </c>
      <c r="H48" s="33" t="s">
        <v>83</v>
      </c>
      <c r="I48" s="33">
        <v>1733.1</v>
      </c>
      <c r="J48" s="33" t="s">
        <v>84</v>
      </c>
      <c r="K48" s="33" t="s">
        <v>743</v>
      </c>
      <c r="L48" s="40" t="s">
        <v>744</v>
      </c>
      <c r="M48" s="33">
        <v>1.0</v>
      </c>
      <c r="N48" s="33" t="s">
        <v>83</v>
      </c>
      <c r="O48" s="33"/>
      <c r="P48" s="33"/>
      <c r="Q48" s="33" t="s">
        <v>569</v>
      </c>
      <c r="R48" s="40" t="s">
        <v>745</v>
      </c>
      <c r="S48" s="33">
        <v>1.0</v>
      </c>
      <c r="T48" s="33" t="s">
        <v>83</v>
      </c>
      <c r="U48" s="33">
        <v>1733.1</v>
      </c>
      <c r="V48" s="33" t="s">
        <v>84</v>
      </c>
      <c r="W48" s="33" t="s">
        <v>569</v>
      </c>
      <c r="X48" s="40" t="s">
        <v>746</v>
      </c>
      <c r="Y48" s="33">
        <v>1.0</v>
      </c>
      <c r="Z48" s="33" t="s">
        <v>86</v>
      </c>
      <c r="AA48" s="33"/>
      <c r="AB48" s="33"/>
      <c r="AC48" s="33"/>
      <c r="AD48" s="33" t="s">
        <v>747</v>
      </c>
      <c r="AE48" s="33">
        <v>2.0</v>
      </c>
      <c r="AF48" s="33" t="s">
        <v>86</v>
      </c>
      <c r="AG48" s="33"/>
      <c r="AH48" s="33"/>
      <c r="AI48" s="33"/>
      <c r="AJ48" s="33" t="s">
        <v>748</v>
      </c>
      <c r="AK48" s="33">
        <v>1.0</v>
      </c>
      <c r="AL48" s="33" t="s">
        <v>86</v>
      </c>
      <c r="AM48" s="33"/>
      <c r="AN48" s="33"/>
      <c r="AO48" s="33"/>
      <c r="AP48" s="33" t="s">
        <v>749</v>
      </c>
      <c r="AQ48" s="33">
        <v>1.0</v>
      </c>
      <c r="AR48" s="33" t="s">
        <v>83</v>
      </c>
      <c r="AS48" s="33">
        <v>1562.6</v>
      </c>
      <c r="AT48" s="33" t="s">
        <v>84</v>
      </c>
      <c r="AU48" s="33" t="s">
        <v>750</v>
      </c>
      <c r="AV48" s="33" t="s">
        <v>751</v>
      </c>
      <c r="AW48" s="33">
        <v>0.0</v>
      </c>
      <c r="AX48" s="33" t="s">
        <v>160</v>
      </c>
      <c r="AY48" s="33" t="s">
        <v>104</v>
      </c>
      <c r="AZ48" s="31"/>
      <c r="BA48" s="31"/>
      <c r="BB48" s="31"/>
      <c r="BC48" s="31"/>
      <c r="BD48" s="18"/>
      <c r="BE48" s="31"/>
      <c r="BF48" s="31"/>
      <c r="BG48" s="38"/>
      <c r="BH48" s="38"/>
      <c r="BI48" s="38"/>
      <c r="BJ48" s="38"/>
      <c r="BK48" s="38"/>
      <c r="BL48" s="38"/>
    </row>
    <row r="49">
      <c r="A49" s="31">
        <v>14.0</v>
      </c>
      <c r="B49" s="31">
        <v>5.0</v>
      </c>
      <c r="C49" s="31" t="s">
        <v>145</v>
      </c>
      <c r="D49" s="31" t="s">
        <v>81</v>
      </c>
      <c r="E49" s="33" t="s">
        <v>753</v>
      </c>
      <c r="F49" s="31" t="s">
        <v>146</v>
      </c>
      <c r="G49" s="31">
        <v>1.0</v>
      </c>
      <c r="H49" s="33" t="s">
        <v>86</v>
      </c>
      <c r="I49" s="33"/>
      <c r="J49" s="33"/>
      <c r="K49" s="33"/>
      <c r="L49" s="40" t="s">
        <v>754</v>
      </c>
      <c r="M49" s="33">
        <v>2.0</v>
      </c>
      <c r="N49" s="33" t="s">
        <v>86</v>
      </c>
      <c r="O49" s="33"/>
      <c r="P49" s="33"/>
      <c r="Q49" s="33"/>
      <c r="R49" s="40" t="s">
        <v>755</v>
      </c>
      <c r="S49" s="33">
        <v>2.0</v>
      </c>
      <c r="T49" s="33" t="s">
        <v>86</v>
      </c>
      <c r="U49" s="31"/>
      <c r="V49" s="31"/>
      <c r="W49" s="31"/>
      <c r="X49" s="40" t="s">
        <v>756</v>
      </c>
      <c r="Y49" s="33">
        <v>0.0</v>
      </c>
      <c r="Z49" s="33" t="s">
        <v>86</v>
      </c>
      <c r="AA49" s="33"/>
      <c r="AB49" s="33"/>
      <c r="AC49" s="33"/>
      <c r="AD49" s="33" t="s">
        <v>757</v>
      </c>
      <c r="AE49" s="33">
        <v>2.0</v>
      </c>
      <c r="AF49" s="33" t="s">
        <v>86</v>
      </c>
      <c r="AG49" s="33"/>
      <c r="AH49" s="33"/>
      <c r="AI49" s="33"/>
      <c r="AJ49" s="33" t="s">
        <v>758</v>
      </c>
      <c r="AK49" s="33">
        <v>1.0</v>
      </c>
      <c r="AL49" s="33" t="s">
        <v>86</v>
      </c>
      <c r="AM49" s="33"/>
      <c r="AN49" s="33"/>
      <c r="AO49" s="33"/>
      <c r="AP49" s="33" t="s">
        <v>759</v>
      </c>
      <c r="AQ49" s="33">
        <v>1.0</v>
      </c>
      <c r="AR49" s="33" t="s">
        <v>86</v>
      </c>
      <c r="AS49" s="33"/>
      <c r="AT49" s="33"/>
      <c r="AU49" s="33"/>
      <c r="AV49" s="33" t="s">
        <v>760</v>
      </c>
      <c r="AW49" s="33">
        <v>1.0</v>
      </c>
      <c r="AX49" s="33" t="s">
        <v>160</v>
      </c>
      <c r="AY49" s="33" t="s">
        <v>104</v>
      </c>
      <c r="AZ49" s="31"/>
      <c r="BA49" s="31"/>
      <c r="BB49" s="31"/>
      <c r="BC49" s="31"/>
      <c r="BD49" s="18"/>
      <c r="BE49" s="31"/>
      <c r="BF49" s="31"/>
      <c r="BG49" s="38"/>
      <c r="BH49" s="38"/>
      <c r="BI49" s="38"/>
      <c r="BJ49" s="38"/>
      <c r="BK49" s="38"/>
      <c r="BL49" s="38"/>
    </row>
    <row r="50">
      <c r="A50" s="31">
        <v>15.0</v>
      </c>
      <c r="B50" s="31"/>
      <c r="C50" s="31" t="s">
        <v>145</v>
      </c>
      <c r="D50" s="31" t="s">
        <v>151</v>
      </c>
      <c r="E50" s="33" t="s">
        <v>762</v>
      </c>
      <c r="F50" s="31" t="s">
        <v>152</v>
      </c>
      <c r="G50" s="31">
        <v>1.0</v>
      </c>
      <c r="H50" s="33" t="s">
        <v>86</v>
      </c>
      <c r="I50" s="33"/>
      <c r="J50" s="33"/>
      <c r="K50" s="33"/>
      <c r="L50" s="40" t="s">
        <v>763</v>
      </c>
      <c r="M50" s="33">
        <v>1.0</v>
      </c>
      <c r="N50" s="33" t="s">
        <v>86</v>
      </c>
      <c r="O50" s="31"/>
      <c r="P50" s="31"/>
      <c r="Q50" s="31"/>
      <c r="R50" s="33" t="s">
        <v>764</v>
      </c>
      <c r="S50" s="33">
        <v>0.0</v>
      </c>
      <c r="T50" s="33" t="s">
        <v>86</v>
      </c>
      <c r="U50" s="31"/>
      <c r="V50" s="31"/>
      <c r="W50" s="31"/>
      <c r="X50" s="40" t="s">
        <v>766</v>
      </c>
      <c r="Y50" s="33">
        <v>1.0</v>
      </c>
      <c r="Z50" s="33" t="s">
        <v>86</v>
      </c>
      <c r="AA50" s="33"/>
      <c r="AB50" s="33"/>
      <c r="AC50" s="33"/>
      <c r="AD50" s="33" t="s">
        <v>767</v>
      </c>
      <c r="AE50" s="33">
        <v>0.0</v>
      </c>
      <c r="AF50" s="33" t="s">
        <v>86</v>
      </c>
      <c r="AG50" s="33"/>
      <c r="AH50" s="33"/>
      <c r="AI50" s="33"/>
      <c r="AJ50" s="33" t="s">
        <v>751</v>
      </c>
      <c r="AK50" s="33">
        <v>0.0</v>
      </c>
      <c r="AL50" s="33" t="s">
        <v>86</v>
      </c>
      <c r="AM50" s="33"/>
      <c r="AN50" s="33"/>
      <c r="AO50" s="33"/>
      <c r="AP50" s="33" t="s">
        <v>768</v>
      </c>
      <c r="AQ50" s="33">
        <v>0.0</v>
      </c>
      <c r="AR50" s="33" t="s">
        <v>86</v>
      </c>
      <c r="AS50" s="33"/>
      <c r="AT50" s="33"/>
      <c r="AU50" s="33"/>
      <c r="AV50" s="33" t="s">
        <v>751</v>
      </c>
      <c r="AW50" s="33">
        <v>0.0</v>
      </c>
      <c r="AX50" s="33" t="s">
        <v>160</v>
      </c>
      <c r="AY50" s="33" t="s">
        <v>104</v>
      </c>
      <c r="AZ50" s="31"/>
      <c r="BA50" s="31"/>
      <c r="BB50" s="31"/>
      <c r="BC50" s="31"/>
      <c r="BD50" s="18"/>
      <c r="BE50" s="31"/>
      <c r="BF50" s="31"/>
      <c r="BG50" s="38"/>
      <c r="BH50" s="38"/>
      <c r="BI50" s="38"/>
      <c r="BJ50" s="38"/>
      <c r="BK50" s="38"/>
      <c r="BL50" s="38"/>
    </row>
    <row r="51">
      <c r="A51" s="31">
        <v>16.0</v>
      </c>
      <c r="B51" s="31">
        <v>6.0</v>
      </c>
      <c r="C51" s="31" t="s">
        <v>165</v>
      </c>
      <c r="D51" s="31" t="s">
        <v>166</v>
      </c>
      <c r="E51" s="33" t="s">
        <v>770</v>
      </c>
      <c r="F51" s="31" t="s">
        <v>167</v>
      </c>
      <c r="G51" s="31">
        <v>1.0</v>
      </c>
      <c r="H51" s="33" t="s">
        <v>83</v>
      </c>
      <c r="I51" s="33"/>
      <c r="J51" s="33"/>
      <c r="K51" s="33" t="s">
        <v>771</v>
      </c>
      <c r="L51" s="40" t="s">
        <v>574</v>
      </c>
      <c r="M51" s="33">
        <v>1.0</v>
      </c>
      <c r="N51" s="33" t="s">
        <v>83</v>
      </c>
      <c r="O51" s="31"/>
      <c r="P51" s="31"/>
      <c r="Q51" s="33" t="s">
        <v>569</v>
      </c>
      <c r="R51" s="33" t="s">
        <v>772</v>
      </c>
      <c r="S51" s="33">
        <v>1.0</v>
      </c>
      <c r="T51" s="33" t="s">
        <v>83</v>
      </c>
      <c r="U51" s="33">
        <v>943.03</v>
      </c>
      <c r="V51" s="33" t="s">
        <v>84</v>
      </c>
      <c r="W51" s="33" t="s">
        <v>569</v>
      </c>
      <c r="X51" s="40" t="s">
        <v>636</v>
      </c>
      <c r="Y51" s="33">
        <v>0.0</v>
      </c>
      <c r="Z51" s="33" t="s">
        <v>233</v>
      </c>
      <c r="AA51" s="33">
        <v>623.39</v>
      </c>
      <c r="AB51" s="33" t="s">
        <v>84</v>
      </c>
      <c r="AC51" s="33" t="s">
        <v>773</v>
      </c>
      <c r="AD51" s="33" t="s">
        <v>574</v>
      </c>
      <c r="AE51" s="33">
        <v>2.0</v>
      </c>
      <c r="AF51" s="33" t="s">
        <v>86</v>
      </c>
      <c r="AG51" s="31"/>
      <c r="AH51" s="31"/>
      <c r="AI51" s="31"/>
      <c r="AJ51" s="33" t="s">
        <v>774</v>
      </c>
      <c r="AK51" s="33">
        <v>0.0</v>
      </c>
      <c r="AL51" s="33" t="s">
        <v>86</v>
      </c>
      <c r="AM51" s="31"/>
      <c r="AN51" s="31"/>
      <c r="AO51" s="31"/>
      <c r="AP51" s="33" t="s">
        <v>775</v>
      </c>
      <c r="AQ51" s="33">
        <v>1.0</v>
      </c>
      <c r="AR51" s="33" t="s">
        <v>86</v>
      </c>
      <c r="AS51" s="31"/>
      <c r="AT51" s="31"/>
      <c r="AU51" s="31"/>
      <c r="AV51" s="33" t="s">
        <v>776</v>
      </c>
      <c r="AW51" s="33">
        <v>0.0</v>
      </c>
      <c r="AX51" s="33" t="s">
        <v>160</v>
      </c>
      <c r="AY51" s="33" t="s">
        <v>104</v>
      </c>
      <c r="AZ51" s="31"/>
      <c r="BA51" s="31"/>
      <c r="BB51" s="31"/>
      <c r="BC51" s="31"/>
      <c r="BD51" s="18"/>
      <c r="BE51" s="31"/>
      <c r="BF51" s="31"/>
      <c r="BG51" s="38"/>
      <c r="BH51" s="38"/>
      <c r="BI51" s="38"/>
      <c r="BJ51" s="38"/>
      <c r="BK51" s="38"/>
      <c r="BL51" s="38"/>
    </row>
    <row r="52">
      <c r="A52" s="31">
        <v>17.0</v>
      </c>
      <c r="B52" s="31"/>
      <c r="C52" s="31" t="s">
        <v>165</v>
      </c>
      <c r="D52" s="31" t="s">
        <v>170</v>
      </c>
      <c r="E52" s="33" t="s">
        <v>777</v>
      </c>
      <c r="F52" s="31" t="s">
        <v>171</v>
      </c>
      <c r="G52" s="31">
        <v>1.0</v>
      </c>
      <c r="H52" s="33" t="s">
        <v>233</v>
      </c>
      <c r="I52" s="53">
        <v>267.0</v>
      </c>
      <c r="J52" s="33" t="s">
        <v>84</v>
      </c>
      <c r="K52" s="33" t="s">
        <v>778</v>
      </c>
      <c r="L52" s="40" t="s">
        <v>635</v>
      </c>
      <c r="M52" s="33">
        <v>0.0</v>
      </c>
      <c r="N52" s="33" t="s">
        <v>233</v>
      </c>
      <c r="O52" s="31"/>
      <c r="P52" s="31"/>
      <c r="Q52" s="33" t="s">
        <v>779</v>
      </c>
      <c r="R52" s="40" t="s">
        <v>635</v>
      </c>
      <c r="S52" s="33">
        <v>0.0</v>
      </c>
      <c r="T52" s="33" t="s">
        <v>83</v>
      </c>
      <c r="U52" s="33">
        <v>250.0</v>
      </c>
      <c r="V52" s="33" t="s">
        <v>84</v>
      </c>
      <c r="W52" s="33" t="s">
        <v>780</v>
      </c>
      <c r="X52" s="40" t="s">
        <v>781</v>
      </c>
      <c r="Y52" s="33">
        <v>2.0</v>
      </c>
      <c r="Z52" s="33" t="s">
        <v>233</v>
      </c>
      <c r="AA52" s="33">
        <v>257.655</v>
      </c>
      <c r="AB52" s="33" t="s">
        <v>84</v>
      </c>
      <c r="AC52" s="33" t="s">
        <v>782</v>
      </c>
      <c r="AD52" s="33" t="s">
        <v>784</v>
      </c>
      <c r="AE52" s="33">
        <v>2.0</v>
      </c>
      <c r="AF52" s="33" t="s">
        <v>86</v>
      </c>
      <c r="AG52" s="33"/>
      <c r="AH52" s="33"/>
      <c r="AI52" s="33"/>
      <c r="AJ52" s="33" t="s">
        <v>785</v>
      </c>
      <c r="AK52" s="33">
        <v>1.0</v>
      </c>
      <c r="AL52" s="33" t="s">
        <v>86</v>
      </c>
      <c r="AM52" s="33"/>
      <c r="AN52" s="33"/>
      <c r="AO52" s="33"/>
      <c r="AP52" s="33" t="s">
        <v>786</v>
      </c>
      <c r="AQ52" s="33">
        <v>1.0</v>
      </c>
      <c r="AR52" s="33" t="s">
        <v>83</v>
      </c>
      <c r="AS52" s="33">
        <v>466.7</v>
      </c>
      <c r="AT52" s="33" t="s">
        <v>84</v>
      </c>
      <c r="AU52" s="33" t="s">
        <v>787</v>
      </c>
      <c r="AV52" s="33" t="s">
        <v>574</v>
      </c>
      <c r="AW52" s="33">
        <v>1.0</v>
      </c>
      <c r="AX52" s="33" t="s">
        <v>160</v>
      </c>
      <c r="AY52" s="33" t="s">
        <v>104</v>
      </c>
      <c r="AZ52" s="31"/>
      <c r="BA52" s="31"/>
      <c r="BB52" s="31"/>
      <c r="BC52" s="31"/>
      <c r="BD52" s="18"/>
      <c r="BE52" s="31"/>
      <c r="BF52" s="31"/>
      <c r="BG52" s="38"/>
      <c r="BH52" s="38"/>
      <c r="BI52" s="38"/>
      <c r="BJ52" s="38"/>
      <c r="BK52" s="38"/>
      <c r="BL52" s="38"/>
    </row>
    <row r="53">
      <c r="A53" s="31">
        <v>18.0</v>
      </c>
      <c r="B53" s="31"/>
      <c r="C53" s="31" t="s">
        <v>165</v>
      </c>
      <c r="D53" s="31" t="s">
        <v>175</v>
      </c>
      <c r="E53" s="33" t="s">
        <v>788</v>
      </c>
      <c r="F53" s="31" t="s">
        <v>176</v>
      </c>
      <c r="G53" s="31">
        <v>1.0</v>
      </c>
      <c r="H53" s="33" t="s">
        <v>233</v>
      </c>
      <c r="I53" s="53">
        <v>176.23</v>
      </c>
      <c r="J53" s="33" t="s">
        <v>84</v>
      </c>
      <c r="K53" s="33" t="s">
        <v>789</v>
      </c>
      <c r="L53" s="40" t="s">
        <v>635</v>
      </c>
      <c r="M53" s="33">
        <v>0.0</v>
      </c>
      <c r="N53" s="33" t="s">
        <v>83</v>
      </c>
      <c r="O53" s="33">
        <v>175.41</v>
      </c>
      <c r="P53" s="33" t="s">
        <v>84</v>
      </c>
      <c r="Q53" s="33" t="s">
        <v>790</v>
      </c>
      <c r="R53" s="40" t="s">
        <v>635</v>
      </c>
      <c r="S53" s="33">
        <v>0.0</v>
      </c>
      <c r="T53" s="33" t="s">
        <v>83</v>
      </c>
      <c r="U53" s="33">
        <v>222.45</v>
      </c>
      <c r="V53" s="33" t="s">
        <v>84</v>
      </c>
      <c r="W53" s="33" t="s">
        <v>791</v>
      </c>
      <c r="X53" s="40" t="s">
        <v>574</v>
      </c>
      <c r="Y53" s="33">
        <v>2.0</v>
      </c>
      <c r="Z53" s="33" t="s">
        <v>233</v>
      </c>
      <c r="AA53" s="33">
        <v>138.96</v>
      </c>
      <c r="AB53" s="33" t="s">
        <v>84</v>
      </c>
      <c r="AC53" s="33" t="s">
        <v>792</v>
      </c>
      <c r="AD53" s="33" t="s">
        <v>635</v>
      </c>
      <c r="AE53" s="33">
        <v>0.0</v>
      </c>
      <c r="AF53" s="33" t="s">
        <v>86</v>
      </c>
      <c r="AG53" s="33"/>
      <c r="AH53" s="33"/>
      <c r="AI53" s="33"/>
      <c r="AJ53" s="33" t="s">
        <v>794</v>
      </c>
      <c r="AK53" s="33">
        <v>2.0</v>
      </c>
      <c r="AL53" s="33" t="s">
        <v>83</v>
      </c>
      <c r="AM53" s="33">
        <v>19.51</v>
      </c>
      <c r="AN53" s="33" t="s">
        <v>84</v>
      </c>
      <c r="AO53" s="33" t="s">
        <v>795</v>
      </c>
      <c r="AP53" s="33" t="s">
        <v>796</v>
      </c>
      <c r="AQ53" s="33">
        <v>2.0</v>
      </c>
      <c r="AR53" s="33" t="s">
        <v>86</v>
      </c>
      <c r="AS53" s="33"/>
      <c r="AT53" s="33"/>
      <c r="AU53" s="33"/>
      <c r="AV53" s="33" t="s">
        <v>797</v>
      </c>
      <c r="AW53" s="33">
        <v>1.0</v>
      </c>
      <c r="AX53" s="33" t="s">
        <v>160</v>
      </c>
      <c r="AY53" s="33" t="s">
        <v>104</v>
      </c>
      <c r="AZ53" s="31"/>
      <c r="BA53" s="31"/>
      <c r="BB53" s="31"/>
      <c r="BC53" s="31"/>
      <c r="BD53" s="18"/>
      <c r="BE53" s="31"/>
      <c r="BF53" s="31"/>
      <c r="BG53" s="38"/>
      <c r="BH53" s="38"/>
      <c r="BI53" s="38"/>
      <c r="BJ53" s="38"/>
      <c r="BK53" s="38"/>
      <c r="BL53" s="38"/>
    </row>
    <row r="54" ht="15.75" customHeight="1">
      <c r="A54" s="31">
        <v>52.0</v>
      </c>
      <c r="B54" s="64">
        <v>40.0</v>
      </c>
      <c r="C54" s="64" t="s">
        <v>361</v>
      </c>
      <c r="D54" s="64" t="s">
        <v>362</v>
      </c>
      <c r="E54" s="64" t="s">
        <v>798</v>
      </c>
      <c r="F54" s="64" t="s">
        <v>363</v>
      </c>
      <c r="H54" s="64" t="s">
        <v>86</v>
      </c>
      <c r="L54" s="64" t="s">
        <v>799</v>
      </c>
      <c r="M54" s="64">
        <v>2.0</v>
      </c>
      <c r="N54" s="64" t="s">
        <v>86</v>
      </c>
      <c r="R54" s="64" t="s">
        <v>800</v>
      </c>
      <c r="S54" s="64">
        <v>2.0</v>
      </c>
      <c r="T54" s="64" t="s">
        <v>83</v>
      </c>
      <c r="U54" s="64">
        <v>626.22</v>
      </c>
      <c r="V54" s="64" t="s">
        <v>84</v>
      </c>
      <c r="W54" s="64" t="s">
        <v>801</v>
      </c>
      <c r="X54" s="64" t="s">
        <v>751</v>
      </c>
      <c r="Y54" s="64">
        <v>0.0</v>
      </c>
      <c r="Z54" s="64" t="s">
        <v>86</v>
      </c>
      <c r="AD54" s="64" t="s">
        <v>802</v>
      </c>
      <c r="AE54" s="64">
        <v>2.0</v>
      </c>
      <c r="AF54" s="64" t="s">
        <v>86</v>
      </c>
      <c r="AJ54" s="64" t="s">
        <v>803</v>
      </c>
      <c r="AK54" s="64">
        <v>2.0</v>
      </c>
      <c r="AL54" s="64" t="s">
        <v>86</v>
      </c>
      <c r="AP54" s="64" t="s">
        <v>804</v>
      </c>
      <c r="AQ54" s="64">
        <v>1.0</v>
      </c>
      <c r="AR54" s="64" t="s">
        <v>86</v>
      </c>
      <c r="AV54" s="64" t="s">
        <v>805</v>
      </c>
      <c r="AW54" s="64">
        <v>1.0</v>
      </c>
      <c r="AX54" s="64" t="s">
        <v>160</v>
      </c>
      <c r="AY54" s="64" t="s">
        <v>104</v>
      </c>
      <c r="BG54" s="38"/>
      <c r="BH54" s="38"/>
      <c r="BI54" s="38"/>
      <c r="BJ54" s="38"/>
      <c r="BK54" s="38"/>
      <c r="BL54" s="38"/>
    </row>
    <row r="55" ht="15.75" customHeight="1">
      <c r="A55" s="31">
        <v>53.0</v>
      </c>
      <c r="B55" s="64">
        <v>40.0</v>
      </c>
      <c r="C55" s="64" t="s">
        <v>361</v>
      </c>
      <c r="D55" s="64" t="s">
        <v>375</v>
      </c>
      <c r="E55" s="64" t="s">
        <v>807</v>
      </c>
      <c r="F55" s="64" t="s">
        <v>377</v>
      </c>
      <c r="H55" s="64" t="s">
        <v>86</v>
      </c>
      <c r="L55" s="64" t="s">
        <v>808</v>
      </c>
      <c r="M55" s="64">
        <v>1.0</v>
      </c>
      <c r="N55" s="64" t="s">
        <v>86</v>
      </c>
      <c r="R55" s="64" t="s">
        <v>751</v>
      </c>
      <c r="S55" s="64">
        <v>1.0</v>
      </c>
      <c r="T55" s="64" t="s">
        <v>83</v>
      </c>
      <c r="U55" s="64">
        <v>940.18</v>
      </c>
      <c r="V55" s="64" t="s">
        <v>84</v>
      </c>
      <c r="W55" s="64" t="s">
        <v>809</v>
      </c>
      <c r="X55" s="64" t="s">
        <v>751</v>
      </c>
      <c r="Y55" s="64">
        <v>0.0</v>
      </c>
      <c r="Z55" s="64" t="s">
        <v>86</v>
      </c>
      <c r="AD55" s="64" t="s">
        <v>751</v>
      </c>
      <c r="AE55" s="64">
        <v>0.0</v>
      </c>
      <c r="AF55" s="64" t="s">
        <v>86</v>
      </c>
      <c r="AJ55" s="64" t="s">
        <v>751</v>
      </c>
      <c r="AK55" s="64">
        <v>0.0</v>
      </c>
      <c r="AL55" s="64" t="s">
        <v>86</v>
      </c>
      <c r="AP55" s="64" t="s">
        <v>810</v>
      </c>
      <c r="AQ55" s="64">
        <v>0.0</v>
      </c>
      <c r="AR55" s="64" t="s">
        <v>86</v>
      </c>
      <c r="AV55" s="64" t="s">
        <v>751</v>
      </c>
      <c r="AW55" s="64">
        <v>0.0</v>
      </c>
      <c r="AX55" s="64" t="s">
        <v>160</v>
      </c>
      <c r="AY55" s="64" t="s">
        <v>104</v>
      </c>
      <c r="BG55" s="38"/>
      <c r="BH55" s="38"/>
      <c r="BI55" s="38"/>
      <c r="BJ55" s="38"/>
      <c r="BK55" s="38"/>
      <c r="BL55" s="38"/>
    </row>
    <row r="56" ht="15.75" customHeight="1">
      <c r="A56" s="31">
        <v>54.0</v>
      </c>
      <c r="B56" s="64">
        <v>40.0</v>
      </c>
      <c r="C56" s="64" t="s">
        <v>361</v>
      </c>
      <c r="D56" s="64" t="s">
        <v>383</v>
      </c>
      <c r="E56" s="64" t="s">
        <v>811</v>
      </c>
      <c r="F56" s="64" t="s">
        <v>385</v>
      </c>
      <c r="H56" s="64" t="s">
        <v>86</v>
      </c>
      <c r="L56" s="64" t="s">
        <v>812</v>
      </c>
      <c r="M56" s="64">
        <v>2.0</v>
      </c>
      <c r="N56" s="64" t="s">
        <v>86</v>
      </c>
      <c r="R56" s="64" t="s">
        <v>751</v>
      </c>
      <c r="S56" s="64">
        <v>1.0</v>
      </c>
      <c r="T56" s="64" t="s">
        <v>83</v>
      </c>
      <c r="U56" s="64">
        <v>441.0</v>
      </c>
      <c r="V56" s="64" t="s">
        <v>84</v>
      </c>
      <c r="W56" s="64" t="s">
        <v>813</v>
      </c>
      <c r="X56" s="64" t="s">
        <v>751</v>
      </c>
      <c r="Y56" s="64">
        <v>1.0</v>
      </c>
      <c r="Z56" s="64" t="s">
        <v>86</v>
      </c>
      <c r="AD56" s="64" t="s">
        <v>751</v>
      </c>
      <c r="AE56" s="64">
        <v>0.0</v>
      </c>
      <c r="AF56" s="64" t="s">
        <v>86</v>
      </c>
      <c r="AJ56" s="64" t="s">
        <v>814</v>
      </c>
      <c r="AK56" s="64">
        <v>1.0</v>
      </c>
      <c r="AL56" s="64" t="s">
        <v>86</v>
      </c>
      <c r="AP56" s="64" t="s">
        <v>810</v>
      </c>
      <c r="AQ56" s="64">
        <v>0.0</v>
      </c>
      <c r="AR56" s="64" t="s">
        <v>86</v>
      </c>
      <c r="AV56" s="64" t="s">
        <v>751</v>
      </c>
      <c r="AW56" s="64">
        <v>0.0</v>
      </c>
      <c r="AX56" s="64" t="s">
        <v>160</v>
      </c>
      <c r="AY56" s="64" t="s">
        <v>104</v>
      </c>
      <c r="BG56" s="38"/>
      <c r="BH56" s="38"/>
      <c r="BI56" s="38"/>
      <c r="BJ56" s="38"/>
      <c r="BK56" s="38"/>
      <c r="BL56" s="38"/>
    </row>
    <row r="57" ht="15.75" customHeight="1">
      <c r="A57" s="31">
        <v>55.0</v>
      </c>
      <c r="B57" s="64">
        <v>40.0</v>
      </c>
      <c r="C57" s="64" t="s">
        <v>361</v>
      </c>
      <c r="D57" s="64" t="s">
        <v>396</v>
      </c>
      <c r="E57" s="64" t="s">
        <v>815</v>
      </c>
      <c r="F57" s="64" t="s">
        <v>397</v>
      </c>
      <c r="H57" s="64" t="s">
        <v>86</v>
      </c>
      <c r="L57" s="64" t="s">
        <v>816</v>
      </c>
      <c r="M57" s="64">
        <v>1.0</v>
      </c>
      <c r="N57" s="64" t="s">
        <v>86</v>
      </c>
      <c r="R57" s="64" t="s">
        <v>751</v>
      </c>
      <c r="S57" s="64">
        <v>1.0</v>
      </c>
      <c r="T57" s="64" t="s">
        <v>83</v>
      </c>
      <c r="U57" s="64">
        <v>130.56</v>
      </c>
      <c r="V57" s="64" t="s">
        <v>84</v>
      </c>
      <c r="W57" s="64" t="s">
        <v>817</v>
      </c>
      <c r="X57" s="64" t="s">
        <v>751</v>
      </c>
      <c r="Y57" s="64">
        <v>0.0</v>
      </c>
      <c r="Z57" s="64" t="s">
        <v>86</v>
      </c>
      <c r="AD57" s="64" t="s">
        <v>751</v>
      </c>
      <c r="AE57" s="64">
        <v>0.0</v>
      </c>
      <c r="AF57" s="64" t="s">
        <v>86</v>
      </c>
      <c r="AJ57" s="64" t="s">
        <v>751</v>
      </c>
      <c r="AK57" s="64">
        <v>0.0</v>
      </c>
      <c r="AL57" s="64" t="s">
        <v>86</v>
      </c>
      <c r="AP57" s="64" t="s">
        <v>810</v>
      </c>
      <c r="AQ57" s="64">
        <v>0.0</v>
      </c>
      <c r="AR57" s="64" t="s">
        <v>86</v>
      </c>
      <c r="AV57" s="64" t="s">
        <v>751</v>
      </c>
      <c r="AW57" s="64">
        <v>0.0</v>
      </c>
      <c r="AX57" s="64" t="s">
        <v>160</v>
      </c>
      <c r="AY57" s="64" t="s">
        <v>104</v>
      </c>
      <c r="BG57" s="38"/>
      <c r="BH57" s="38"/>
      <c r="BI57" s="38"/>
      <c r="BJ57" s="38"/>
      <c r="BK57" s="38"/>
      <c r="BL57" s="38"/>
    </row>
    <row r="58" ht="15.75" customHeight="1">
      <c r="A58" s="31">
        <v>56.0</v>
      </c>
      <c r="B58" s="64">
        <v>40.0</v>
      </c>
      <c r="C58" s="64" t="s">
        <v>361</v>
      </c>
      <c r="D58" s="64" t="s">
        <v>403</v>
      </c>
      <c r="E58" s="64" t="s">
        <v>818</v>
      </c>
      <c r="F58" s="64" t="s">
        <v>404</v>
      </c>
      <c r="H58" s="64" t="s">
        <v>86</v>
      </c>
      <c r="L58" s="64" t="s">
        <v>819</v>
      </c>
      <c r="M58" s="64">
        <v>1.0</v>
      </c>
      <c r="N58" s="64" t="s">
        <v>86</v>
      </c>
      <c r="R58" s="64" t="s">
        <v>751</v>
      </c>
      <c r="S58" s="64">
        <v>1.0</v>
      </c>
      <c r="T58" s="64" t="s">
        <v>83</v>
      </c>
      <c r="U58" s="64">
        <v>61.2</v>
      </c>
      <c r="V58" s="64" t="s">
        <v>84</v>
      </c>
      <c r="W58" s="64" t="s">
        <v>817</v>
      </c>
      <c r="X58" s="64" t="s">
        <v>751</v>
      </c>
      <c r="Y58" s="64">
        <v>0.0</v>
      </c>
      <c r="Z58" s="64" t="s">
        <v>86</v>
      </c>
      <c r="AD58" s="64" t="s">
        <v>751</v>
      </c>
      <c r="AE58" s="64">
        <v>0.0</v>
      </c>
      <c r="AF58" s="64" t="s">
        <v>86</v>
      </c>
      <c r="AJ58" s="64" t="s">
        <v>751</v>
      </c>
      <c r="AK58" s="64">
        <v>0.0</v>
      </c>
      <c r="AL58" s="64" t="s">
        <v>86</v>
      </c>
      <c r="AP58" s="64" t="s">
        <v>810</v>
      </c>
      <c r="AQ58" s="64">
        <v>0.0</v>
      </c>
      <c r="AR58" s="64" t="s">
        <v>86</v>
      </c>
      <c r="AV58" s="64" t="s">
        <v>751</v>
      </c>
      <c r="AW58" s="64">
        <v>0.0</v>
      </c>
      <c r="AX58" s="64" t="s">
        <v>160</v>
      </c>
      <c r="AY58" s="64" t="s">
        <v>104</v>
      </c>
      <c r="BG58" s="38"/>
      <c r="BH58" s="38"/>
      <c r="BI58" s="38"/>
      <c r="BJ58" s="38"/>
      <c r="BK58" s="38"/>
      <c r="BL58" s="38"/>
    </row>
    <row r="59" ht="15.75" customHeight="1">
      <c r="A59" s="31">
        <v>57.0</v>
      </c>
      <c r="B59" s="64">
        <v>40.0</v>
      </c>
      <c r="C59" s="64" t="s">
        <v>361</v>
      </c>
      <c r="D59" s="64" t="s">
        <v>413</v>
      </c>
      <c r="E59" s="64" t="s">
        <v>820</v>
      </c>
      <c r="F59" s="64" t="s">
        <v>414</v>
      </c>
      <c r="H59" s="64" t="s">
        <v>86</v>
      </c>
      <c r="L59" s="64" t="s">
        <v>821</v>
      </c>
      <c r="M59" s="64">
        <v>1.0</v>
      </c>
      <c r="N59" s="64" t="s">
        <v>86</v>
      </c>
      <c r="R59" s="64" t="s">
        <v>822</v>
      </c>
      <c r="S59" s="64">
        <v>2.0</v>
      </c>
      <c r="T59" s="64" t="s">
        <v>83</v>
      </c>
      <c r="U59" s="64">
        <v>78.88</v>
      </c>
      <c r="V59" s="64" t="s">
        <v>84</v>
      </c>
      <c r="W59" s="64" t="s">
        <v>817</v>
      </c>
      <c r="X59" s="64" t="s">
        <v>751</v>
      </c>
      <c r="Y59" s="64">
        <v>0.0</v>
      </c>
      <c r="Z59" s="64" t="s">
        <v>86</v>
      </c>
      <c r="AD59" s="64" t="s">
        <v>751</v>
      </c>
      <c r="AE59" s="64">
        <v>0.0</v>
      </c>
      <c r="AF59" s="64" t="s">
        <v>86</v>
      </c>
      <c r="AJ59" s="64" t="s">
        <v>751</v>
      </c>
      <c r="AK59" s="64">
        <v>0.0</v>
      </c>
      <c r="AL59" s="64" t="s">
        <v>86</v>
      </c>
      <c r="AP59" s="64" t="s">
        <v>810</v>
      </c>
      <c r="AQ59" s="64">
        <v>0.0</v>
      </c>
      <c r="AR59" s="64" t="s">
        <v>86</v>
      </c>
      <c r="AV59" s="64" t="s">
        <v>751</v>
      </c>
      <c r="AW59" s="64">
        <v>0.0</v>
      </c>
      <c r="AX59" s="64" t="s">
        <v>160</v>
      </c>
      <c r="AY59" s="64" t="s">
        <v>104</v>
      </c>
      <c r="BG59" s="38"/>
      <c r="BH59" s="38"/>
      <c r="BI59" s="38"/>
      <c r="BJ59" s="38"/>
      <c r="BK59" s="38"/>
      <c r="BL59" s="38"/>
    </row>
    <row r="60">
      <c r="A60" s="4" t="s">
        <v>823</v>
      </c>
      <c r="B60" s="66"/>
      <c r="C60" s="67"/>
      <c r="D60" s="66"/>
      <c r="E60" s="66"/>
      <c r="F60" s="66"/>
      <c r="G60" s="68"/>
      <c r="H60" s="69"/>
      <c r="I60" s="69"/>
      <c r="J60" s="69"/>
      <c r="K60" s="69"/>
      <c r="L60" s="70"/>
      <c r="M60" s="69"/>
      <c r="N60" s="69"/>
      <c r="O60" s="69"/>
      <c r="P60" s="69"/>
      <c r="Q60" s="69"/>
      <c r="R60" s="70"/>
      <c r="S60" s="69"/>
      <c r="T60" s="69"/>
      <c r="U60" s="69"/>
      <c r="V60" s="69"/>
      <c r="W60" s="69"/>
      <c r="X60" s="70"/>
      <c r="Y60" s="69"/>
      <c r="Z60" s="69"/>
      <c r="AA60" s="69"/>
      <c r="AB60" s="69"/>
      <c r="AC60" s="69"/>
      <c r="AD60" s="70"/>
      <c r="AE60" s="69"/>
      <c r="AF60" s="69"/>
      <c r="AG60" s="69"/>
      <c r="AH60" s="69"/>
      <c r="AI60" s="69"/>
      <c r="AJ60" s="70"/>
      <c r="AK60" s="69"/>
      <c r="AL60" s="69"/>
      <c r="AM60" s="69"/>
      <c r="AN60" s="69"/>
      <c r="AO60" s="69"/>
      <c r="AP60" s="70"/>
      <c r="AQ60" s="69"/>
      <c r="AR60" s="69"/>
      <c r="AS60" s="69"/>
      <c r="AT60" s="69"/>
      <c r="AU60" s="69"/>
      <c r="AV60" s="70"/>
      <c r="AW60" s="69"/>
      <c r="AX60" s="69"/>
      <c r="AY60" s="69"/>
      <c r="AZ60" s="69"/>
      <c r="BA60" s="69"/>
      <c r="BB60" s="70"/>
      <c r="BC60" s="69"/>
      <c r="BD60" s="69"/>
      <c r="BE60" s="69"/>
      <c r="BF60" s="69"/>
      <c r="BG60" s="69"/>
      <c r="BH60" s="69"/>
      <c r="BI60" s="69"/>
      <c r="BJ60" s="69"/>
      <c r="BK60" s="69"/>
      <c r="BL60" s="69"/>
    </row>
    <row r="61">
      <c r="A61" s="71" t="s">
        <v>16</v>
      </c>
      <c r="B61" s="71" t="s">
        <v>17</v>
      </c>
      <c r="C61" s="71" t="s">
        <v>18</v>
      </c>
      <c r="D61" s="71" t="s">
        <v>19</v>
      </c>
      <c r="E61" s="72" t="s">
        <v>561</v>
      </c>
      <c r="F61" s="71" t="s">
        <v>20</v>
      </c>
      <c r="G61" s="71" t="s">
        <v>21</v>
      </c>
      <c r="H61" s="72" t="s">
        <v>22</v>
      </c>
      <c r="I61" s="72" t="s">
        <v>23</v>
      </c>
      <c r="J61" s="72" t="s">
        <v>24</v>
      </c>
      <c r="K61" s="72" t="s">
        <v>25</v>
      </c>
      <c r="L61" s="72" t="s">
        <v>26</v>
      </c>
      <c r="M61" s="72" t="s">
        <v>27</v>
      </c>
      <c r="N61" s="72" t="s">
        <v>28</v>
      </c>
      <c r="O61" s="72" t="s">
        <v>29</v>
      </c>
      <c r="P61" s="72" t="s">
        <v>30</v>
      </c>
      <c r="Q61" s="72" t="s">
        <v>31</v>
      </c>
      <c r="R61" s="72" t="s">
        <v>32</v>
      </c>
      <c r="S61" s="72" t="s">
        <v>33</v>
      </c>
      <c r="T61" s="72" t="s">
        <v>34</v>
      </c>
      <c r="U61" s="72" t="s">
        <v>35</v>
      </c>
      <c r="V61" s="72" t="s">
        <v>36</v>
      </c>
      <c r="W61" s="72" t="s">
        <v>37</v>
      </c>
      <c r="X61" s="72" t="s">
        <v>38</v>
      </c>
      <c r="Y61" s="72" t="s">
        <v>39</v>
      </c>
      <c r="Z61" s="71" t="s">
        <v>40</v>
      </c>
      <c r="AA61" s="71" t="s">
        <v>41</v>
      </c>
      <c r="AB61" s="71" t="s">
        <v>42</v>
      </c>
      <c r="AC61" s="71" t="s">
        <v>43</v>
      </c>
      <c r="AD61" s="71" t="s">
        <v>44</v>
      </c>
      <c r="AE61" s="71" t="s">
        <v>45</v>
      </c>
      <c r="AF61" s="71" t="s">
        <v>46</v>
      </c>
      <c r="AG61" s="71" t="s">
        <v>47</v>
      </c>
      <c r="AH61" s="71" t="s">
        <v>48</v>
      </c>
      <c r="AI61" s="71" t="s">
        <v>49</v>
      </c>
      <c r="AJ61" s="71" t="s">
        <v>50</v>
      </c>
      <c r="AK61" s="71" t="s">
        <v>51</v>
      </c>
      <c r="AL61" s="71" t="s">
        <v>52</v>
      </c>
      <c r="AM61" s="71" t="s">
        <v>53</v>
      </c>
      <c r="AN61" s="71" t="s">
        <v>54</v>
      </c>
      <c r="AO61" s="71" t="s">
        <v>55</v>
      </c>
      <c r="AP61" s="71" t="s">
        <v>56</v>
      </c>
      <c r="AQ61" s="71" t="s">
        <v>57</v>
      </c>
      <c r="AR61" s="72" t="s">
        <v>61</v>
      </c>
      <c r="AS61" s="72" t="s">
        <v>63</v>
      </c>
      <c r="AT61" s="72" t="s">
        <v>65</v>
      </c>
      <c r="AU61" s="72" t="s">
        <v>66</v>
      </c>
      <c r="AV61" s="72" t="s">
        <v>67</v>
      </c>
      <c r="AW61" s="72" t="s">
        <v>69</v>
      </c>
      <c r="AX61" s="82" t="s">
        <v>58</v>
      </c>
      <c r="AY61" s="82" t="s">
        <v>59</v>
      </c>
      <c r="AZ61" s="82" t="s">
        <v>60</v>
      </c>
      <c r="BA61" s="82" t="s">
        <v>62</v>
      </c>
      <c r="BB61" s="82" t="s">
        <v>64</v>
      </c>
      <c r="BC61" s="82" t="s">
        <v>68</v>
      </c>
      <c r="BD61" s="77" t="s">
        <v>70</v>
      </c>
      <c r="BE61" s="77" t="s">
        <v>71</v>
      </c>
      <c r="BF61" s="72" t="s">
        <v>72</v>
      </c>
      <c r="BG61" s="71" t="s">
        <v>73</v>
      </c>
      <c r="BH61" s="71" t="s">
        <v>74</v>
      </c>
      <c r="BI61" s="71" t="s">
        <v>75</v>
      </c>
      <c r="BJ61" s="71" t="s">
        <v>76</v>
      </c>
      <c r="BK61" s="71" t="s">
        <v>77</v>
      </c>
      <c r="BL61" s="71" t="s">
        <v>78</v>
      </c>
    </row>
    <row r="62">
      <c r="A62" s="33">
        <v>1.0</v>
      </c>
      <c r="B62" s="33">
        <v>1.0</v>
      </c>
      <c r="C62" s="31"/>
      <c r="D62" s="33" t="s">
        <v>425</v>
      </c>
      <c r="E62" s="33"/>
      <c r="F62" s="33" t="s">
        <v>425</v>
      </c>
      <c r="G62" s="31"/>
      <c r="H62" s="33" t="s">
        <v>86</v>
      </c>
      <c r="I62" s="33"/>
      <c r="J62" s="33"/>
      <c r="K62" s="33"/>
      <c r="L62" s="39" t="s">
        <v>824</v>
      </c>
      <c r="M62" s="33">
        <v>0.7</v>
      </c>
      <c r="N62" s="33" t="s">
        <v>86</v>
      </c>
      <c r="O62" s="31"/>
      <c r="P62" s="31"/>
      <c r="Q62" s="33"/>
      <c r="R62" s="83" t="s">
        <v>825</v>
      </c>
      <c r="S62" s="33">
        <v>1.0</v>
      </c>
      <c r="T62" s="40" t="s">
        <v>86</v>
      </c>
      <c r="U62" s="33"/>
      <c r="V62" s="33"/>
      <c r="W62" s="33"/>
      <c r="X62" s="39" t="s">
        <v>826</v>
      </c>
      <c r="Y62" s="33">
        <v>0.7</v>
      </c>
      <c r="Z62" s="33" t="s">
        <v>83</v>
      </c>
      <c r="AA62" s="33">
        <v>9911.0</v>
      </c>
      <c r="AB62" s="33" t="s">
        <v>472</v>
      </c>
      <c r="AC62" s="33" t="s">
        <v>827</v>
      </c>
      <c r="AD62" s="33" t="s">
        <v>828</v>
      </c>
      <c r="AE62" s="33">
        <v>1.0</v>
      </c>
      <c r="AF62" s="33" t="s">
        <v>86</v>
      </c>
      <c r="AG62" s="33"/>
      <c r="AH62" s="33"/>
      <c r="AI62" s="33" t="s">
        <v>829</v>
      </c>
      <c r="AJ62" s="83" t="s">
        <v>830</v>
      </c>
      <c r="AK62" s="33">
        <v>1.0</v>
      </c>
      <c r="AL62" s="33" t="s">
        <v>86</v>
      </c>
      <c r="AM62" s="33"/>
      <c r="AN62" s="33"/>
      <c r="AO62" s="33" t="s">
        <v>831</v>
      </c>
      <c r="AP62" s="83" t="s">
        <v>832</v>
      </c>
      <c r="AQ62" s="33">
        <v>1.0</v>
      </c>
      <c r="AR62" s="33" t="s">
        <v>86</v>
      </c>
      <c r="AS62" s="33"/>
      <c r="AT62" s="33"/>
      <c r="AU62" s="33"/>
      <c r="AV62" s="83" t="s">
        <v>833</v>
      </c>
      <c r="AW62" s="33">
        <v>1.0</v>
      </c>
      <c r="AX62" s="33" t="s">
        <v>86</v>
      </c>
      <c r="AY62" s="33"/>
      <c r="AZ62" s="33"/>
      <c r="BA62" s="33" t="s">
        <v>834</v>
      </c>
      <c r="BB62" s="83" t="s">
        <v>835</v>
      </c>
      <c r="BC62" s="33">
        <v>0.5</v>
      </c>
      <c r="BD62" s="33" t="s">
        <v>160</v>
      </c>
      <c r="BE62" s="33" t="s">
        <v>104</v>
      </c>
      <c r="BF62" s="33"/>
      <c r="BG62" s="33" t="s">
        <v>836</v>
      </c>
      <c r="BH62" s="31"/>
      <c r="BI62" s="31"/>
      <c r="BJ62" s="18"/>
      <c r="BK62" s="31"/>
      <c r="BL62" s="84" t="s">
        <v>837</v>
      </c>
    </row>
    <row r="63">
      <c r="A63" s="33">
        <v>2.0</v>
      </c>
      <c r="B63" s="33">
        <v>2.0</v>
      </c>
      <c r="C63" s="31"/>
      <c r="D63" s="33" t="s">
        <v>436</v>
      </c>
      <c r="E63" s="33" t="s">
        <v>437</v>
      </c>
      <c r="F63" s="33" t="s">
        <v>436</v>
      </c>
      <c r="G63" s="31"/>
      <c r="H63" s="33" t="s">
        <v>233</v>
      </c>
      <c r="I63" s="33"/>
      <c r="J63" s="33" t="s">
        <v>838</v>
      </c>
      <c r="K63" s="33" t="s">
        <v>839</v>
      </c>
      <c r="L63" s="39" t="s">
        <v>840</v>
      </c>
      <c r="M63" s="33">
        <v>0.7</v>
      </c>
      <c r="N63" s="33" t="s">
        <v>233</v>
      </c>
      <c r="O63" s="33"/>
      <c r="P63" s="33"/>
      <c r="Q63" s="33" t="s">
        <v>841</v>
      </c>
      <c r="R63" s="39" t="s">
        <v>842</v>
      </c>
      <c r="S63" s="33">
        <v>1.0</v>
      </c>
      <c r="T63" s="33" t="s">
        <v>233</v>
      </c>
      <c r="U63" s="33">
        <v>208.0</v>
      </c>
      <c r="V63" s="33" t="s">
        <v>843</v>
      </c>
      <c r="W63" s="62" t="s">
        <v>844</v>
      </c>
      <c r="X63" s="39" t="s">
        <v>845</v>
      </c>
      <c r="Y63" s="33">
        <v>0.7</v>
      </c>
      <c r="Z63" s="33" t="s">
        <v>83</v>
      </c>
      <c r="AA63" s="33">
        <v>203.73</v>
      </c>
      <c r="AB63" s="33" t="s">
        <v>472</v>
      </c>
      <c r="AC63" s="33" t="s">
        <v>846</v>
      </c>
      <c r="AD63" s="33" t="s">
        <v>847</v>
      </c>
      <c r="AE63" s="33">
        <v>1.0</v>
      </c>
      <c r="AF63" s="33" t="s">
        <v>86</v>
      </c>
      <c r="AG63" s="33"/>
      <c r="AH63" s="33"/>
      <c r="AI63" s="33" t="s">
        <v>829</v>
      </c>
      <c r="AJ63" s="83" t="s">
        <v>848</v>
      </c>
      <c r="AK63" s="33">
        <v>1.0</v>
      </c>
      <c r="AL63" s="33" t="s">
        <v>86</v>
      </c>
      <c r="AM63" s="33"/>
      <c r="AN63" s="33"/>
      <c r="AO63" s="33" t="s">
        <v>849</v>
      </c>
      <c r="AP63" s="83" t="s">
        <v>850</v>
      </c>
      <c r="AQ63" s="33">
        <v>1.0</v>
      </c>
      <c r="AR63" s="33" t="s">
        <v>86</v>
      </c>
      <c r="AS63" s="33"/>
      <c r="AT63" s="33"/>
      <c r="AU63" s="33"/>
      <c r="AV63" s="83" t="s">
        <v>851</v>
      </c>
      <c r="AW63" s="33">
        <v>1.0</v>
      </c>
      <c r="AX63" s="33" t="s">
        <v>86</v>
      </c>
      <c r="AY63" s="33"/>
      <c r="AZ63" s="33"/>
      <c r="BA63" s="33" t="s">
        <v>852</v>
      </c>
      <c r="BB63" s="83" t="s">
        <v>853</v>
      </c>
      <c r="BC63" s="33">
        <v>0.5</v>
      </c>
      <c r="BD63" s="33" t="s">
        <v>160</v>
      </c>
      <c r="BE63" s="33" t="s">
        <v>160</v>
      </c>
      <c r="BF63" s="33"/>
      <c r="BG63" s="33" t="s">
        <v>836</v>
      </c>
      <c r="BH63" s="31"/>
      <c r="BI63" s="31"/>
      <c r="BJ63" s="18"/>
      <c r="BK63" s="31"/>
      <c r="BL63" s="84" t="s">
        <v>854</v>
      </c>
    </row>
    <row r="64">
      <c r="A64" s="33">
        <v>3.0</v>
      </c>
      <c r="B64" s="33">
        <v>3.0</v>
      </c>
      <c r="C64" s="31"/>
      <c r="D64" s="33" t="s">
        <v>445</v>
      </c>
      <c r="E64" s="33" t="s">
        <v>437</v>
      </c>
      <c r="F64" s="33" t="s">
        <v>445</v>
      </c>
      <c r="G64" s="31"/>
      <c r="H64" s="33" t="s">
        <v>86</v>
      </c>
      <c r="I64" s="31"/>
      <c r="J64" s="31"/>
      <c r="K64" s="31"/>
      <c r="L64" s="83" t="s">
        <v>855</v>
      </c>
      <c r="M64" s="33">
        <v>0.7</v>
      </c>
      <c r="N64" s="33" t="s">
        <v>86</v>
      </c>
      <c r="O64" s="31"/>
      <c r="P64" s="31"/>
      <c r="Q64" s="31"/>
      <c r="R64" s="83" t="s">
        <v>856</v>
      </c>
      <c r="S64" s="33">
        <v>1.0</v>
      </c>
      <c r="T64" s="33" t="s">
        <v>86</v>
      </c>
      <c r="U64" s="33"/>
      <c r="V64" s="33"/>
      <c r="W64" s="33"/>
      <c r="X64" s="39" t="s">
        <v>857</v>
      </c>
      <c r="Y64" s="33">
        <v>0.7</v>
      </c>
      <c r="Z64" s="33" t="s">
        <v>83</v>
      </c>
      <c r="AA64" s="33">
        <v>12.94</v>
      </c>
      <c r="AB64" s="33" t="s">
        <v>472</v>
      </c>
      <c r="AC64" s="33" t="s">
        <v>827</v>
      </c>
      <c r="AD64" s="33" t="s">
        <v>858</v>
      </c>
      <c r="AE64" s="33">
        <v>1.0</v>
      </c>
      <c r="AF64" s="33" t="s">
        <v>86</v>
      </c>
      <c r="AG64" s="33"/>
      <c r="AH64" s="33"/>
      <c r="AI64" s="33" t="s">
        <v>829</v>
      </c>
      <c r="AJ64" s="83" t="s">
        <v>859</v>
      </c>
      <c r="AK64" s="33">
        <v>1.0</v>
      </c>
      <c r="AL64" s="33" t="s">
        <v>86</v>
      </c>
      <c r="AM64" s="33"/>
      <c r="AN64" s="33"/>
      <c r="AO64" s="33" t="s">
        <v>860</v>
      </c>
      <c r="AP64" s="83" t="s">
        <v>861</v>
      </c>
      <c r="AQ64" s="33">
        <v>1.0</v>
      </c>
      <c r="AR64" s="33" t="s">
        <v>367</v>
      </c>
      <c r="AS64" s="33"/>
      <c r="AT64" s="33"/>
      <c r="AU64" s="33"/>
      <c r="AV64" s="83" t="s">
        <v>862</v>
      </c>
      <c r="AW64" s="33">
        <v>1.0</v>
      </c>
      <c r="AX64" s="33" t="s">
        <v>86</v>
      </c>
      <c r="AY64" s="33"/>
      <c r="AZ64" s="33"/>
      <c r="BA64" s="33" t="s">
        <v>863</v>
      </c>
      <c r="BB64" s="83" t="s">
        <v>864</v>
      </c>
      <c r="BC64" s="33">
        <v>0.5</v>
      </c>
      <c r="BD64" s="33" t="s">
        <v>160</v>
      </c>
      <c r="BE64" s="33" t="s">
        <v>104</v>
      </c>
      <c r="BF64" s="33"/>
      <c r="BG64" s="33" t="s">
        <v>836</v>
      </c>
      <c r="BH64" s="31"/>
      <c r="BI64" s="31"/>
      <c r="BJ64" s="18"/>
      <c r="BK64" s="31"/>
      <c r="BL64" s="84" t="s">
        <v>865</v>
      </c>
    </row>
    <row r="65">
      <c r="A65" s="33">
        <v>4.0</v>
      </c>
      <c r="B65" s="33">
        <v>4.0</v>
      </c>
      <c r="C65" s="31"/>
      <c r="D65" s="33" t="s">
        <v>449</v>
      </c>
      <c r="E65" s="33" t="s">
        <v>437</v>
      </c>
      <c r="F65" s="33" t="s">
        <v>449</v>
      </c>
      <c r="G65" s="33"/>
      <c r="H65" s="33" t="s">
        <v>86</v>
      </c>
      <c r="I65" s="33"/>
      <c r="J65" s="33"/>
      <c r="K65" s="33"/>
      <c r="L65" s="39" t="s">
        <v>866</v>
      </c>
      <c r="M65" s="33">
        <v>0.7</v>
      </c>
      <c r="N65" s="33" t="s">
        <v>86</v>
      </c>
      <c r="O65" s="31"/>
      <c r="P65" s="31"/>
      <c r="Q65" s="33"/>
      <c r="R65" s="83" t="s">
        <v>867</v>
      </c>
      <c r="S65" s="33">
        <v>1.0</v>
      </c>
      <c r="T65" s="33" t="s">
        <v>86</v>
      </c>
      <c r="U65" s="33"/>
      <c r="V65" s="33"/>
      <c r="W65" s="33"/>
      <c r="X65" s="39" t="s">
        <v>868</v>
      </c>
      <c r="Y65" s="33">
        <v>0.7</v>
      </c>
      <c r="Z65" s="33" t="s">
        <v>83</v>
      </c>
      <c r="AA65" s="33">
        <v>19.99</v>
      </c>
      <c r="AB65" s="33" t="s">
        <v>869</v>
      </c>
      <c r="AC65" s="33" t="s">
        <v>870</v>
      </c>
      <c r="AD65" s="33" t="s">
        <v>871</v>
      </c>
      <c r="AE65" s="33">
        <v>1.0</v>
      </c>
      <c r="AF65" s="33" t="s">
        <v>86</v>
      </c>
      <c r="AG65" s="33"/>
      <c r="AH65" s="33"/>
      <c r="AI65" s="33" t="s">
        <v>829</v>
      </c>
      <c r="AJ65" s="83" t="s">
        <v>872</v>
      </c>
      <c r="AK65" s="33">
        <v>1.0</v>
      </c>
      <c r="AL65" s="33" t="s">
        <v>86</v>
      </c>
      <c r="AM65" s="33"/>
      <c r="AN65" s="33"/>
      <c r="AO65" s="33" t="s">
        <v>873</v>
      </c>
      <c r="AP65" s="83" t="s">
        <v>874</v>
      </c>
      <c r="AQ65" s="33">
        <v>1.0</v>
      </c>
      <c r="AR65" s="33" t="s">
        <v>367</v>
      </c>
      <c r="AS65" s="33"/>
      <c r="AT65" s="33"/>
      <c r="AU65" s="33"/>
      <c r="AV65" s="83" t="s">
        <v>875</v>
      </c>
      <c r="AW65" s="33">
        <v>1.0</v>
      </c>
      <c r="AX65" s="33" t="s">
        <v>86</v>
      </c>
      <c r="AY65" s="33"/>
      <c r="AZ65" s="33"/>
      <c r="BA65" s="33" t="s">
        <v>876</v>
      </c>
      <c r="BB65" s="83" t="s">
        <v>877</v>
      </c>
      <c r="BC65" s="33">
        <v>0.5</v>
      </c>
      <c r="BD65" s="33" t="s">
        <v>160</v>
      </c>
      <c r="BE65" s="33" t="s">
        <v>160</v>
      </c>
      <c r="BF65" s="33"/>
      <c r="BG65" s="33" t="s">
        <v>836</v>
      </c>
      <c r="BH65" s="31"/>
      <c r="BI65" s="31"/>
      <c r="BJ65" s="18"/>
      <c r="BK65" s="31"/>
      <c r="BL65" s="84" t="s">
        <v>878</v>
      </c>
    </row>
    <row r="66">
      <c r="A66" s="33">
        <v>5.0</v>
      </c>
      <c r="B66" s="33">
        <v>5.0</v>
      </c>
      <c r="C66" s="31"/>
      <c r="D66" s="33" t="s">
        <v>458</v>
      </c>
      <c r="E66" s="33" t="s">
        <v>437</v>
      </c>
      <c r="F66" s="33" t="s">
        <v>458</v>
      </c>
      <c r="G66" s="33"/>
      <c r="H66" s="33" t="s">
        <v>86</v>
      </c>
      <c r="I66" s="33"/>
      <c r="J66" s="33"/>
      <c r="K66" s="33"/>
      <c r="L66" s="39" t="s">
        <v>879</v>
      </c>
      <c r="M66" s="33">
        <v>0.7</v>
      </c>
      <c r="N66" s="33" t="s">
        <v>86</v>
      </c>
      <c r="O66" s="33"/>
      <c r="P66" s="33"/>
      <c r="Q66" s="33"/>
      <c r="R66" s="39" t="s">
        <v>880</v>
      </c>
      <c r="S66" s="33">
        <v>1.0</v>
      </c>
      <c r="T66" s="33" t="s">
        <v>86</v>
      </c>
      <c r="U66" s="33"/>
      <c r="V66" s="33"/>
      <c r="W66" s="33"/>
      <c r="X66" s="39" t="s">
        <v>881</v>
      </c>
      <c r="Y66" s="33">
        <v>0.7</v>
      </c>
      <c r="Z66" s="33" t="s">
        <v>83</v>
      </c>
      <c r="AA66" s="33">
        <v>219.27</v>
      </c>
      <c r="AB66" s="33" t="s">
        <v>472</v>
      </c>
      <c r="AC66" s="33" t="s">
        <v>827</v>
      </c>
      <c r="AD66" s="33" t="s">
        <v>882</v>
      </c>
      <c r="AE66" s="33">
        <v>1.0</v>
      </c>
      <c r="AF66" s="33" t="s">
        <v>86</v>
      </c>
      <c r="AG66" s="33"/>
      <c r="AH66" s="33"/>
      <c r="AI66" s="33" t="s">
        <v>829</v>
      </c>
      <c r="AJ66" s="83" t="s">
        <v>883</v>
      </c>
      <c r="AK66" s="33">
        <v>1.0</v>
      </c>
      <c r="AL66" s="33" t="s">
        <v>86</v>
      </c>
      <c r="AM66" s="33"/>
      <c r="AN66" s="33"/>
      <c r="AO66" s="33" t="s">
        <v>884</v>
      </c>
      <c r="AP66" s="83" t="s">
        <v>885</v>
      </c>
      <c r="AQ66" s="33">
        <v>1.0</v>
      </c>
      <c r="AR66" s="33" t="s">
        <v>86</v>
      </c>
      <c r="AS66" s="33"/>
      <c r="AT66" s="33"/>
      <c r="AU66" s="33"/>
      <c r="AV66" s="83" t="s">
        <v>886</v>
      </c>
      <c r="AW66" s="33">
        <v>1.0</v>
      </c>
      <c r="AX66" s="33" t="s">
        <v>86</v>
      </c>
      <c r="AY66" s="33"/>
      <c r="AZ66" s="33"/>
      <c r="BA66" s="33" t="s">
        <v>887</v>
      </c>
      <c r="BB66" s="83" t="s">
        <v>888</v>
      </c>
      <c r="BC66" s="33">
        <v>0.5</v>
      </c>
      <c r="BD66" s="33" t="s">
        <v>160</v>
      </c>
      <c r="BE66" s="33" t="s">
        <v>104</v>
      </c>
      <c r="BF66" s="31"/>
      <c r="BG66" s="33" t="s">
        <v>836</v>
      </c>
      <c r="BH66" s="31"/>
      <c r="BI66" s="31"/>
      <c r="BJ66" s="18"/>
      <c r="BK66" s="31"/>
      <c r="BL66" s="84" t="s">
        <v>889</v>
      </c>
    </row>
    <row r="67">
      <c r="A67" s="33">
        <v>6.0</v>
      </c>
      <c r="B67" s="33">
        <v>6.0</v>
      </c>
      <c r="C67" s="31"/>
      <c r="D67" s="33" t="s">
        <v>464</v>
      </c>
      <c r="E67" s="33" t="s">
        <v>437</v>
      </c>
      <c r="F67" s="33" t="s">
        <v>464</v>
      </c>
      <c r="G67" s="31"/>
      <c r="H67" s="33" t="s">
        <v>86</v>
      </c>
      <c r="I67" s="53"/>
      <c r="J67" s="33"/>
      <c r="K67" s="33"/>
      <c r="L67" s="83" t="s">
        <v>890</v>
      </c>
      <c r="M67" s="33">
        <v>0.7</v>
      </c>
      <c r="N67" s="33" t="s">
        <v>86</v>
      </c>
      <c r="O67" s="53"/>
      <c r="P67" s="33"/>
      <c r="Q67" s="33"/>
      <c r="R67" s="39" t="s">
        <v>891</v>
      </c>
      <c r="S67" s="33">
        <v>1.0</v>
      </c>
      <c r="T67" s="33" t="s">
        <v>86</v>
      </c>
      <c r="U67" s="53"/>
      <c r="V67" s="33"/>
      <c r="W67" s="33"/>
      <c r="X67" s="39" t="s">
        <v>892</v>
      </c>
      <c r="Y67" s="33">
        <v>0.7</v>
      </c>
      <c r="Z67" s="33" t="s">
        <v>83</v>
      </c>
      <c r="AA67" s="33">
        <v>1040.93</v>
      </c>
      <c r="AB67" s="33" t="s">
        <v>472</v>
      </c>
      <c r="AC67" s="33" t="s">
        <v>827</v>
      </c>
      <c r="AD67" s="33" t="s">
        <v>893</v>
      </c>
      <c r="AE67" s="33">
        <v>1.0</v>
      </c>
      <c r="AF67" s="33" t="s">
        <v>86</v>
      </c>
      <c r="AG67" s="33"/>
      <c r="AH67" s="33"/>
      <c r="AI67" s="33" t="s">
        <v>829</v>
      </c>
      <c r="AJ67" s="83" t="s">
        <v>894</v>
      </c>
      <c r="AK67" s="33">
        <v>1.0</v>
      </c>
      <c r="AL67" s="33" t="s">
        <v>86</v>
      </c>
      <c r="AM67" s="33"/>
      <c r="AN67" s="33"/>
      <c r="AO67" s="33" t="s">
        <v>895</v>
      </c>
      <c r="AP67" s="83" t="s">
        <v>896</v>
      </c>
      <c r="AQ67" s="33">
        <v>1.0</v>
      </c>
      <c r="AR67" s="33" t="s">
        <v>86</v>
      </c>
      <c r="AS67" s="33"/>
      <c r="AT67" s="33"/>
      <c r="AU67" s="33"/>
      <c r="AV67" s="83" t="s">
        <v>897</v>
      </c>
      <c r="AW67" s="33">
        <v>1.0</v>
      </c>
      <c r="AX67" s="33" t="s">
        <v>86</v>
      </c>
      <c r="AY67" s="33"/>
      <c r="AZ67" s="33"/>
      <c r="BA67" s="33" t="s">
        <v>898</v>
      </c>
      <c r="BB67" s="83" t="s">
        <v>899</v>
      </c>
      <c r="BC67" s="33">
        <v>0.5</v>
      </c>
      <c r="BD67" s="33" t="s">
        <v>160</v>
      </c>
      <c r="BE67" s="33" t="s">
        <v>104</v>
      </c>
      <c r="BF67" s="33"/>
      <c r="BG67" s="33" t="s">
        <v>836</v>
      </c>
      <c r="BH67" s="31"/>
      <c r="BI67" s="31"/>
      <c r="BJ67" s="18"/>
      <c r="BK67" s="31"/>
      <c r="BL67" s="84" t="s">
        <v>900</v>
      </c>
    </row>
    <row r="68">
      <c r="A68" s="33">
        <v>7.0</v>
      </c>
      <c r="B68" s="33">
        <v>7.0</v>
      </c>
      <c r="C68" s="31"/>
      <c r="D68" s="33" t="s">
        <v>470</v>
      </c>
      <c r="E68" s="33" t="s">
        <v>437</v>
      </c>
      <c r="F68" s="33" t="s">
        <v>470</v>
      </c>
      <c r="G68" s="31"/>
      <c r="H68" s="33" t="s">
        <v>86</v>
      </c>
      <c r="I68" s="33"/>
      <c r="J68" s="33"/>
      <c r="K68" s="33"/>
      <c r="L68" s="39" t="s">
        <v>901</v>
      </c>
      <c r="M68" s="33">
        <v>0.7</v>
      </c>
      <c r="N68" s="33" t="s">
        <v>86</v>
      </c>
      <c r="O68" s="33"/>
      <c r="P68" s="33"/>
      <c r="Q68" s="33"/>
      <c r="R68" s="83" t="s">
        <v>902</v>
      </c>
      <c r="S68" s="33">
        <v>1.0</v>
      </c>
      <c r="T68" s="33" t="s">
        <v>86</v>
      </c>
      <c r="U68" s="33"/>
      <c r="V68" s="33"/>
      <c r="W68" s="33"/>
      <c r="X68" s="39" t="s">
        <v>903</v>
      </c>
      <c r="Y68" s="33">
        <v>0.7</v>
      </c>
      <c r="Z68" s="33" t="s">
        <v>83</v>
      </c>
      <c r="AA68" s="33">
        <v>86.44</v>
      </c>
      <c r="AB68" s="33" t="s">
        <v>472</v>
      </c>
      <c r="AC68" s="33" t="s">
        <v>827</v>
      </c>
      <c r="AD68" s="33" t="s">
        <v>904</v>
      </c>
      <c r="AE68" s="33">
        <v>1.0</v>
      </c>
      <c r="AF68" s="33" t="s">
        <v>86</v>
      </c>
      <c r="AG68" s="33"/>
      <c r="AH68" s="33"/>
      <c r="AI68" s="33" t="s">
        <v>829</v>
      </c>
      <c r="AJ68" s="83" t="s">
        <v>905</v>
      </c>
      <c r="AK68" s="33">
        <v>1.0</v>
      </c>
      <c r="AL68" s="33" t="s">
        <v>86</v>
      </c>
      <c r="AM68" s="33"/>
      <c r="AN68" s="33"/>
      <c r="AO68" s="33" t="s">
        <v>906</v>
      </c>
      <c r="AP68" s="83" t="s">
        <v>907</v>
      </c>
      <c r="AQ68" s="33">
        <v>1.0</v>
      </c>
      <c r="AR68" s="33" t="s">
        <v>86</v>
      </c>
      <c r="AS68" s="33"/>
      <c r="AT68" s="33"/>
      <c r="AU68" s="33"/>
      <c r="AV68" s="83" t="s">
        <v>908</v>
      </c>
      <c r="AW68" s="33">
        <v>1.0</v>
      </c>
      <c r="AX68" s="33" t="s">
        <v>86</v>
      </c>
      <c r="AY68" s="33"/>
      <c r="AZ68" s="33"/>
      <c r="BA68" s="33" t="s">
        <v>909</v>
      </c>
      <c r="BB68" s="83" t="s">
        <v>910</v>
      </c>
      <c r="BC68" s="33">
        <v>0.5</v>
      </c>
      <c r="BD68" s="33" t="s">
        <v>160</v>
      </c>
      <c r="BE68" s="33" t="s">
        <v>104</v>
      </c>
      <c r="BF68" s="31"/>
      <c r="BG68" s="33" t="s">
        <v>836</v>
      </c>
      <c r="BH68" s="31"/>
      <c r="BI68" s="31"/>
      <c r="BJ68" s="18"/>
      <c r="BK68" s="31"/>
      <c r="BL68" s="84" t="s">
        <v>911</v>
      </c>
    </row>
    <row r="69">
      <c r="A69" s="13">
        <v>8.0</v>
      </c>
      <c r="B69" s="13">
        <v>8.0</v>
      </c>
      <c r="C69" s="18"/>
      <c r="D69" s="13" t="s">
        <v>484</v>
      </c>
      <c r="E69" s="33" t="s">
        <v>437</v>
      </c>
      <c r="F69" s="13" t="s">
        <v>484</v>
      </c>
      <c r="G69" s="18"/>
      <c r="H69" s="13" t="s">
        <v>86</v>
      </c>
      <c r="I69" s="13"/>
      <c r="J69" s="13"/>
      <c r="K69" s="13"/>
      <c r="L69" s="88" t="s">
        <v>912</v>
      </c>
      <c r="M69" s="13">
        <v>0.7</v>
      </c>
      <c r="N69" s="13" t="s">
        <v>86</v>
      </c>
      <c r="O69" s="13"/>
      <c r="P69" s="13"/>
      <c r="Q69" s="13"/>
      <c r="R69" s="88" t="s">
        <v>913</v>
      </c>
      <c r="S69" s="13">
        <v>1.0</v>
      </c>
      <c r="T69" s="13" t="s">
        <v>86</v>
      </c>
      <c r="U69" s="13"/>
      <c r="V69" s="13"/>
      <c r="W69" s="13"/>
      <c r="X69" s="88" t="s">
        <v>914</v>
      </c>
      <c r="Y69" s="13">
        <v>0.7</v>
      </c>
      <c r="Z69" s="13" t="s">
        <v>86</v>
      </c>
      <c r="AA69" s="13"/>
      <c r="AB69" s="13"/>
      <c r="AC69" s="13" t="s">
        <v>915</v>
      </c>
      <c r="AD69" s="13" t="s">
        <v>916</v>
      </c>
      <c r="AE69" s="13">
        <v>2.0</v>
      </c>
      <c r="AF69" s="13" t="s">
        <v>86</v>
      </c>
      <c r="AG69" s="13"/>
      <c r="AH69" s="13"/>
      <c r="AI69" s="13" t="s">
        <v>829</v>
      </c>
      <c r="AJ69" s="88" t="s">
        <v>917</v>
      </c>
      <c r="AK69" s="13">
        <v>1.0</v>
      </c>
      <c r="AL69" s="13" t="s">
        <v>86</v>
      </c>
      <c r="AM69" s="13"/>
      <c r="AN69" s="13"/>
      <c r="AO69" s="13" t="s">
        <v>918</v>
      </c>
      <c r="AP69" s="88" t="s">
        <v>919</v>
      </c>
      <c r="AQ69" s="13">
        <v>1.0</v>
      </c>
      <c r="AR69" s="13" t="s">
        <v>86</v>
      </c>
      <c r="AS69" s="13"/>
      <c r="AT69" s="13"/>
      <c r="AU69" s="13"/>
      <c r="AV69" s="88" t="s">
        <v>920</v>
      </c>
      <c r="AW69" s="13">
        <v>1.0</v>
      </c>
      <c r="AX69" s="13" t="s">
        <v>86</v>
      </c>
      <c r="AY69" s="13"/>
      <c r="AZ69" s="13"/>
      <c r="BA69" s="13" t="s">
        <v>921</v>
      </c>
      <c r="BB69" s="88" t="s">
        <v>922</v>
      </c>
      <c r="BC69" s="13">
        <v>1.0</v>
      </c>
      <c r="BD69" s="13" t="s">
        <v>104</v>
      </c>
      <c r="BE69" s="13" t="s">
        <v>104</v>
      </c>
      <c r="BF69" s="18"/>
      <c r="BG69" s="13" t="s">
        <v>923</v>
      </c>
      <c r="BH69" s="18"/>
      <c r="BI69" s="18"/>
      <c r="BJ69" s="18"/>
      <c r="BK69" s="18"/>
      <c r="BL69" s="89" t="s">
        <v>924</v>
      </c>
    </row>
    <row r="70">
      <c r="A70" s="33">
        <v>9.0</v>
      </c>
      <c r="B70" s="33">
        <v>9.0</v>
      </c>
      <c r="C70" s="31"/>
      <c r="D70" s="33" t="s">
        <v>493</v>
      </c>
      <c r="E70" s="33" t="s">
        <v>437</v>
      </c>
      <c r="F70" s="33" t="s">
        <v>493</v>
      </c>
      <c r="G70" s="31"/>
      <c r="H70" s="33" t="s">
        <v>86</v>
      </c>
      <c r="I70" s="33"/>
      <c r="J70" s="33"/>
      <c r="K70" s="33"/>
      <c r="L70" s="83" t="s">
        <v>925</v>
      </c>
      <c r="M70" s="33">
        <v>0.7</v>
      </c>
      <c r="N70" s="33" t="s">
        <v>86</v>
      </c>
      <c r="O70" s="33"/>
      <c r="P70" s="33"/>
      <c r="Q70" s="33"/>
      <c r="R70" s="83" t="s">
        <v>926</v>
      </c>
      <c r="S70" s="33">
        <v>1.0</v>
      </c>
      <c r="T70" s="33" t="s">
        <v>86</v>
      </c>
      <c r="U70" s="33"/>
      <c r="V70" s="33"/>
      <c r="W70" s="33"/>
      <c r="X70" s="83" t="s">
        <v>927</v>
      </c>
      <c r="Y70" s="33">
        <v>0.7</v>
      </c>
      <c r="Z70" s="33" t="s">
        <v>86</v>
      </c>
      <c r="AA70" s="33"/>
      <c r="AB70" s="33"/>
      <c r="AC70" s="33" t="s">
        <v>928</v>
      </c>
      <c r="AD70" s="33" t="s">
        <v>929</v>
      </c>
      <c r="AE70" s="33">
        <v>2.0</v>
      </c>
      <c r="AF70" s="33" t="s">
        <v>86</v>
      </c>
      <c r="AG70" s="33"/>
      <c r="AH70" s="33"/>
      <c r="AI70" s="33" t="s">
        <v>829</v>
      </c>
      <c r="AJ70" s="83" t="s">
        <v>930</v>
      </c>
      <c r="AK70" s="33">
        <v>1.0</v>
      </c>
      <c r="AL70" s="33" t="s">
        <v>86</v>
      </c>
      <c r="AM70" s="33"/>
      <c r="AN70" s="33"/>
      <c r="AO70" s="33" t="s">
        <v>931</v>
      </c>
      <c r="AP70" s="83" t="s">
        <v>932</v>
      </c>
      <c r="AQ70" s="33">
        <v>1.0</v>
      </c>
      <c r="AR70" s="33" t="s">
        <v>86</v>
      </c>
      <c r="AS70" s="33"/>
      <c r="AT70" s="33"/>
      <c r="AU70" s="33"/>
      <c r="AV70" s="83" t="s">
        <v>933</v>
      </c>
      <c r="AW70" s="33">
        <v>1.0</v>
      </c>
      <c r="AX70" s="33" t="s">
        <v>86</v>
      </c>
      <c r="AY70" s="33"/>
      <c r="AZ70" s="33"/>
      <c r="BA70" s="33" t="s">
        <v>921</v>
      </c>
      <c r="BB70" s="83" t="s">
        <v>934</v>
      </c>
      <c r="BC70" s="33">
        <v>1.0</v>
      </c>
      <c r="BD70" s="33" t="s">
        <v>104</v>
      </c>
      <c r="BE70" s="33" t="s">
        <v>104</v>
      </c>
      <c r="BF70" s="90"/>
      <c r="BG70" s="13" t="s">
        <v>923</v>
      </c>
      <c r="BH70" s="31"/>
      <c r="BI70" s="31"/>
      <c r="BJ70" s="18"/>
      <c r="BK70" s="31"/>
      <c r="BL70" s="84" t="s">
        <v>935</v>
      </c>
    </row>
    <row r="71">
      <c r="A71" s="33">
        <v>10.0</v>
      </c>
      <c r="B71" s="33">
        <v>10.0</v>
      </c>
      <c r="C71" s="31"/>
      <c r="D71" s="33" t="s">
        <v>497</v>
      </c>
      <c r="E71" s="33" t="s">
        <v>437</v>
      </c>
      <c r="F71" s="33" t="s">
        <v>497</v>
      </c>
      <c r="G71" s="31"/>
      <c r="H71" s="33" t="s">
        <v>86</v>
      </c>
      <c r="I71" s="33"/>
      <c r="J71" s="33"/>
      <c r="K71" s="33"/>
      <c r="L71" s="39" t="s">
        <v>936</v>
      </c>
      <c r="M71" s="33">
        <v>0.7</v>
      </c>
      <c r="N71" s="33" t="s">
        <v>86</v>
      </c>
      <c r="O71" s="53"/>
      <c r="P71" s="33"/>
      <c r="Q71" s="33"/>
      <c r="R71" s="39" t="s">
        <v>937</v>
      </c>
      <c r="S71" s="33">
        <v>1.0</v>
      </c>
      <c r="T71" s="33" t="s">
        <v>86</v>
      </c>
      <c r="U71" s="33"/>
      <c r="V71" s="33"/>
      <c r="W71" s="33"/>
      <c r="X71" s="39" t="s">
        <v>938</v>
      </c>
      <c r="Y71" s="33">
        <v>0.7</v>
      </c>
      <c r="Z71" s="33" t="s">
        <v>86</v>
      </c>
      <c r="AA71" s="33"/>
      <c r="AB71" s="33"/>
      <c r="AC71" s="33" t="s">
        <v>939</v>
      </c>
      <c r="AD71" s="33" t="s">
        <v>940</v>
      </c>
      <c r="AE71" s="33">
        <v>2.0</v>
      </c>
      <c r="AF71" s="33" t="s">
        <v>86</v>
      </c>
      <c r="AG71" s="33"/>
      <c r="AH71" s="33"/>
      <c r="AI71" s="33" t="s">
        <v>829</v>
      </c>
      <c r="AJ71" s="83" t="s">
        <v>941</v>
      </c>
      <c r="AK71" s="33">
        <v>1.0</v>
      </c>
      <c r="AL71" s="33" t="s">
        <v>86</v>
      </c>
      <c r="AM71" s="33"/>
      <c r="AN71" s="33"/>
      <c r="AO71" s="33" t="s">
        <v>942</v>
      </c>
      <c r="AP71" s="83" t="s">
        <v>943</v>
      </c>
      <c r="AQ71" s="33">
        <v>1.0</v>
      </c>
      <c r="AR71" s="33" t="s">
        <v>86</v>
      </c>
      <c r="AS71" s="33"/>
      <c r="AT71" s="33"/>
      <c r="AU71" s="33"/>
      <c r="AV71" s="83" t="s">
        <v>944</v>
      </c>
      <c r="AW71" s="33">
        <v>1.0</v>
      </c>
      <c r="AX71" s="33" t="s">
        <v>86</v>
      </c>
      <c r="AY71" s="33"/>
      <c r="AZ71" s="33"/>
      <c r="BA71" s="33" t="s">
        <v>921</v>
      </c>
      <c r="BB71" s="83" t="s">
        <v>945</v>
      </c>
      <c r="BC71" s="33">
        <v>1.0</v>
      </c>
      <c r="BD71" s="33" t="s">
        <v>104</v>
      </c>
      <c r="BE71" s="33" t="s">
        <v>104</v>
      </c>
      <c r="BF71" s="31"/>
      <c r="BG71" s="13" t="s">
        <v>923</v>
      </c>
      <c r="BH71" s="31"/>
      <c r="BI71" s="31"/>
      <c r="BJ71" s="18"/>
      <c r="BK71" s="31"/>
      <c r="BL71" s="84" t="s">
        <v>946</v>
      </c>
    </row>
    <row r="72">
      <c r="A72" s="33">
        <v>11.0</v>
      </c>
      <c r="B72" s="33">
        <v>11.0</v>
      </c>
      <c r="C72" s="31"/>
      <c r="D72" s="33" t="s">
        <v>509</v>
      </c>
      <c r="E72" s="33" t="s">
        <v>437</v>
      </c>
      <c r="F72" s="33" t="s">
        <v>509</v>
      </c>
      <c r="G72" s="31"/>
      <c r="H72" s="33" t="s">
        <v>86</v>
      </c>
      <c r="I72" s="33"/>
      <c r="J72" s="33"/>
      <c r="K72" s="33"/>
      <c r="L72" s="39" t="s">
        <v>947</v>
      </c>
      <c r="M72" s="33">
        <v>0.7</v>
      </c>
      <c r="N72" s="33" t="s">
        <v>86</v>
      </c>
      <c r="O72" s="53"/>
      <c r="P72" s="33"/>
      <c r="Q72" s="33"/>
      <c r="R72" s="39" t="s">
        <v>948</v>
      </c>
      <c r="S72" s="33">
        <v>1.0</v>
      </c>
      <c r="T72" s="33" t="s">
        <v>86</v>
      </c>
      <c r="U72" s="33"/>
      <c r="V72" s="33"/>
      <c r="W72" s="33"/>
      <c r="X72" s="39" t="s">
        <v>949</v>
      </c>
      <c r="Y72" s="33">
        <v>0.7</v>
      </c>
      <c r="Z72" s="33" t="s">
        <v>86</v>
      </c>
      <c r="AA72" s="33"/>
      <c r="AB72" s="33"/>
      <c r="AC72" s="33" t="s">
        <v>950</v>
      </c>
      <c r="AD72" s="33" t="s">
        <v>951</v>
      </c>
      <c r="AE72" s="33">
        <v>2.0</v>
      </c>
      <c r="AF72" s="33" t="s">
        <v>86</v>
      </c>
      <c r="AG72" s="33"/>
      <c r="AH72" s="33"/>
      <c r="AI72" s="33" t="s">
        <v>829</v>
      </c>
      <c r="AJ72" s="83" t="s">
        <v>952</v>
      </c>
      <c r="AK72" s="33">
        <v>1.0</v>
      </c>
      <c r="AL72" s="33" t="s">
        <v>86</v>
      </c>
      <c r="AM72" s="33"/>
      <c r="AN72" s="33"/>
      <c r="AO72" s="33" t="s">
        <v>953</v>
      </c>
      <c r="AP72" s="83" t="s">
        <v>954</v>
      </c>
      <c r="AQ72" s="33">
        <v>1.0</v>
      </c>
      <c r="AR72" s="33" t="s">
        <v>86</v>
      </c>
      <c r="AS72" s="33"/>
      <c r="AT72" s="33"/>
      <c r="AU72" s="33"/>
      <c r="AV72" s="83" t="s">
        <v>955</v>
      </c>
      <c r="AW72" s="33">
        <v>1.0</v>
      </c>
      <c r="AX72" s="33" t="s">
        <v>86</v>
      </c>
      <c r="AY72" s="33"/>
      <c r="AZ72" s="33"/>
      <c r="BA72" s="33" t="s">
        <v>921</v>
      </c>
      <c r="BB72" s="83" t="s">
        <v>956</v>
      </c>
      <c r="BC72" s="33">
        <v>1.0</v>
      </c>
      <c r="BD72" s="33" t="s">
        <v>104</v>
      </c>
      <c r="BE72" s="33" t="s">
        <v>104</v>
      </c>
      <c r="BF72" s="31"/>
      <c r="BG72" s="13" t="s">
        <v>923</v>
      </c>
      <c r="BH72" s="31"/>
      <c r="BI72" s="31"/>
      <c r="BJ72" s="18"/>
      <c r="BK72" s="31"/>
      <c r="BL72" s="84" t="s">
        <v>957</v>
      </c>
    </row>
    <row r="73">
      <c r="A73" s="33">
        <v>12.0</v>
      </c>
      <c r="B73" s="33">
        <v>12.0</v>
      </c>
      <c r="C73" s="31"/>
      <c r="D73" s="33" t="s">
        <v>523</v>
      </c>
      <c r="E73" s="33" t="s">
        <v>437</v>
      </c>
      <c r="F73" s="33" t="s">
        <v>523</v>
      </c>
      <c r="G73" s="31"/>
      <c r="H73" s="33" t="s">
        <v>86</v>
      </c>
      <c r="I73" s="31"/>
      <c r="J73" s="31"/>
      <c r="K73" s="33"/>
      <c r="L73" s="83" t="s">
        <v>958</v>
      </c>
      <c r="M73" s="33">
        <v>0.7</v>
      </c>
      <c r="N73" s="33" t="s">
        <v>86</v>
      </c>
      <c r="O73" s="31"/>
      <c r="P73" s="31"/>
      <c r="Q73" s="33"/>
      <c r="R73" s="83" t="s">
        <v>959</v>
      </c>
      <c r="S73" s="33">
        <v>1.0</v>
      </c>
      <c r="T73" s="33" t="s">
        <v>86</v>
      </c>
      <c r="U73" s="31"/>
      <c r="V73" s="31"/>
      <c r="W73" s="33"/>
      <c r="X73" s="83" t="s">
        <v>960</v>
      </c>
      <c r="Y73" s="33">
        <v>0.7</v>
      </c>
      <c r="Z73" s="33" t="s">
        <v>86</v>
      </c>
      <c r="AA73" s="33"/>
      <c r="AB73" s="33"/>
      <c r="AC73" s="33" t="s">
        <v>961</v>
      </c>
      <c r="AD73" s="33" t="s">
        <v>962</v>
      </c>
      <c r="AE73" s="33">
        <v>0.5</v>
      </c>
      <c r="AF73" s="33" t="s">
        <v>86</v>
      </c>
      <c r="AG73" s="31"/>
      <c r="AH73" s="31"/>
      <c r="AI73" s="33" t="s">
        <v>829</v>
      </c>
      <c r="AJ73" s="83" t="s">
        <v>963</v>
      </c>
      <c r="AK73" s="33">
        <v>1.0</v>
      </c>
      <c r="AL73" s="33" t="s">
        <v>86</v>
      </c>
      <c r="AM73" s="31"/>
      <c r="AN73" s="31"/>
      <c r="AO73" s="33" t="s">
        <v>964</v>
      </c>
      <c r="AP73" s="83" t="s">
        <v>965</v>
      </c>
      <c r="AQ73" s="33">
        <v>1.0</v>
      </c>
      <c r="AR73" s="33" t="s">
        <v>86</v>
      </c>
      <c r="AS73" s="31"/>
      <c r="AT73" s="31"/>
      <c r="AU73" s="31"/>
      <c r="AV73" s="83" t="s">
        <v>966</v>
      </c>
      <c r="AW73" s="33">
        <v>1.0</v>
      </c>
      <c r="AX73" s="33" t="s">
        <v>86</v>
      </c>
      <c r="AY73" s="33"/>
      <c r="AZ73" s="33"/>
      <c r="BA73" s="33" t="s">
        <v>967</v>
      </c>
      <c r="BB73" s="83" t="s">
        <v>968</v>
      </c>
      <c r="BC73" s="33">
        <v>0.5</v>
      </c>
      <c r="BD73" s="33" t="s">
        <v>104</v>
      </c>
      <c r="BE73" s="33" t="s">
        <v>104</v>
      </c>
      <c r="BF73" s="31"/>
      <c r="BG73" s="13" t="s">
        <v>923</v>
      </c>
      <c r="BH73" s="31"/>
      <c r="BI73" s="31"/>
      <c r="BJ73" s="18"/>
      <c r="BK73" s="31"/>
      <c r="BL73" s="84" t="s">
        <v>969</v>
      </c>
    </row>
    <row r="74">
      <c r="A74" s="33">
        <v>13.0</v>
      </c>
      <c r="B74" s="33">
        <v>13.0</v>
      </c>
      <c r="C74" s="31"/>
      <c r="D74" s="33" t="s">
        <v>534</v>
      </c>
      <c r="E74" s="33" t="s">
        <v>437</v>
      </c>
      <c r="F74" s="33" t="s">
        <v>534</v>
      </c>
      <c r="G74" s="31"/>
      <c r="H74" s="33" t="s">
        <v>86</v>
      </c>
      <c r="I74" s="33"/>
      <c r="J74" s="33"/>
      <c r="K74" s="33"/>
      <c r="L74" s="39" t="s">
        <v>970</v>
      </c>
      <c r="M74" s="33">
        <v>0.7</v>
      </c>
      <c r="N74" s="33" t="s">
        <v>83</v>
      </c>
      <c r="O74" s="33">
        <v>133.09</v>
      </c>
      <c r="P74" s="33" t="s">
        <v>84</v>
      </c>
      <c r="Q74" s="33" t="s">
        <v>971</v>
      </c>
      <c r="R74" s="39" t="s">
        <v>972</v>
      </c>
      <c r="S74" s="33">
        <v>1.0</v>
      </c>
      <c r="T74" s="33" t="s">
        <v>233</v>
      </c>
      <c r="U74" s="33"/>
      <c r="V74" s="33"/>
      <c r="W74" s="62" t="s">
        <v>973</v>
      </c>
      <c r="X74" s="39" t="s">
        <v>974</v>
      </c>
      <c r="Y74" s="33">
        <v>0.7</v>
      </c>
      <c r="Z74" s="33" t="s">
        <v>86</v>
      </c>
      <c r="AA74" s="33"/>
      <c r="AB74" s="33"/>
      <c r="AC74" s="33" t="s">
        <v>975</v>
      </c>
      <c r="AD74" s="33" t="s">
        <v>976</v>
      </c>
      <c r="AE74" s="33">
        <v>0.5</v>
      </c>
      <c r="AF74" s="33" t="s">
        <v>86</v>
      </c>
      <c r="AG74" s="33"/>
      <c r="AH74" s="33"/>
      <c r="AI74" s="33" t="s">
        <v>829</v>
      </c>
      <c r="AJ74" s="83" t="s">
        <v>977</v>
      </c>
      <c r="AK74" s="33">
        <v>1.0</v>
      </c>
      <c r="AL74" s="33" t="s">
        <v>86</v>
      </c>
      <c r="AM74" s="33"/>
      <c r="AN74" s="33"/>
      <c r="AO74" s="33" t="s">
        <v>978</v>
      </c>
      <c r="AP74" s="83" t="s">
        <v>979</v>
      </c>
      <c r="AQ74" s="33">
        <v>1.0</v>
      </c>
      <c r="AR74" s="33" t="s">
        <v>367</v>
      </c>
      <c r="AS74" s="33"/>
      <c r="AT74" s="33"/>
      <c r="AU74" s="33"/>
      <c r="AV74" s="83" t="s">
        <v>980</v>
      </c>
      <c r="AW74" s="33">
        <v>1.0</v>
      </c>
      <c r="AX74" s="33" t="s">
        <v>86</v>
      </c>
      <c r="AY74" s="33"/>
      <c r="AZ74" s="33"/>
      <c r="BA74" s="33" t="s">
        <v>981</v>
      </c>
      <c r="BB74" s="83" t="s">
        <v>982</v>
      </c>
      <c r="BC74" s="33">
        <v>0.5</v>
      </c>
      <c r="BD74" s="33" t="s">
        <v>160</v>
      </c>
      <c r="BE74" s="33" t="s">
        <v>104</v>
      </c>
      <c r="BF74" s="31"/>
      <c r="BG74" s="13" t="s">
        <v>923</v>
      </c>
      <c r="BH74" s="31"/>
      <c r="BI74" s="31"/>
      <c r="BJ74" s="18"/>
      <c r="BK74" s="31"/>
      <c r="BL74" s="84" t="s">
        <v>983</v>
      </c>
    </row>
    <row r="75">
      <c r="A75" s="33">
        <v>14.0</v>
      </c>
      <c r="B75" s="33">
        <v>14.0</v>
      </c>
      <c r="C75" s="31"/>
      <c r="D75" s="33" t="s">
        <v>545</v>
      </c>
      <c r="E75" s="33" t="s">
        <v>437</v>
      </c>
      <c r="F75" s="33" t="s">
        <v>545</v>
      </c>
      <c r="G75" s="31"/>
      <c r="H75" s="33" t="s">
        <v>86</v>
      </c>
      <c r="I75" s="33"/>
      <c r="J75" s="33"/>
      <c r="K75" s="33"/>
      <c r="L75" s="39" t="s">
        <v>984</v>
      </c>
      <c r="M75" s="33">
        <v>0.7</v>
      </c>
      <c r="N75" s="33" t="s">
        <v>86</v>
      </c>
      <c r="O75" s="33"/>
      <c r="P75" s="33"/>
      <c r="Q75" s="33"/>
      <c r="R75" s="39" t="s">
        <v>985</v>
      </c>
      <c r="S75" s="33">
        <v>1.0</v>
      </c>
      <c r="T75" s="33" t="s">
        <v>86</v>
      </c>
      <c r="U75" s="31"/>
      <c r="V75" s="31"/>
      <c r="W75" s="31"/>
      <c r="X75" s="39" t="s">
        <v>986</v>
      </c>
      <c r="Y75" s="33">
        <v>0.7</v>
      </c>
      <c r="Z75" s="33" t="s">
        <v>86</v>
      </c>
      <c r="AA75" s="33"/>
      <c r="AB75" s="33"/>
      <c r="AC75" s="33" t="s">
        <v>987</v>
      </c>
      <c r="AD75" s="33" t="s">
        <v>988</v>
      </c>
      <c r="AE75" s="33">
        <v>2.0</v>
      </c>
      <c r="AF75" s="33" t="s">
        <v>83</v>
      </c>
      <c r="AG75" s="33">
        <v>893.94</v>
      </c>
      <c r="AH75" s="33" t="s">
        <v>989</v>
      </c>
      <c r="AI75" s="33" t="s">
        <v>990</v>
      </c>
      <c r="AJ75" s="33" t="s">
        <v>991</v>
      </c>
      <c r="AK75" s="33">
        <v>4.0</v>
      </c>
      <c r="AL75" s="33" t="s">
        <v>83</v>
      </c>
      <c r="AM75" s="33">
        <v>956.25</v>
      </c>
      <c r="AN75" s="33" t="s">
        <v>992</v>
      </c>
      <c r="AO75" s="33" t="s">
        <v>993</v>
      </c>
      <c r="AP75" s="33" t="s">
        <v>994</v>
      </c>
      <c r="AQ75" s="33">
        <v>5.0</v>
      </c>
      <c r="AR75" s="33" t="s">
        <v>233</v>
      </c>
      <c r="AS75" s="33"/>
      <c r="AT75" s="33"/>
      <c r="AU75" s="33" t="s">
        <v>995</v>
      </c>
      <c r="AV75" s="83" t="s">
        <v>996</v>
      </c>
      <c r="AW75" s="33">
        <v>1.0</v>
      </c>
      <c r="AX75" s="33" t="s">
        <v>86</v>
      </c>
      <c r="AY75" s="33"/>
      <c r="AZ75" s="33"/>
      <c r="BA75" s="33" t="s">
        <v>997</v>
      </c>
      <c r="BB75" s="33" t="s">
        <v>998</v>
      </c>
      <c r="BC75" s="33">
        <v>0.5</v>
      </c>
      <c r="BD75" s="33" t="s">
        <v>160</v>
      </c>
      <c r="BE75" s="33" t="s">
        <v>160</v>
      </c>
      <c r="BF75" s="31"/>
      <c r="BG75" s="13" t="s">
        <v>923</v>
      </c>
      <c r="BH75" s="31"/>
      <c r="BI75" s="31"/>
      <c r="BJ75" s="18"/>
      <c r="BK75" s="31"/>
      <c r="BL75" s="84" t="s">
        <v>999</v>
      </c>
    </row>
    <row r="76">
      <c r="A76" s="33">
        <v>15.0</v>
      </c>
      <c r="B76" s="33">
        <v>15.0</v>
      </c>
      <c r="C76" s="31"/>
      <c r="D76" s="33" t="s">
        <v>497</v>
      </c>
      <c r="E76" s="33" t="s">
        <v>437</v>
      </c>
      <c r="F76" s="33" t="s">
        <v>497</v>
      </c>
      <c r="G76" s="31"/>
      <c r="H76" s="33" t="s">
        <v>86</v>
      </c>
      <c r="I76" s="33"/>
      <c r="J76" s="33"/>
      <c r="K76" s="33"/>
      <c r="L76" s="39" t="s">
        <v>936</v>
      </c>
      <c r="M76" s="33">
        <v>0.7</v>
      </c>
      <c r="N76" s="33" t="s">
        <v>86</v>
      </c>
      <c r="O76" s="31"/>
      <c r="P76" s="31"/>
      <c r="Q76" s="31"/>
      <c r="R76" s="83" t="s">
        <v>937</v>
      </c>
      <c r="S76" s="33">
        <v>1.0</v>
      </c>
      <c r="T76" s="33" t="s">
        <v>86</v>
      </c>
      <c r="U76" s="31"/>
      <c r="V76" s="31"/>
      <c r="W76" s="31"/>
      <c r="X76" s="39" t="s">
        <v>938</v>
      </c>
      <c r="Y76" s="33">
        <v>0.7</v>
      </c>
      <c r="Z76" s="33" t="s">
        <v>86</v>
      </c>
      <c r="AA76" s="33"/>
      <c r="AB76" s="33"/>
      <c r="AC76" s="33" t="s">
        <v>939</v>
      </c>
      <c r="AD76" s="33" t="s">
        <v>940</v>
      </c>
      <c r="AE76" s="33">
        <v>0.0</v>
      </c>
      <c r="AF76" s="33" t="s">
        <v>86</v>
      </c>
      <c r="AG76" s="33"/>
      <c r="AH76" s="33"/>
      <c r="AI76" s="33" t="s">
        <v>829</v>
      </c>
      <c r="AJ76" s="83" t="s">
        <v>941</v>
      </c>
      <c r="AK76" s="33">
        <v>1.0</v>
      </c>
      <c r="AL76" s="33" t="s">
        <v>86</v>
      </c>
      <c r="AM76" s="33"/>
      <c r="AN76" s="33"/>
      <c r="AO76" s="33" t="s">
        <v>942</v>
      </c>
      <c r="AP76" s="83" t="s">
        <v>943</v>
      </c>
      <c r="AQ76" s="33">
        <v>1.0</v>
      </c>
      <c r="AR76" s="33" t="s">
        <v>86</v>
      </c>
      <c r="AS76" s="33"/>
      <c r="AT76" s="33"/>
      <c r="AU76" s="33"/>
      <c r="AV76" s="83" t="s">
        <v>944</v>
      </c>
      <c r="AW76" s="33">
        <v>1.0</v>
      </c>
      <c r="AX76" s="33" t="s">
        <v>86</v>
      </c>
      <c r="AY76" s="33"/>
      <c r="AZ76" s="33"/>
      <c r="BA76" s="33" t="s">
        <v>1000</v>
      </c>
      <c r="BB76" s="83" t="s">
        <v>945</v>
      </c>
      <c r="BC76" s="33">
        <v>0.0</v>
      </c>
      <c r="BD76" s="33" t="s">
        <v>104</v>
      </c>
      <c r="BE76" s="33" t="s">
        <v>104</v>
      </c>
      <c r="BF76" s="31"/>
      <c r="BG76" s="13" t="s">
        <v>923</v>
      </c>
      <c r="BH76" s="31"/>
      <c r="BI76" s="31"/>
      <c r="BJ76" s="18"/>
      <c r="BK76" s="31"/>
      <c r="BL76" s="84" t="s">
        <v>1001</v>
      </c>
    </row>
    <row r="77">
      <c r="A77" s="33">
        <v>16.0</v>
      </c>
      <c r="B77" s="33">
        <v>16.0</v>
      </c>
      <c r="C77" s="31"/>
      <c r="D77" s="33" t="s">
        <v>557</v>
      </c>
      <c r="E77" s="33" t="s">
        <v>437</v>
      </c>
      <c r="F77" s="33" t="s">
        <v>557</v>
      </c>
      <c r="G77" s="31"/>
      <c r="H77" s="33" t="s">
        <v>86</v>
      </c>
      <c r="I77" s="33"/>
      <c r="J77" s="33"/>
      <c r="K77" s="33"/>
      <c r="L77" s="40" t="s">
        <v>1002</v>
      </c>
      <c r="M77" s="33">
        <v>0.7</v>
      </c>
      <c r="N77" s="33" t="s">
        <v>86</v>
      </c>
      <c r="O77" s="31"/>
      <c r="P77" s="31"/>
      <c r="Q77" s="33"/>
      <c r="R77" s="83" t="s">
        <v>1003</v>
      </c>
      <c r="S77" s="33">
        <v>1.0</v>
      </c>
      <c r="T77" s="33" t="s">
        <v>86</v>
      </c>
      <c r="U77" s="33"/>
      <c r="V77" s="33"/>
      <c r="W77" s="33"/>
      <c r="X77" s="39" t="s">
        <v>1004</v>
      </c>
      <c r="Y77" s="33">
        <v>0.7</v>
      </c>
      <c r="Z77" s="33" t="s">
        <v>86</v>
      </c>
      <c r="AA77" s="33"/>
      <c r="AB77" s="33"/>
      <c r="AC77" s="33" t="s">
        <v>1005</v>
      </c>
      <c r="AD77" s="33" t="s">
        <v>1006</v>
      </c>
      <c r="AE77" s="33">
        <v>0.5</v>
      </c>
      <c r="AF77" s="33" t="s">
        <v>86</v>
      </c>
      <c r="AG77" s="31"/>
      <c r="AH77" s="31"/>
      <c r="AI77" s="33" t="s">
        <v>829</v>
      </c>
      <c r="AJ77" s="83" t="s">
        <v>1007</v>
      </c>
      <c r="AK77" s="33">
        <v>1.0</v>
      </c>
      <c r="AL77" s="33" t="s">
        <v>86</v>
      </c>
      <c r="AM77" s="31"/>
      <c r="AN77" s="31"/>
      <c r="AO77" s="33" t="s">
        <v>1008</v>
      </c>
      <c r="AP77" s="83" t="s">
        <v>1009</v>
      </c>
      <c r="AQ77" s="33">
        <v>1.0</v>
      </c>
      <c r="AR77" s="33" t="s">
        <v>86</v>
      </c>
      <c r="AS77" s="31"/>
      <c r="AT77" s="31"/>
      <c r="AU77" s="31"/>
      <c r="AV77" s="83" t="s">
        <v>1010</v>
      </c>
      <c r="AW77" s="33">
        <v>1.0</v>
      </c>
      <c r="AX77" s="33" t="s">
        <v>86</v>
      </c>
      <c r="AY77" s="33"/>
      <c r="AZ77" s="33"/>
      <c r="BA77" s="33" t="s">
        <v>1011</v>
      </c>
      <c r="BB77" s="83" t="s">
        <v>1012</v>
      </c>
      <c r="BC77" s="33">
        <v>0.5</v>
      </c>
      <c r="BD77" s="33" t="s">
        <v>104</v>
      </c>
      <c r="BE77" s="33" t="s">
        <v>104</v>
      </c>
      <c r="BF77" s="31"/>
      <c r="BG77" s="13" t="s">
        <v>923</v>
      </c>
      <c r="BH77" s="31"/>
      <c r="BI77" s="31"/>
      <c r="BJ77" s="18"/>
      <c r="BK77" s="31"/>
      <c r="BL77" s="84" t="s">
        <v>1013</v>
      </c>
    </row>
    <row r="78">
      <c r="A78" s="33">
        <v>17.0</v>
      </c>
      <c r="B78" s="33">
        <v>17.0</v>
      </c>
      <c r="C78" s="31"/>
      <c r="D78" s="33" t="s">
        <v>558</v>
      </c>
      <c r="E78" s="33" t="s">
        <v>437</v>
      </c>
      <c r="F78" s="33" t="s">
        <v>558</v>
      </c>
      <c r="G78" s="31"/>
      <c r="H78" s="33" t="s">
        <v>233</v>
      </c>
      <c r="I78" s="53"/>
      <c r="J78" s="33" t="s">
        <v>838</v>
      </c>
      <c r="K78" s="33" t="s">
        <v>1014</v>
      </c>
      <c r="L78" s="40" t="s">
        <v>1015</v>
      </c>
      <c r="M78" s="33">
        <v>0.7</v>
      </c>
      <c r="N78" s="33" t="s">
        <v>83</v>
      </c>
      <c r="O78" s="33">
        <v>11.5</v>
      </c>
      <c r="P78" s="33" t="s">
        <v>84</v>
      </c>
      <c r="Q78" s="33" t="s">
        <v>1016</v>
      </c>
      <c r="R78" s="39" t="s">
        <v>1017</v>
      </c>
      <c r="S78" s="33">
        <v>1.0</v>
      </c>
      <c r="T78" s="33" t="s">
        <v>83</v>
      </c>
      <c r="U78" s="33">
        <v>20.89</v>
      </c>
      <c r="V78" s="33" t="s">
        <v>843</v>
      </c>
      <c r="W78" s="33" t="s">
        <v>1018</v>
      </c>
      <c r="X78" s="39" t="s">
        <v>1019</v>
      </c>
      <c r="Y78" s="33">
        <v>0.7</v>
      </c>
      <c r="Z78" s="33" t="s">
        <v>83</v>
      </c>
      <c r="AA78" s="33">
        <v>12.29</v>
      </c>
      <c r="AB78" s="33" t="s">
        <v>472</v>
      </c>
      <c r="AC78" s="33" t="s">
        <v>827</v>
      </c>
      <c r="AD78" s="33" t="s">
        <v>1020</v>
      </c>
      <c r="AE78" s="33">
        <v>1.0</v>
      </c>
      <c r="AF78" s="33" t="s">
        <v>83</v>
      </c>
      <c r="AG78" s="33">
        <v>12.39</v>
      </c>
      <c r="AH78" s="33" t="s">
        <v>1021</v>
      </c>
      <c r="AI78" s="33" t="s">
        <v>1022</v>
      </c>
      <c r="AJ78" s="33" t="s">
        <v>1023</v>
      </c>
      <c r="AK78" s="33">
        <v>3.0</v>
      </c>
      <c r="AL78" s="33" t="s">
        <v>83</v>
      </c>
      <c r="AM78" s="33">
        <v>12.25</v>
      </c>
      <c r="AN78" s="33" t="s">
        <v>1024</v>
      </c>
      <c r="AO78" s="33" t="s">
        <v>1025</v>
      </c>
      <c r="AP78" s="33" t="s">
        <v>1026</v>
      </c>
      <c r="AQ78" s="33">
        <v>3.0</v>
      </c>
      <c r="AR78" s="33" t="s">
        <v>367</v>
      </c>
      <c r="AS78" s="33"/>
      <c r="AT78" s="33"/>
      <c r="AU78" s="33"/>
      <c r="AV78" s="83" t="s">
        <v>1027</v>
      </c>
      <c r="AW78" s="33">
        <v>1.0</v>
      </c>
      <c r="AX78" s="33" t="s">
        <v>233</v>
      </c>
      <c r="AY78" s="33"/>
      <c r="AZ78" s="33"/>
      <c r="BA78" s="33" t="s">
        <v>1028</v>
      </c>
      <c r="BB78" s="33" t="s">
        <v>1029</v>
      </c>
      <c r="BC78" s="33">
        <v>0.5</v>
      </c>
      <c r="BD78" s="33" t="s">
        <v>160</v>
      </c>
      <c r="BE78" s="33" t="s">
        <v>160</v>
      </c>
      <c r="BF78" s="31"/>
      <c r="BG78" s="13" t="s">
        <v>923</v>
      </c>
      <c r="BH78" s="31"/>
      <c r="BI78" s="31"/>
      <c r="BJ78" s="18"/>
      <c r="BK78" s="31"/>
      <c r="BL78" s="84" t="s">
        <v>1030</v>
      </c>
    </row>
    <row r="79">
      <c r="A79" s="4" t="s">
        <v>1031</v>
      </c>
      <c r="B79" s="66"/>
      <c r="C79" s="67"/>
      <c r="D79" s="66"/>
      <c r="E79" s="66"/>
      <c r="F79" s="66"/>
      <c r="G79" s="68"/>
      <c r="H79" s="69"/>
      <c r="I79" s="69"/>
      <c r="J79" s="69"/>
      <c r="K79" s="69"/>
      <c r="L79" s="70"/>
      <c r="M79" s="69"/>
      <c r="N79" s="69"/>
      <c r="O79" s="69"/>
      <c r="P79" s="69"/>
      <c r="Q79" s="69"/>
      <c r="R79" s="70"/>
      <c r="S79" s="69"/>
      <c r="T79" s="69"/>
      <c r="U79" s="69"/>
      <c r="V79" s="69"/>
      <c r="W79" s="69"/>
      <c r="X79" s="70"/>
      <c r="Y79" s="69"/>
      <c r="Z79" s="69"/>
      <c r="AA79" s="69"/>
      <c r="AB79" s="69"/>
      <c r="AC79" s="69"/>
      <c r="AD79" s="70"/>
      <c r="AE79" s="69"/>
      <c r="AF79" s="69"/>
      <c r="AG79" s="69"/>
      <c r="AH79" s="69"/>
      <c r="AI79" s="69"/>
      <c r="AJ79" s="70"/>
      <c r="AK79" s="69"/>
      <c r="AL79" s="69"/>
      <c r="AM79" s="69"/>
      <c r="AN79" s="69"/>
      <c r="AO79" s="69"/>
      <c r="AP79" s="70"/>
      <c r="AQ79" s="69"/>
      <c r="AR79" s="69"/>
      <c r="AS79" s="69"/>
      <c r="AT79" s="69"/>
      <c r="AU79" s="69"/>
      <c r="AV79" s="70"/>
      <c r="AW79" s="69"/>
      <c r="AX79" s="69"/>
      <c r="AY79" s="69"/>
      <c r="AZ79" s="69"/>
      <c r="BA79" s="69"/>
      <c r="BB79" s="70"/>
      <c r="BC79" s="69"/>
      <c r="BD79" s="69"/>
      <c r="BE79" s="69"/>
      <c r="BF79" s="69"/>
      <c r="BG79" s="69"/>
      <c r="BH79" s="69"/>
      <c r="BI79" s="69"/>
      <c r="BJ79" s="69"/>
      <c r="BK79" s="69"/>
      <c r="BL79" s="69"/>
    </row>
    <row r="80">
      <c r="A80" s="71" t="s">
        <v>16</v>
      </c>
      <c r="B80" s="71" t="s">
        <v>17</v>
      </c>
      <c r="C80" s="71" t="s">
        <v>18</v>
      </c>
      <c r="D80" s="71" t="s">
        <v>19</v>
      </c>
      <c r="E80" s="72" t="s">
        <v>561</v>
      </c>
      <c r="F80" s="71" t="s">
        <v>20</v>
      </c>
      <c r="G80" s="71" t="s">
        <v>21</v>
      </c>
      <c r="H80" s="72" t="s">
        <v>58</v>
      </c>
      <c r="I80" s="72" t="s">
        <v>59</v>
      </c>
      <c r="J80" s="72" t="s">
        <v>60</v>
      </c>
      <c r="K80" s="72" t="s">
        <v>62</v>
      </c>
      <c r="L80" s="72" t="s">
        <v>64</v>
      </c>
      <c r="M80" s="72" t="s">
        <v>68</v>
      </c>
      <c r="N80" s="78"/>
      <c r="O80" s="78"/>
      <c r="P80" s="78"/>
      <c r="Q80" s="78"/>
      <c r="R80" s="91"/>
      <c r="S80" s="78"/>
      <c r="T80" s="78"/>
      <c r="U80" s="78"/>
      <c r="V80" s="78"/>
      <c r="W80" s="78"/>
      <c r="X80" s="91"/>
      <c r="Y80" s="78"/>
      <c r="Z80" s="78"/>
      <c r="AA80" s="78"/>
      <c r="AB80" s="78"/>
      <c r="AC80" s="78"/>
      <c r="AD80" s="91"/>
      <c r="AE80" s="78"/>
      <c r="AF80" s="78"/>
      <c r="AG80" s="78"/>
      <c r="AH80" s="78"/>
      <c r="AI80" s="78"/>
      <c r="AJ80" s="91"/>
      <c r="AK80" s="78"/>
      <c r="AL80" s="78"/>
      <c r="AM80" s="78"/>
      <c r="AN80" s="78"/>
      <c r="AO80" s="78"/>
      <c r="AP80" s="91"/>
      <c r="AQ80" s="78"/>
      <c r="AR80" s="78"/>
      <c r="AS80" s="78"/>
      <c r="AT80" s="78"/>
      <c r="AU80" s="78"/>
      <c r="AV80" s="91"/>
      <c r="AW80" s="78"/>
      <c r="AX80" s="78"/>
      <c r="AY80" s="78"/>
      <c r="AZ80" s="78"/>
      <c r="BA80" s="78"/>
      <c r="BB80" s="91"/>
      <c r="BC80" s="78"/>
      <c r="BD80" s="78"/>
      <c r="BE80" s="78"/>
      <c r="BF80" s="78"/>
      <c r="BG80" s="78"/>
      <c r="BH80" s="78"/>
      <c r="BI80" s="78"/>
      <c r="BJ80" s="78"/>
      <c r="BK80" s="78"/>
      <c r="BL80" s="78"/>
    </row>
    <row r="81">
      <c r="A81" s="31">
        <v>1.0</v>
      </c>
      <c r="B81" s="31">
        <v>1.0</v>
      </c>
      <c r="C81" s="31" t="s">
        <v>80</v>
      </c>
      <c r="D81" s="31" t="s">
        <v>81</v>
      </c>
      <c r="E81" s="33" t="s">
        <v>1032</v>
      </c>
      <c r="F81" s="33" t="s">
        <v>1033</v>
      </c>
      <c r="G81" s="31"/>
      <c r="H81" s="33" t="s">
        <v>233</v>
      </c>
      <c r="I81" s="33">
        <v>4093.18</v>
      </c>
      <c r="J81" s="33" t="s">
        <v>84</v>
      </c>
      <c r="K81" s="33" t="s">
        <v>1034</v>
      </c>
      <c r="L81" s="40" t="s">
        <v>1035</v>
      </c>
      <c r="M81" s="33"/>
      <c r="R81" s="76"/>
      <c r="X81" s="76"/>
      <c r="AD81" s="76"/>
      <c r="AJ81" s="76"/>
      <c r="AP81" s="76"/>
      <c r="AV81" s="76"/>
      <c r="BB81" s="76"/>
      <c r="BC81" s="38"/>
      <c r="BD81" s="38"/>
      <c r="BE81" s="38"/>
      <c r="BF81" s="38"/>
      <c r="BG81" s="38"/>
      <c r="BH81" s="38"/>
      <c r="BI81" s="38"/>
      <c r="BJ81" s="38"/>
      <c r="BK81" s="38"/>
      <c r="BL81" s="38"/>
    </row>
    <row r="82">
      <c r="A82" s="31">
        <v>2.0</v>
      </c>
      <c r="B82" s="31"/>
      <c r="C82" s="31" t="s">
        <v>80</v>
      </c>
      <c r="D82" s="31" t="s">
        <v>89</v>
      </c>
      <c r="E82" s="33" t="s">
        <v>1036</v>
      </c>
      <c r="F82" s="33" t="s">
        <v>90</v>
      </c>
      <c r="G82" s="31"/>
      <c r="H82" s="33" t="s">
        <v>83</v>
      </c>
      <c r="I82" s="33">
        <v>21.85</v>
      </c>
      <c r="J82" s="33" t="s">
        <v>84</v>
      </c>
      <c r="K82" s="33" t="s">
        <v>1037</v>
      </c>
      <c r="L82" s="40" t="s">
        <v>1038</v>
      </c>
      <c r="M82" s="33"/>
      <c r="R82" s="76"/>
      <c r="X82" s="76"/>
      <c r="AD82" s="76"/>
      <c r="AJ82" s="76"/>
      <c r="AP82" s="76"/>
      <c r="AV82" s="76"/>
      <c r="BB82" s="76"/>
      <c r="BC82" s="38"/>
      <c r="BD82" s="38"/>
      <c r="BE82" s="38"/>
      <c r="BF82" s="38"/>
      <c r="BG82" s="38"/>
      <c r="BH82" s="38"/>
      <c r="BI82" s="38"/>
      <c r="BJ82" s="38"/>
      <c r="BK82" s="38"/>
      <c r="BL82" s="38"/>
    </row>
    <row r="83">
      <c r="A83" s="31">
        <v>3.0</v>
      </c>
      <c r="B83" s="31"/>
      <c r="C83" s="31" t="s">
        <v>80</v>
      </c>
      <c r="D83" s="31" t="s">
        <v>97</v>
      </c>
      <c r="E83" s="33" t="s">
        <v>1039</v>
      </c>
      <c r="F83" s="33" t="s">
        <v>99</v>
      </c>
      <c r="G83" s="31"/>
      <c r="H83" s="33" t="s">
        <v>233</v>
      </c>
      <c r="I83" s="33">
        <v>9.42</v>
      </c>
      <c r="J83" s="33" t="s">
        <v>84</v>
      </c>
      <c r="K83" s="33" t="s">
        <v>1034</v>
      </c>
      <c r="L83" s="83" t="s">
        <v>1040</v>
      </c>
      <c r="M83" s="33"/>
      <c r="R83" s="76"/>
      <c r="X83" s="76"/>
      <c r="AD83" s="76"/>
      <c r="AJ83" s="76"/>
      <c r="AP83" s="76"/>
      <c r="AV83" s="76"/>
      <c r="BB83" s="76"/>
      <c r="BC83" s="38"/>
      <c r="BD83" s="38"/>
      <c r="BE83" s="38"/>
      <c r="BF83" s="38"/>
      <c r="BG83" s="38"/>
      <c r="BH83" s="38"/>
      <c r="BI83" s="38"/>
      <c r="BJ83" s="38"/>
      <c r="BK83" s="38"/>
      <c r="BL83" s="38"/>
    </row>
    <row r="84">
      <c r="A84" s="31">
        <v>4.0</v>
      </c>
      <c r="B84" s="31"/>
      <c r="C84" s="31" t="s">
        <v>80</v>
      </c>
      <c r="D84" s="31" t="s">
        <v>97</v>
      </c>
      <c r="E84" s="33" t="s">
        <v>1041</v>
      </c>
      <c r="F84" s="33" t="s">
        <v>1042</v>
      </c>
      <c r="G84" s="33"/>
      <c r="H84" s="33" t="s">
        <v>83</v>
      </c>
      <c r="I84" s="33">
        <v>18.96</v>
      </c>
      <c r="J84" s="33" t="s">
        <v>84</v>
      </c>
      <c r="K84" s="33" t="s">
        <v>1043</v>
      </c>
      <c r="L84" s="40" t="s">
        <v>1044</v>
      </c>
      <c r="M84" s="33"/>
      <c r="R84" s="76"/>
      <c r="X84" s="76"/>
      <c r="AD84" s="76"/>
      <c r="AJ84" s="76"/>
      <c r="AP84" s="76"/>
      <c r="AV84" s="76"/>
      <c r="BB84" s="76"/>
      <c r="BC84" s="38"/>
      <c r="BD84" s="38"/>
      <c r="BE84" s="38"/>
      <c r="BF84" s="38"/>
      <c r="BG84" s="38"/>
      <c r="BH84" s="38"/>
      <c r="BI84" s="38"/>
      <c r="BJ84" s="38"/>
      <c r="BK84" s="38"/>
      <c r="BL84" s="38"/>
    </row>
    <row r="85">
      <c r="A85" s="31">
        <v>5.0</v>
      </c>
      <c r="B85" s="31"/>
      <c r="C85" s="31" t="s">
        <v>80</v>
      </c>
      <c r="D85" s="31" t="s">
        <v>97</v>
      </c>
      <c r="E85" s="33" t="s">
        <v>1045</v>
      </c>
      <c r="F85" s="33" t="s">
        <v>103</v>
      </c>
      <c r="G85" s="33"/>
      <c r="H85" s="33" t="s">
        <v>233</v>
      </c>
      <c r="I85" s="33">
        <v>35.14</v>
      </c>
      <c r="J85" s="33" t="s">
        <v>84</v>
      </c>
      <c r="K85" s="33" t="s">
        <v>1034</v>
      </c>
      <c r="L85" s="39" t="s">
        <v>1046</v>
      </c>
      <c r="M85" s="33"/>
      <c r="R85" s="76"/>
      <c r="X85" s="76"/>
      <c r="AD85" s="76"/>
      <c r="AJ85" s="76"/>
      <c r="AP85" s="76"/>
      <c r="AV85" s="76"/>
      <c r="BB85" s="76"/>
      <c r="BC85" s="38"/>
      <c r="BD85" s="38"/>
      <c r="BE85" s="38"/>
      <c r="BF85" s="38"/>
      <c r="BG85" s="38"/>
      <c r="BH85" s="38"/>
      <c r="BI85" s="38"/>
      <c r="BJ85" s="38"/>
      <c r="BK85" s="38"/>
      <c r="BL85" s="38"/>
    </row>
    <row r="86">
      <c r="A86" s="31">
        <v>6.0</v>
      </c>
      <c r="B86" s="31"/>
      <c r="C86" s="31" t="s">
        <v>80</v>
      </c>
      <c r="D86" s="31" t="s">
        <v>105</v>
      </c>
      <c r="E86" s="33" t="s">
        <v>1047</v>
      </c>
      <c r="F86" s="33" t="s">
        <v>1048</v>
      </c>
      <c r="G86" s="31"/>
      <c r="H86" s="33" t="s">
        <v>83</v>
      </c>
      <c r="I86" s="53">
        <v>9.69</v>
      </c>
      <c r="J86" s="33" t="s">
        <v>84</v>
      </c>
      <c r="K86" s="33" t="s">
        <v>1049</v>
      </c>
      <c r="L86" s="83" t="s">
        <v>1050</v>
      </c>
      <c r="M86" s="33"/>
      <c r="R86" s="76"/>
      <c r="X86" s="76"/>
      <c r="AD86" s="76"/>
      <c r="AJ86" s="76"/>
      <c r="AP86" s="76"/>
      <c r="AV86" s="76"/>
      <c r="BB86" s="76"/>
      <c r="BC86" s="38"/>
      <c r="BD86" s="38"/>
      <c r="BE86" s="38"/>
      <c r="BF86" s="38"/>
      <c r="BG86" s="38"/>
      <c r="BH86" s="38"/>
      <c r="BI86" s="38"/>
      <c r="BJ86" s="38"/>
      <c r="BK86" s="38"/>
      <c r="BL86" s="38"/>
    </row>
    <row r="87">
      <c r="L87" s="76"/>
      <c r="R87" s="76"/>
      <c r="X87" s="76"/>
      <c r="AD87" s="76"/>
      <c r="AJ87" s="76"/>
      <c r="AP87" s="76"/>
      <c r="AV87" s="76"/>
      <c r="BB87" s="76"/>
      <c r="BC87" s="38"/>
      <c r="BD87" s="38"/>
      <c r="BE87" s="38"/>
      <c r="BF87" s="38"/>
      <c r="BG87" s="38"/>
      <c r="BH87" s="38"/>
      <c r="BI87" s="38"/>
      <c r="BJ87" s="38"/>
      <c r="BK87" s="38"/>
      <c r="BL87" s="38"/>
    </row>
    <row r="88">
      <c r="L88" s="76"/>
      <c r="R88" s="76"/>
      <c r="X88" s="76"/>
      <c r="AD88" s="76"/>
      <c r="AJ88" s="76"/>
      <c r="AP88" s="76"/>
      <c r="AV88" s="76"/>
      <c r="BB88" s="76"/>
      <c r="BC88" s="38"/>
      <c r="BD88" s="38"/>
      <c r="BE88" s="38"/>
      <c r="BF88" s="38"/>
      <c r="BG88" s="38"/>
      <c r="BH88" s="38"/>
      <c r="BI88" s="38"/>
      <c r="BJ88" s="38"/>
      <c r="BK88" s="38"/>
      <c r="BL88" s="38"/>
    </row>
    <row r="89">
      <c r="L89" s="76"/>
      <c r="R89" s="76"/>
      <c r="X89" s="76"/>
      <c r="AD89" s="76"/>
      <c r="AJ89" s="76"/>
      <c r="AP89" s="76"/>
      <c r="AV89" s="76"/>
      <c r="BB89" s="76"/>
      <c r="BC89" s="38"/>
      <c r="BD89" s="38"/>
      <c r="BE89" s="38"/>
      <c r="BF89" s="38"/>
      <c r="BG89" s="38"/>
      <c r="BH89" s="38"/>
      <c r="BI89" s="38"/>
      <c r="BJ89" s="38"/>
      <c r="BK89" s="38"/>
      <c r="BL89" s="38"/>
    </row>
    <row r="90">
      <c r="L90" s="76"/>
      <c r="R90" s="76"/>
      <c r="X90" s="76"/>
      <c r="AD90" s="76"/>
      <c r="AJ90" s="76"/>
      <c r="AP90" s="76"/>
      <c r="AV90" s="76"/>
      <c r="BB90" s="76"/>
      <c r="BC90" s="38"/>
      <c r="BD90" s="38"/>
      <c r="BE90" s="38"/>
      <c r="BF90" s="38"/>
      <c r="BG90" s="38"/>
      <c r="BH90" s="38"/>
      <c r="BI90" s="38"/>
      <c r="BJ90" s="38"/>
      <c r="BK90" s="38"/>
      <c r="BL90" s="38"/>
    </row>
    <row r="91">
      <c r="L91" s="76"/>
      <c r="R91" s="76"/>
      <c r="X91" s="76"/>
      <c r="AD91" s="76"/>
      <c r="AJ91" s="76"/>
      <c r="AP91" s="76"/>
      <c r="AV91" s="76"/>
      <c r="BB91" s="76"/>
      <c r="BC91" s="38"/>
      <c r="BD91" s="38"/>
      <c r="BE91" s="38"/>
      <c r="BF91" s="38"/>
      <c r="BG91" s="38"/>
      <c r="BH91" s="38"/>
      <c r="BI91" s="38"/>
      <c r="BJ91" s="38"/>
      <c r="BK91" s="38"/>
      <c r="BL91" s="38"/>
    </row>
    <row r="92">
      <c r="L92" s="76"/>
      <c r="R92" s="76"/>
      <c r="X92" s="76"/>
      <c r="AD92" s="76"/>
      <c r="AJ92" s="76"/>
      <c r="AP92" s="76"/>
      <c r="AV92" s="76"/>
      <c r="BB92" s="76"/>
      <c r="BC92" s="38"/>
      <c r="BD92" s="38"/>
      <c r="BE92" s="38"/>
      <c r="BF92" s="38"/>
      <c r="BG92" s="38"/>
      <c r="BH92" s="38"/>
      <c r="BI92" s="38"/>
      <c r="BJ92" s="38"/>
      <c r="BK92" s="38"/>
      <c r="BL92" s="38"/>
    </row>
    <row r="93">
      <c r="L93" s="76"/>
      <c r="R93" s="76"/>
      <c r="X93" s="76"/>
      <c r="AD93" s="76"/>
      <c r="AJ93" s="76"/>
      <c r="AP93" s="76"/>
      <c r="AV93" s="76"/>
      <c r="BB93" s="76"/>
      <c r="BC93" s="38"/>
      <c r="BD93" s="38"/>
      <c r="BE93" s="38"/>
      <c r="BF93" s="38"/>
      <c r="BG93" s="38"/>
      <c r="BH93" s="38"/>
      <c r="BI93" s="38"/>
      <c r="BJ93" s="38"/>
      <c r="BK93" s="38"/>
      <c r="BL93" s="38"/>
    </row>
    <row r="94">
      <c r="L94" s="76"/>
      <c r="R94" s="76"/>
      <c r="X94" s="76"/>
      <c r="AD94" s="76"/>
      <c r="AJ94" s="76"/>
      <c r="AP94" s="76"/>
      <c r="AV94" s="76"/>
      <c r="BB94" s="76"/>
      <c r="BC94" s="38"/>
      <c r="BD94" s="38"/>
      <c r="BE94" s="38"/>
      <c r="BF94" s="38"/>
      <c r="BG94" s="38"/>
      <c r="BH94" s="38"/>
      <c r="BI94" s="38"/>
      <c r="BJ94" s="38"/>
      <c r="BK94" s="38"/>
      <c r="BL94" s="38"/>
    </row>
    <row r="95">
      <c r="L95" s="76"/>
      <c r="R95" s="76"/>
      <c r="X95" s="76"/>
      <c r="AD95" s="76"/>
      <c r="AJ95" s="76"/>
      <c r="AP95" s="76"/>
      <c r="AV95" s="76"/>
      <c r="BB95" s="76"/>
      <c r="BC95" s="38"/>
      <c r="BD95" s="38"/>
      <c r="BE95" s="38"/>
      <c r="BF95" s="38"/>
      <c r="BG95" s="38"/>
      <c r="BH95" s="38"/>
      <c r="BI95" s="38"/>
      <c r="BJ95" s="38"/>
      <c r="BK95" s="38"/>
      <c r="BL95" s="38"/>
    </row>
    <row r="96">
      <c r="L96" s="76"/>
      <c r="R96" s="76"/>
      <c r="X96" s="76"/>
      <c r="AD96" s="76"/>
      <c r="AJ96" s="76"/>
      <c r="AP96" s="76"/>
      <c r="AV96" s="76"/>
      <c r="BB96" s="76"/>
      <c r="BC96" s="38"/>
      <c r="BD96" s="38"/>
      <c r="BE96" s="38"/>
      <c r="BF96" s="38"/>
      <c r="BG96" s="38"/>
      <c r="BH96" s="38"/>
      <c r="BI96" s="38"/>
      <c r="BJ96" s="38"/>
      <c r="BK96" s="38"/>
      <c r="BL96" s="38"/>
    </row>
    <row r="97">
      <c r="L97" s="76"/>
      <c r="R97" s="76"/>
      <c r="X97" s="76"/>
      <c r="AD97" s="76"/>
      <c r="AJ97" s="76"/>
      <c r="AP97" s="76"/>
      <c r="AV97" s="76"/>
      <c r="BB97" s="76"/>
      <c r="BC97" s="38"/>
      <c r="BD97" s="38"/>
      <c r="BE97" s="38"/>
      <c r="BF97" s="38"/>
      <c r="BG97" s="38"/>
      <c r="BH97" s="38"/>
      <c r="BI97" s="38"/>
      <c r="BJ97" s="38"/>
      <c r="BK97" s="38"/>
      <c r="BL97" s="38"/>
    </row>
    <row r="98">
      <c r="L98" s="76"/>
      <c r="R98" s="76"/>
      <c r="X98" s="76"/>
      <c r="AD98" s="76"/>
      <c r="AJ98" s="76"/>
      <c r="AP98" s="76"/>
      <c r="AV98" s="76"/>
      <c r="BB98" s="76"/>
      <c r="BC98" s="38"/>
      <c r="BD98" s="38"/>
      <c r="BE98" s="38"/>
      <c r="BF98" s="38"/>
      <c r="BG98" s="38"/>
      <c r="BH98" s="38"/>
      <c r="BI98" s="38"/>
      <c r="BJ98" s="38"/>
      <c r="BK98" s="38"/>
      <c r="BL98" s="38"/>
    </row>
    <row r="99">
      <c r="L99" s="76"/>
      <c r="R99" s="76"/>
      <c r="X99" s="76"/>
      <c r="AD99" s="76"/>
      <c r="AJ99" s="76"/>
      <c r="AP99" s="76"/>
      <c r="AV99" s="76"/>
      <c r="BB99" s="76"/>
      <c r="BC99" s="38"/>
      <c r="BD99" s="38"/>
      <c r="BE99" s="38"/>
      <c r="BF99" s="38"/>
      <c r="BG99" s="38"/>
      <c r="BH99" s="38"/>
      <c r="BI99" s="38"/>
      <c r="BJ99" s="38"/>
      <c r="BK99" s="38"/>
      <c r="BL99" s="38"/>
    </row>
    <row r="100">
      <c r="L100" s="76"/>
      <c r="R100" s="76"/>
      <c r="X100" s="76"/>
      <c r="AD100" s="76"/>
      <c r="AJ100" s="76"/>
      <c r="AP100" s="76"/>
      <c r="AV100" s="76"/>
      <c r="BB100" s="76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</row>
    <row r="101">
      <c r="L101" s="76"/>
      <c r="R101" s="76"/>
      <c r="X101" s="76"/>
      <c r="AD101" s="76"/>
      <c r="AJ101" s="76"/>
      <c r="AP101" s="76"/>
      <c r="AV101" s="76"/>
      <c r="BB101" s="76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</row>
    <row r="102">
      <c r="L102" s="76"/>
      <c r="R102" s="76"/>
      <c r="X102" s="76"/>
      <c r="AD102" s="76"/>
      <c r="AJ102" s="76"/>
      <c r="AP102" s="76"/>
      <c r="AV102" s="76"/>
      <c r="BB102" s="76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</row>
    <row r="103">
      <c r="L103" s="76"/>
      <c r="R103" s="76"/>
      <c r="X103" s="76"/>
      <c r="AD103" s="76"/>
      <c r="AJ103" s="76"/>
      <c r="AP103" s="76"/>
      <c r="AV103" s="76"/>
      <c r="BB103" s="76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</row>
    <row r="104">
      <c r="L104" s="76"/>
      <c r="R104" s="76"/>
      <c r="X104" s="76"/>
      <c r="AD104" s="76"/>
      <c r="AJ104" s="76"/>
      <c r="AP104" s="76"/>
      <c r="AV104" s="76"/>
      <c r="BB104" s="76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</row>
    <row r="105">
      <c r="L105" s="76"/>
      <c r="R105" s="76"/>
      <c r="X105" s="76"/>
      <c r="AD105" s="76"/>
      <c r="AJ105" s="76"/>
      <c r="AP105" s="76"/>
      <c r="AV105" s="76"/>
      <c r="BB105" s="76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</row>
    <row r="106">
      <c r="L106" s="76"/>
      <c r="R106" s="76"/>
      <c r="X106" s="76"/>
      <c r="AD106" s="76"/>
      <c r="AJ106" s="76"/>
      <c r="AP106" s="76"/>
      <c r="AV106" s="76"/>
      <c r="BB106" s="76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</row>
    <row r="107">
      <c r="L107" s="76"/>
      <c r="R107" s="76"/>
      <c r="X107" s="76"/>
      <c r="AD107" s="76"/>
      <c r="AJ107" s="76"/>
      <c r="AP107" s="76"/>
      <c r="AV107" s="76"/>
      <c r="BB107" s="76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</row>
    <row r="108">
      <c r="L108" s="76"/>
      <c r="R108" s="76"/>
      <c r="X108" s="76"/>
      <c r="AD108" s="76"/>
      <c r="AJ108" s="76"/>
      <c r="AP108" s="76"/>
      <c r="AV108" s="76"/>
      <c r="BB108" s="76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</row>
    <row r="109">
      <c r="L109" s="76"/>
      <c r="R109" s="76"/>
      <c r="X109" s="76"/>
      <c r="AD109" s="76"/>
      <c r="AJ109" s="76"/>
      <c r="AP109" s="76"/>
      <c r="AV109" s="76"/>
      <c r="BB109" s="76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</row>
    <row r="110">
      <c r="L110" s="76"/>
      <c r="R110" s="76"/>
      <c r="X110" s="76"/>
      <c r="AD110" s="76"/>
      <c r="AJ110" s="76"/>
      <c r="AP110" s="76"/>
      <c r="AV110" s="76"/>
      <c r="BB110" s="76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</row>
    <row r="111">
      <c r="L111" s="76"/>
      <c r="R111" s="76"/>
      <c r="X111" s="76"/>
      <c r="AD111" s="76"/>
      <c r="AJ111" s="76"/>
      <c r="AP111" s="76"/>
      <c r="AV111" s="76"/>
      <c r="BB111" s="76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</row>
    <row r="112">
      <c r="L112" s="76"/>
      <c r="R112" s="76"/>
      <c r="X112" s="76"/>
      <c r="AD112" s="76"/>
      <c r="AJ112" s="76"/>
      <c r="AP112" s="76"/>
      <c r="AV112" s="76"/>
      <c r="BB112" s="76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</row>
    <row r="113">
      <c r="L113" s="76"/>
      <c r="R113" s="76"/>
      <c r="X113" s="76"/>
      <c r="AD113" s="76"/>
      <c r="AJ113" s="76"/>
      <c r="AP113" s="76"/>
      <c r="AV113" s="76"/>
      <c r="BB113" s="76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</row>
    <row r="114">
      <c r="L114" s="76"/>
      <c r="R114" s="76"/>
      <c r="X114" s="76"/>
      <c r="AD114" s="76"/>
      <c r="AJ114" s="76"/>
      <c r="AP114" s="76"/>
      <c r="AV114" s="76"/>
      <c r="BB114" s="76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</row>
    <row r="115">
      <c r="L115" s="76"/>
      <c r="R115" s="76"/>
      <c r="X115" s="76"/>
      <c r="AD115" s="76"/>
      <c r="AJ115" s="76"/>
      <c r="AP115" s="76"/>
      <c r="AV115" s="76"/>
      <c r="BB115" s="76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</row>
    <row r="116">
      <c r="L116" s="76"/>
      <c r="R116" s="76"/>
      <c r="X116" s="76"/>
      <c r="AD116" s="76"/>
      <c r="AJ116" s="76"/>
      <c r="AP116" s="76"/>
      <c r="AV116" s="76"/>
      <c r="BB116" s="76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</row>
    <row r="117">
      <c r="L117" s="76"/>
      <c r="R117" s="76"/>
      <c r="X117" s="76"/>
      <c r="AD117" s="76"/>
      <c r="AJ117" s="76"/>
      <c r="AP117" s="76"/>
      <c r="AV117" s="76"/>
      <c r="BB117" s="76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</row>
    <row r="118">
      <c r="L118" s="76"/>
      <c r="R118" s="76"/>
      <c r="X118" s="76"/>
      <c r="AD118" s="76"/>
      <c r="AJ118" s="76"/>
      <c r="AP118" s="76"/>
      <c r="AV118" s="76"/>
      <c r="BB118" s="76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</row>
    <row r="119">
      <c r="L119" s="76"/>
      <c r="R119" s="76"/>
      <c r="X119" s="76"/>
      <c r="AD119" s="76"/>
      <c r="AJ119" s="76"/>
      <c r="AP119" s="76"/>
      <c r="AV119" s="76"/>
      <c r="BB119" s="76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</row>
    <row r="120">
      <c r="L120" s="76"/>
      <c r="R120" s="76"/>
      <c r="X120" s="76"/>
      <c r="AD120" s="76"/>
      <c r="AJ120" s="76"/>
      <c r="AP120" s="76"/>
      <c r="AV120" s="76"/>
      <c r="BB120" s="76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</row>
    <row r="121">
      <c r="L121" s="76"/>
      <c r="R121" s="76"/>
      <c r="X121" s="76"/>
      <c r="AD121" s="76"/>
      <c r="AJ121" s="76"/>
      <c r="AP121" s="76"/>
      <c r="AV121" s="76"/>
      <c r="BB121" s="76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</row>
    <row r="122">
      <c r="L122" s="76"/>
      <c r="R122" s="76"/>
      <c r="X122" s="76"/>
      <c r="AD122" s="76"/>
      <c r="AJ122" s="76"/>
      <c r="AP122" s="76"/>
      <c r="AV122" s="76"/>
      <c r="BB122" s="76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</row>
    <row r="123">
      <c r="L123" s="76"/>
      <c r="R123" s="76"/>
      <c r="X123" s="76"/>
      <c r="AD123" s="76"/>
      <c r="AJ123" s="76"/>
      <c r="AP123" s="76"/>
      <c r="AV123" s="76"/>
      <c r="BB123" s="76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</row>
    <row r="124">
      <c r="L124" s="76"/>
      <c r="R124" s="76"/>
      <c r="X124" s="76"/>
      <c r="AD124" s="76"/>
      <c r="AJ124" s="76"/>
      <c r="AP124" s="76"/>
      <c r="AV124" s="76"/>
      <c r="BB124" s="76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</row>
    <row r="125">
      <c r="L125" s="76"/>
      <c r="R125" s="76"/>
      <c r="X125" s="76"/>
      <c r="AD125" s="76"/>
      <c r="AJ125" s="76"/>
      <c r="AP125" s="76"/>
      <c r="AV125" s="76"/>
      <c r="BB125" s="76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</row>
    <row r="126">
      <c r="L126" s="76"/>
      <c r="R126" s="76"/>
      <c r="X126" s="76"/>
      <c r="AD126" s="76"/>
      <c r="AJ126" s="76"/>
      <c r="AP126" s="76"/>
      <c r="AV126" s="76"/>
      <c r="BB126" s="76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</row>
    <row r="127">
      <c r="L127" s="76"/>
      <c r="R127" s="76"/>
      <c r="X127" s="76"/>
      <c r="AD127" s="76"/>
      <c r="AJ127" s="76"/>
      <c r="AP127" s="76"/>
      <c r="AV127" s="76"/>
      <c r="BB127" s="76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</row>
    <row r="128">
      <c r="L128" s="76"/>
      <c r="R128" s="76"/>
      <c r="X128" s="76"/>
      <c r="AD128" s="76"/>
      <c r="AJ128" s="76"/>
      <c r="AP128" s="76"/>
      <c r="AV128" s="76"/>
      <c r="BB128" s="76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</row>
    <row r="129">
      <c r="L129" s="76"/>
      <c r="R129" s="76"/>
      <c r="X129" s="76"/>
      <c r="AD129" s="76"/>
      <c r="AJ129" s="76"/>
      <c r="AP129" s="76"/>
      <c r="AV129" s="76"/>
      <c r="BB129" s="76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</row>
    <row r="130">
      <c r="L130" s="76"/>
      <c r="R130" s="76"/>
      <c r="X130" s="76"/>
      <c r="AD130" s="76"/>
      <c r="AJ130" s="76"/>
      <c r="AP130" s="76"/>
      <c r="AV130" s="76"/>
      <c r="BB130" s="76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</row>
    <row r="131">
      <c r="L131" s="76"/>
      <c r="R131" s="76"/>
      <c r="X131" s="76"/>
      <c r="AD131" s="76"/>
      <c r="AJ131" s="76"/>
      <c r="AP131" s="76"/>
      <c r="AV131" s="76"/>
      <c r="BB131" s="76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</row>
    <row r="132">
      <c r="L132" s="76"/>
      <c r="R132" s="76"/>
      <c r="X132" s="76"/>
      <c r="AD132" s="76"/>
      <c r="AJ132" s="76"/>
      <c r="AP132" s="76"/>
      <c r="AV132" s="76"/>
      <c r="BB132" s="76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</row>
    <row r="133">
      <c r="L133" s="76"/>
      <c r="R133" s="76"/>
      <c r="X133" s="76"/>
      <c r="AD133" s="76"/>
      <c r="AJ133" s="76"/>
      <c r="AP133" s="76"/>
      <c r="AV133" s="76"/>
      <c r="BB133" s="76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</row>
    <row r="134">
      <c r="L134" s="76"/>
      <c r="R134" s="76"/>
      <c r="X134" s="76"/>
      <c r="AD134" s="76"/>
      <c r="AJ134" s="76"/>
      <c r="AP134" s="76"/>
      <c r="AV134" s="76"/>
      <c r="BB134" s="76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</row>
    <row r="135">
      <c r="L135" s="76"/>
      <c r="R135" s="76"/>
      <c r="X135" s="76"/>
      <c r="AD135" s="76"/>
      <c r="AJ135" s="76"/>
      <c r="AP135" s="76"/>
      <c r="AV135" s="76"/>
      <c r="BB135" s="76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</row>
    <row r="136">
      <c r="L136" s="76"/>
      <c r="R136" s="76"/>
      <c r="X136" s="76"/>
      <c r="AD136" s="76"/>
      <c r="AJ136" s="76"/>
      <c r="AP136" s="76"/>
      <c r="AV136" s="76"/>
      <c r="BB136" s="76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</row>
    <row r="137">
      <c r="L137" s="76"/>
      <c r="R137" s="76"/>
      <c r="X137" s="76"/>
      <c r="AD137" s="76"/>
      <c r="AJ137" s="76"/>
      <c r="AP137" s="76"/>
      <c r="AV137" s="76"/>
      <c r="BB137" s="76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</row>
    <row r="138">
      <c r="L138" s="76"/>
      <c r="R138" s="76"/>
      <c r="X138" s="76"/>
      <c r="AD138" s="76"/>
      <c r="AJ138" s="76"/>
      <c r="AP138" s="76"/>
      <c r="AV138" s="76"/>
      <c r="BB138" s="76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</row>
    <row r="139">
      <c r="L139" s="76"/>
      <c r="R139" s="76"/>
      <c r="X139" s="76"/>
      <c r="AD139" s="76"/>
      <c r="AJ139" s="76"/>
      <c r="AP139" s="76"/>
      <c r="AV139" s="76"/>
      <c r="BB139" s="76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</row>
    <row r="140">
      <c r="L140" s="76"/>
      <c r="R140" s="76"/>
      <c r="X140" s="76"/>
      <c r="AD140" s="76"/>
      <c r="AJ140" s="76"/>
      <c r="AP140" s="76"/>
      <c r="AV140" s="76"/>
      <c r="BB140" s="76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</row>
    <row r="141">
      <c r="L141" s="76"/>
      <c r="R141" s="76"/>
      <c r="X141" s="76"/>
      <c r="AD141" s="76"/>
      <c r="AJ141" s="76"/>
      <c r="AP141" s="76"/>
      <c r="AV141" s="76"/>
      <c r="BB141" s="76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</row>
    <row r="142">
      <c r="L142" s="76"/>
      <c r="R142" s="76"/>
      <c r="X142" s="76"/>
      <c r="AD142" s="76"/>
      <c r="AJ142" s="76"/>
      <c r="AP142" s="76"/>
      <c r="AV142" s="76"/>
      <c r="BB142" s="76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</row>
    <row r="143">
      <c r="L143" s="76"/>
      <c r="R143" s="76"/>
      <c r="X143" s="76"/>
      <c r="AD143" s="76"/>
      <c r="AJ143" s="76"/>
      <c r="AP143" s="76"/>
      <c r="AV143" s="76"/>
      <c r="BB143" s="76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</row>
    <row r="144">
      <c r="L144" s="76"/>
      <c r="R144" s="76"/>
      <c r="X144" s="76"/>
      <c r="AD144" s="76"/>
      <c r="AJ144" s="76"/>
      <c r="AP144" s="76"/>
      <c r="AV144" s="76"/>
      <c r="BB144" s="76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</row>
    <row r="145">
      <c r="L145" s="76"/>
      <c r="R145" s="76"/>
      <c r="X145" s="76"/>
      <c r="AD145" s="76"/>
      <c r="AJ145" s="76"/>
      <c r="AP145" s="76"/>
      <c r="AV145" s="76"/>
      <c r="BB145" s="76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</row>
    <row r="146">
      <c r="L146" s="76"/>
      <c r="R146" s="76"/>
      <c r="X146" s="76"/>
      <c r="AD146" s="76"/>
      <c r="AJ146" s="76"/>
      <c r="AP146" s="76"/>
      <c r="AV146" s="76"/>
      <c r="BB146" s="76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</row>
    <row r="147">
      <c r="L147" s="76"/>
      <c r="R147" s="76"/>
      <c r="X147" s="76"/>
      <c r="AD147" s="76"/>
      <c r="AJ147" s="76"/>
      <c r="AP147" s="76"/>
      <c r="AV147" s="76"/>
      <c r="BB147" s="76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</row>
    <row r="148">
      <c r="L148" s="76"/>
      <c r="R148" s="76"/>
      <c r="X148" s="76"/>
      <c r="AD148" s="76"/>
      <c r="AJ148" s="76"/>
      <c r="AP148" s="76"/>
      <c r="AV148" s="76"/>
      <c r="BB148" s="76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</row>
    <row r="149">
      <c r="L149" s="76"/>
      <c r="R149" s="76"/>
      <c r="X149" s="76"/>
      <c r="AD149" s="76"/>
      <c r="AJ149" s="76"/>
      <c r="AP149" s="76"/>
      <c r="AV149" s="76"/>
      <c r="BB149" s="76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</row>
    <row r="150">
      <c r="L150" s="76"/>
      <c r="R150" s="76"/>
      <c r="X150" s="76"/>
      <c r="AD150" s="76"/>
      <c r="AJ150" s="76"/>
      <c r="AP150" s="76"/>
      <c r="AV150" s="76"/>
      <c r="BB150" s="76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</row>
    <row r="151">
      <c r="L151" s="76"/>
      <c r="R151" s="76"/>
      <c r="X151" s="76"/>
      <c r="AD151" s="76"/>
      <c r="AJ151" s="76"/>
      <c r="AP151" s="76"/>
      <c r="AV151" s="76"/>
      <c r="BB151" s="76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</row>
    <row r="152">
      <c r="L152" s="76"/>
      <c r="R152" s="76"/>
      <c r="X152" s="76"/>
      <c r="AD152" s="76"/>
      <c r="AJ152" s="76"/>
      <c r="AP152" s="76"/>
      <c r="AV152" s="76"/>
      <c r="BB152" s="76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</row>
    <row r="153">
      <c r="L153" s="76"/>
      <c r="R153" s="76"/>
      <c r="X153" s="76"/>
      <c r="AD153" s="76"/>
      <c r="AJ153" s="76"/>
      <c r="AP153" s="76"/>
      <c r="AV153" s="76"/>
      <c r="BB153" s="76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</row>
    <row r="154">
      <c r="L154" s="76"/>
      <c r="R154" s="76"/>
      <c r="X154" s="76"/>
      <c r="AD154" s="76"/>
      <c r="AJ154" s="76"/>
      <c r="AP154" s="76"/>
      <c r="AV154" s="76"/>
      <c r="BB154" s="76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</row>
    <row r="155">
      <c r="L155" s="76"/>
      <c r="R155" s="76"/>
      <c r="X155" s="76"/>
      <c r="AD155" s="76"/>
      <c r="AJ155" s="76"/>
      <c r="AP155" s="76"/>
      <c r="AV155" s="76"/>
      <c r="BB155" s="76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</row>
    <row r="156">
      <c r="L156" s="76"/>
      <c r="R156" s="76"/>
      <c r="X156" s="76"/>
      <c r="AD156" s="76"/>
      <c r="AJ156" s="76"/>
      <c r="AP156" s="76"/>
      <c r="AV156" s="76"/>
      <c r="BB156" s="76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</row>
    <row r="157">
      <c r="L157" s="76"/>
      <c r="R157" s="76"/>
      <c r="X157" s="76"/>
      <c r="AD157" s="76"/>
      <c r="AJ157" s="76"/>
      <c r="AP157" s="76"/>
      <c r="AV157" s="76"/>
      <c r="BB157" s="76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</row>
    <row r="158">
      <c r="L158" s="76"/>
      <c r="R158" s="76"/>
      <c r="X158" s="76"/>
      <c r="AD158" s="76"/>
      <c r="AJ158" s="76"/>
      <c r="AP158" s="76"/>
      <c r="AV158" s="76"/>
      <c r="BB158" s="76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</row>
    <row r="159">
      <c r="L159" s="76"/>
      <c r="R159" s="76"/>
      <c r="X159" s="76"/>
      <c r="AD159" s="76"/>
      <c r="AJ159" s="76"/>
      <c r="AP159" s="76"/>
      <c r="AV159" s="76"/>
      <c r="BB159" s="76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</row>
    <row r="160">
      <c r="L160" s="76"/>
      <c r="R160" s="76"/>
      <c r="X160" s="76"/>
      <c r="AD160" s="76"/>
      <c r="AJ160" s="76"/>
      <c r="AP160" s="76"/>
      <c r="AV160" s="76"/>
      <c r="BB160" s="76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</row>
    <row r="161">
      <c r="L161" s="76"/>
      <c r="R161" s="76"/>
      <c r="X161" s="76"/>
      <c r="AD161" s="76"/>
      <c r="AJ161" s="76"/>
      <c r="AP161" s="76"/>
      <c r="AV161" s="76"/>
      <c r="BB161" s="76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</row>
    <row r="162">
      <c r="L162" s="76"/>
      <c r="R162" s="76"/>
      <c r="X162" s="76"/>
      <c r="AD162" s="76"/>
      <c r="AJ162" s="76"/>
      <c r="AP162" s="76"/>
      <c r="AV162" s="76"/>
      <c r="BB162" s="76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</row>
    <row r="163">
      <c r="L163" s="76"/>
      <c r="R163" s="76"/>
      <c r="X163" s="76"/>
      <c r="AD163" s="76"/>
      <c r="AJ163" s="76"/>
      <c r="AP163" s="76"/>
      <c r="AV163" s="76"/>
      <c r="BB163" s="76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</row>
    <row r="164">
      <c r="L164" s="76"/>
      <c r="R164" s="76"/>
      <c r="X164" s="76"/>
      <c r="AD164" s="76"/>
      <c r="AJ164" s="76"/>
      <c r="AP164" s="76"/>
      <c r="AV164" s="76"/>
      <c r="BB164" s="76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</row>
    <row r="165">
      <c r="L165" s="76"/>
      <c r="R165" s="76"/>
      <c r="X165" s="76"/>
      <c r="AD165" s="76"/>
      <c r="AJ165" s="76"/>
      <c r="AP165" s="76"/>
      <c r="AV165" s="76"/>
      <c r="BB165" s="76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</row>
    <row r="166">
      <c r="L166" s="76"/>
      <c r="R166" s="76"/>
      <c r="X166" s="76"/>
      <c r="AD166" s="76"/>
      <c r="AJ166" s="76"/>
      <c r="AP166" s="76"/>
      <c r="AV166" s="76"/>
      <c r="BB166" s="76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</row>
    <row r="167">
      <c r="L167" s="76"/>
      <c r="R167" s="76"/>
      <c r="X167" s="76"/>
      <c r="AD167" s="76"/>
      <c r="AJ167" s="76"/>
      <c r="AP167" s="76"/>
      <c r="AV167" s="76"/>
      <c r="BB167" s="76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</row>
    <row r="168">
      <c r="L168" s="76"/>
      <c r="R168" s="76"/>
      <c r="X168" s="76"/>
      <c r="AD168" s="76"/>
      <c r="AJ168" s="76"/>
      <c r="AP168" s="76"/>
      <c r="AV168" s="76"/>
      <c r="BB168" s="76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</row>
    <row r="169">
      <c r="L169" s="76"/>
      <c r="R169" s="76"/>
      <c r="X169" s="76"/>
      <c r="AD169" s="76"/>
      <c r="AJ169" s="76"/>
      <c r="AP169" s="76"/>
      <c r="AV169" s="76"/>
      <c r="BB169" s="76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</row>
    <row r="170">
      <c r="L170" s="76"/>
      <c r="R170" s="76"/>
      <c r="X170" s="76"/>
      <c r="AD170" s="76"/>
      <c r="AJ170" s="76"/>
      <c r="AP170" s="76"/>
      <c r="AV170" s="76"/>
      <c r="BB170" s="76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</row>
    <row r="171">
      <c r="L171" s="76"/>
      <c r="R171" s="76"/>
      <c r="X171" s="76"/>
      <c r="AD171" s="76"/>
      <c r="AJ171" s="76"/>
      <c r="AP171" s="76"/>
      <c r="AV171" s="76"/>
      <c r="BB171" s="76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</row>
    <row r="172">
      <c r="L172" s="76"/>
      <c r="R172" s="76"/>
      <c r="X172" s="76"/>
      <c r="AD172" s="76"/>
      <c r="AJ172" s="76"/>
      <c r="AP172" s="76"/>
      <c r="AV172" s="76"/>
      <c r="BB172" s="76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</row>
    <row r="173">
      <c r="L173" s="76"/>
      <c r="R173" s="76"/>
      <c r="X173" s="76"/>
      <c r="AD173" s="76"/>
      <c r="AJ173" s="76"/>
      <c r="AP173" s="76"/>
      <c r="AV173" s="76"/>
      <c r="BB173" s="76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</row>
    <row r="174">
      <c r="L174" s="76"/>
      <c r="R174" s="76"/>
      <c r="X174" s="76"/>
      <c r="AD174" s="76"/>
      <c r="AJ174" s="76"/>
      <c r="AP174" s="76"/>
      <c r="AV174" s="76"/>
      <c r="BB174" s="76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</row>
    <row r="175">
      <c r="L175" s="76"/>
      <c r="R175" s="76"/>
      <c r="X175" s="76"/>
      <c r="AD175" s="76"/>
      <c r="AJ175" s="76"/>
      <c r="AP175" s="76"/>
      <c r="AV175" s="76"/>
      <c r="BB175" s="76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</row>
    <row r="176">
      <c r="L176" s="76"/>
      <c r="R176" s="76"/>
      <c r="X176" s="76"/>
      <c r="AD176" s="76"/>
      <c r="AJ176" s="76"/>
      <c r="AP176" s="76"/>
      <c r="AV176" s="76"/>
      <c r="BB176" s="76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</row>
    <row r="177">
      <c r="L177" s="76"/>
      <c r="R177" s="76"/>
      <c r="X177" s="76"/>
      <c r="AD177" s="76"/>
      <c r="AJ177" s="76"/>
      <c r="AP177" s="76"/>
      <c r="AV177" s="76"/>
      <c r="BB177" s="76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</row>
    <row r="178">
      <c r="L178" s="76"/>
      <c r="R178" s="76"/>
      <c r="X178" s="76"/>
      <c r="AD178" s="76"/>
      <c r="AJ178" s="76"/>
      <c r="AP178" s="76"/>
      <c r="AV178" s="76"/>
      <c r="BB178" s="76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</row>
    <row r="179">
      <c r="L179" s="76"/>
      <c r="R179" s="76"/>
      <c r="X179" s="76"/>
      <c r="AD179" s="76"/>
      <c r="AJ179" s="76"/>
      <c r="AP179" s="76"/>
      <c r="AV179" s="76"/>
      <c r="BB179" s="76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</row>
    <row r="180">
      <c r="L180" s="76"/>
      <c r="R180" s="76"/>
      <c r="X180" s="76"/>
      <c r="AD180" s="76"/>
      <c r="AJ180" s="76"/>
      <c r="AP180" s="76"/>
      <c r="AV180" s="76"/>
      <c r="BB180" s="76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</row>
    <row r="181">
      <c r="L181" s="76"/>
      <c r="R181" s="76"/>
      <c r="X181" s="76"/>
      <c r="AD181" s="76"/>
      <c r="AJ181" s="76"/>
      <c r="AP181" s="76"/>
      <c r="AV181" s="76"/>
      <c r="BB181" s="76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</row>
    <row r="182">
      <c r="L182" s="76"/>
      <c r="R182" s="76"/>
      <c r="X182" s="76"/>
      <c r="AD182" s="76"/>
      <c r="AJ182" s="76"/>
      <c r="AP182" s="76"/>
      <c r="AV182" s="76"/>
      <c r="BB182" s="76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</row>
    <row r="183">
      <c r="L183" s="76"/>
      <c r="R183" s="76"/>
      <c r="X183" s="76"/>
      <c r="AD183" s="76"/>
      <c r="AJ183" s="76"/>
      <c r="AP183" s="76"/>
      <c r="AV183" s="76"/>
      <c r="BB183" s="76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</row>
    <row r="184">
      <c r="L184" s="76"/>
      <c r="R184" s="76"/>
      <c r="X184" s="76"/>
      <c r="AD184" s="76"/>
      <c r="AJ184" s="76"/>
      <c r="AP184" s="76"/>
      <c r="AV184" s="76"/>
      <c r="BB184" s="76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</row>
    <row r="185">
      <c r="L185" s="76"/>
      <c r="R185" s="76"/>
      <c r="X185" s="76"/>
      <c r="AD185" s="76"/>
      <c r="AJ185" s="76"/>
      <c r="AP185" s="76"/>
      <c r="AV185" s="76"/>
      <c r="BB185" s="76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</row>
    <row r="186">
      <c r="L186" s="76"/>
      <c r="R186" s="76"/>
      <c r="X186" s="76"/>
      <c r="AD186" s="76"/>
      <c r="AJ186" s="76"/>
      <c r="AP186" s="76"/>
      <c r="AV186" s="76"/>
      <c r="BB186" s="76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</row>
    <row r="187">
      <c r="L187" s="76"/>
      <c r="R187" s="76"/>
      <c r="X187" s="76"/>
      <c r="AD187" s="76"/>
      <c r="AJ187" s="76"/>
      <c r="AP187" s="76"/>
      <c r="AV187" s="76"/>
      <c r="BB187" s="76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</row>
    <row r="188">
      <c r="L188" s="76"/>
      <c r="R188" s="76"/>
      <c r="X188" s="76"/>
      <c r="AD188" s="76"/>
      <c r="AJ188" s="76"/>
      <c r="AP188" s="76"/>
      <c r="AV188" s="76"/>
      <c r="BB188" s="76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</row>
    <row r="189">
      <c r="L189" s="76"/>
      <c r="R189" s="76"/>
      <c r="X189" s="76"/>
      <c r="AD189" s="76"/>
      <c r="AJ189" s="76"/>
      <c r="AP189" s="76"/>
      <c r="AV189" s="76"/>
      <c r="BB189" s="76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</row>
    <row r="190">
      <c r="L190" s="76"/>
      <c r="R190" s="76"/>
      <c r="X190" s="76"/>
      <c r="AD190" s="76"/>
      <c r="AJ190" s="76"/>
      <c r="AP190" s="76"/>
      <c r="AV190" s="76"/>
      <c r="BB190" s="76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</row>
    <row r="191">
      <c r="L191" s="76"/>
      <c r="R191" s="76"/>
      <c r="X191" s="76"/>
      <c r="AD191" s="76"/>
      <c r="AJ191" s="76"/>
      <c r="AP191" s="76"/>
      <c r="AV191" s="76"/>
      <c r="BB191" s="76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</row>
    <row r="192">
      <c r="L192" s="76"/>
      <c r="R192" s="76"/>
      <c r="X192" s="76"/>
      <c r="AD192" s="76"/>
      <c r="AJ192" s="76"/>
      <c r="AP192" s="76"/>
      <c r="AV192" s="76"/>
      <c r="BB192" s="76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</row>
    <row r="193">
      <c r="L193" s="76"/>
      <c r="R193" s="76"/>
      <c r="X193" s="76"/>
      <c r="AD193" s="76"/>
      <c r="AJ193" s="76"/>
      <c r="AP193" s="76"/>
      <c r="AV193" s="76"/>
      <c r="BB193" s="76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</row>
    <row r="194">
      <c r="L194" s="76"/>
      <c r="R194" s="76"/>
      <c r="X194" s="76"/>
      <c r="AD194" s="76"/>
      <c r="AJ194" s="76"/>
      <c r="AP194" s="76"/>
      <c r="AV194" s="76"/>
      <c r="BB194" s="76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</row>
    <row r="195">
      <c r="L195" s="76"/>
      <c r="R195" s="76"/>
      <c r="X195" s="76"/>
      <c r="AD195" s="76"/>
      <c r="AJ195" s="76"/>
      <c r="AP195" s="76"/>
      <c r="AV195" s="76"/>
      <c r="BB195" s="76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</row>
    <row r="196">
      <c r="L196" s="76"/>
      <c r="R196" s="76"/>
      <c r="X196" s="76"/>
      <c r="AD196" s="76"/>
      <c r="AJ196" s="76"/>
      <c r="AP196" s="76"/>
      <c r="AV196" s="76"/>
      <c r="BB196" s="76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</row>
    <row r="197">
      <c r="L197" s="76"/>
      <c r="R197" s="76"/>
      <c r="X197" s="76"/>
      <c r="AD197" s="76"/>
      <c r="AJ197" s="76"/>
      <c r="AP197" s="76"/>
      <c r="AV197" s="76"/>
      <c r="BB197" s="76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</row>
    <row r="198">
      <c r="L198" s="76"/>
      <c r="R198" s="76"/>
      <c r="X198" s="76"/>
      <c r="AD198" s="76"/>
      <c r="AJ198" s="76"/>
      <c r="AP198" s="76"/>
      <c r="AV198" s="76"/>
      <c r="BB198" s="76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</row>
    <row r="199">
      <c r="L199" s="76"/>
      <c r="R199" s="76"/>
      <c r="X199" s="76"/>
      <c r="AD199" s="76"/>
      <c r="AJ199" s="76"/>
      <c r="AP199" s="76"/>
      <c r="AV199" s="76"/>
      <c r="BB199" s="76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</row>
    <row r="200">
      <c r="L200" s="76"/>
      <c r="R200" s="76"/>
      <c r="X200" s="76"/>
      <c r="AD200" s="76"/>
      <c r="AJ200" s="76"/>
      <c r="AP200" s="76"/>
      <c r="AV200" s="76"/>
      <c r="BB200" s="76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</row>
    <row r="201">
      <c r="L201" s="76"/>
      <c r="R201" s="76"/>
      <c r="X201" s="76"/>
      <c r="AD201" s="76"/>
      <c r="AJ201" s="76"/>
      <c r="AP201" s="76"/>
      <c r="AV201" s="76"/>
      <c r="BB201" s="76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</row>
    <row r="202">
      <c r="L202" s="76"/>
      <c r="R202" s="76"/>
      <c r="X202" s="76"/>
      <c r="AD202" s="76"/>
      <c r="AJ202" s="76"/>
      <c r="AP202" s="76"/>
      <c r="AV202" s="76"/>
      <c r="BB202" s="76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</row>
    <row r="203">
      <c r="L203" s="76"/>
      <c r="R203" s="76"/>
      <c r="X203" s="76"/>
      <c r="AD203" s="76"/>
      <c r="AJ203" s="76"/>
      <c r="AP203" s="76"/>
      <c r="AV203" s="76"/>
      <c r="BB203" s="76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</row>
    <row r="204">
      <c r="L204" s="76"/>
      <c r="R204" s="76"/>
      <c r="X204" s="76"/>
      <c r="AD204" s="76"/>
      <c r="AJ204" s="76"/>
      <c r="AP204" s="76"/>
      <c r="AV204" s="76"/>
      <c r="BB204" s="76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</row>
    <row r="205">
      <c r="L205" s="76"/>
      <c r="R205" s="76"/>
      <c r="X205" s="76"/>
      <c r="AD205" s="76"/>
      <c r="AJ205" s="76"/>
      <c r="AP205" s="76"/>
      <c r="AV205" s="76"/>
      <c r="BB205" s="76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</row>
    <row r="206">
      <c r="L206" s="76"/>
      <c r="R206" s="76"/>
      <c r="X206" s="76"/>
      <c r="AD206" s="76"/>
      <c r="AJ206" s="76"/>
      <c r="AP206" s="76"/>
      <c r="AV206" s="76"/>
      <c r="BB206" s="76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</row>
    <row r="207">
      <c r="L207" s="76"/>
      <c r="R207" s="76"/>
      <c r="X207" s="76"/>
      <c r="AD207" s="76"/>
      <c r="AJ207" s="76"/>
      <c r="AP207" s="76"/>
      <c r="AV207" s="76"/>
      <c r="BB207" s="76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</row>
    <row r="208">
      <c r="L208" s="76"/>
      <c r="R208" s="76"/>
      <c r="X208" s="76"/>
      <c r="AD208" s="76"/>
      <c r="AJ208" s="76"/>
      <c r="AP208" s="76"/>
      <c r="AV208" s="76"/>
      <c r="BB208" s="76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</row>
    <row r="209">
      <c r="L209" s="76"/>
      <c r="R209" s="76"/>
      <c r="X209" s="76"/>
      <c r="AD209" s="76"/>
      <c r="AJ209" s="76"/>
      <c r="AP209" s="76"/>
      <c r="AV209" s="76"/>
      <c r="BB209" s="76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</row>
    <row r="210">
      <c r="L210" s="76"/>
      <c r="R210" s="76"/>
      <c r="X210" s="76"/>
      <c r="AD210" s="76"/>
      <c r="AJ210" s="76"/>
      <c r="AP210" s="76"/>
      <c r="AV210" s="76"/>
      <c r="BB210" s="76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</row>
    <row r="211">
      <c r="L211" s="76"/>
      <c r="R211" s="76"/>
      <c r="X211" s="76"/>
      <c r="AD211" s="76"/>
      <c r="AJ211" s="76"/>
      <c r="AP211" s="76"/>
      <c r="AV211" s="76"/>
      <c r="BB211" s="76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</row>
    <row r="212">
      <c r="L212" s="76"/>
      <c r="R212" s="76"/>
      <c r="X212" s="76"/>
      <c r="AD212" s="76"/>
      <c r="AJ212" s="76"/>
      <c r="AP212" s="76"/>
      <c r="AV212" s="76"/>
      <c r="BB212" s="76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</row>
    <row r="213">
      <c r="L213" s="76"/>
      <c r="R213" s="76"/>
      <c r="X213" s="76"/>
      <c r="AD213" s="76"/>
      <c r="AJ213" s="76"/>
      <c r="AP213" s="76"/>
      <c r="AV213" s="76"/>
      <c r="BB213" s="76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</row>
    <row r="214">
      <c r="L214" s="76"/>
      <c r="R214" s="76"/>
      <c r="X214" s="76"/>
      <c r="AD214" s="76"/>
      <c r="AJ214" s="76"/>
      <c r="AP214" s="76"/>
      <c r="AV214" s="76"/>
      <c r="BB214" s="76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</row>
    <row r="215">
      <c r="L215" s="76"/>
      <c r="R215" s="76"/>
      <c r="X215" s="76"/>
      <c r="AD215" s="76"/>
      <c r="AJ215" s="76"/>
      <c r="AP215" s="76"/>
      <c r="AV215" s="76"/>
      <c r="BB215" s="76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</row>
    <row r="216">
      <c r="L216" s="76"/>
      <c r="R216" s="76"/>
      <c r="X216" s="76"/>
      <c r="AD216" s="76"/>
      <c r="AJ216" s="76"/>
      <c r="AP216" s="76"/>
      <c r="AV216" s="76"/>
      <c r="BB216" s="76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</row>
    <row r="217">
      <c r="L217" s="76"/>
      <c r="R217" s="76"/>
      <c r="X217" s="76"/>
      <c r="AD217" s="76"/>
      <c r="AJ217" s="76"/>
      <c r="AP217" s="76"/>
      <c r="AV217" s="76"/>
      <c r="BB217" s="76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</row>
    <row r="218">
      <c r="L218" s="76"/>
      <c r="R218" s="76"/>
      <c r="X218" s="76"/>
      <c r="AD218" s="76"/>
      <c r="AJ218" s="76"/>
      <c r="AP218" s="76"/>
      <c r="AV218" s="76"/>
      <c r="BB218" s="76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</row>
    <row r="219">
      <c r="L219" s="76"/>
      <c r="R219" s="76"/>
      <c r="X219" s="76"/>
      <c r="AD219" s="76"/>
      <c r="AJ219" s="76"/>
      <c r="AP219" s="76"/>
      <c r="AV219" s="76"/>
      <c r="BB219" s="76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</row>
    <row r="220">
      <c r="L220" s="76"/>
      <c r="R220" s="76"/>
      <c r="X220" s="76"/>
      <c r="AD220" s="76"/>
      <c r="AJ220" s="76"/>
      <c r="AP220" s="76"/>
      <c r="AV220" s="76"/>
      <c r="BB220" s="76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</row>
    <row r="221">
      <c r="L221" s="76"/>
      <c r="R221" s="76"/>
      <c r="X221" s="76"/>
      <c r="AD221" s="76"/>
      <c r="AJ221" s="76"/>
      <c r="AP221" s="76"/>
      <c r="AV221" s="76"/>
      <c r="BB221" s="76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</row>
    <row r="222">
      <c r="L222" s="76"/>
      <c r="R222" s="76"/>
      <c r="X222" s="76"/>
      <c r="AD222" s="76"/>
      <c r="AJ222" s="76"/>
      <c r="AP222" s="76"/>
      <c r="AV222" s="76"/>
      <c r="BB222" s="76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</row>
    <row r="223">
      <c r="L223" s="76"/>
      <c r="R223" s="76"/>
      <c r="X223" s="76"/>
      <c r="AD223" s="76"/>
      <c r="AJ223" s="76"/>
      <c r="AP223" s="76"/>
      <c r="AV223" s="76"/>
      <c r="BB223" s="76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</row>
    <row r="224">
      <c r="L224" s="76"/>
      <c r="R224" s="76"/>
      <c r="X224" s="76"/>
      <c r="AD224" s="76"/>
      <c r="AJ224" s="76"/>
      <c r="AP224" s="76"/>
      <c r="AV224" s="76"/>
      <c r="BB224" s="76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</row>
    <row r="225">
      <c r="L225" s="76"/>
      <c r="R225" s="76"/>
      <c r="X225" s="76"/>
      <c r="AD225" s="76"/>
      <c r="AJ225" s="76"/>
      <c r="AP225" s="76"/>
      <c r="AV225" s="76"/>
      <c r="BB225" s="76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</row>
    <row r="226">
      <c r="L226" s="76"/>
      <c r="R226" s="76"/>
      <c r="X226" s="76"/>
      <c r="AD226" s="76"/>
      <c r="AJ226" s="76"/>
      <c r="AP226" s="76"/>
      <c r="AV226" s="76"/>
      <c r="BB226" s="76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</row>
    <row r="227">
      <c r="L227" s="76"/>
      <c r="R227" s="76"/>
      <c r="X227" s="76"/>
      <c r="AD227" s="76"/>
      <c r="AJ227" s="76"/>
      <c r="AP227" s="76"/>
      <c r="AV227" s="76"/>
      <c r="BB227" s="76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</row>
    <row r="228">
      <c r="L228" s="76"/>
      <c r="R228" s="76"/>
      <c r="X228" s="76"/>
      <c r="AD228" s="76"/>
      <c r="AJ228" s="76"/>
      <c r="AP228" s="76"/>
      <c r="AV228" s="76"/>
      <c r="BB228" s="76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</row>
    <row r="229">
      <c r="L229" s="76"/>
      <c r="R229" s="76"/>
      <c r="X229" s="76"/>
      <c r="AD229" s="76"/>
      <c r="AJ229" s="76"/>
      <c r="AP229" s="76"/>
      <c r="AV229" s="76"/>
      <c r="BB229" s="76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</row>
    <row r="230">
      <c r="L230" s="76"/>
      <c r="R230" s="76"/>
      <c r="X230" s="76"/>
      <c r="AD230" s="76"/>
      <c r="AJ230" s="76"/>
      <c r="AP230" s="76"/>
      <c r="AV230" s="76"/>
      <c r="BB230" s="76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</row>
    <row r="231">
      <c r="L231" s="76"/>
      <c r="R231" s="76"/>
      <c r="X231" s="76"/>
      <c r="AD231" s="76"/>
      <c r="AJ231" s="76"/>
      <c r="AP231" s="76"/>
      <c r="AV231" s="76"/>
      <c r="BB231" s="76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</row>
    <row r="232">
      <c r="L232" s="76"/>
      <c r="R232" s="76"/>
      <c r="X232" s="76"/>
      <c r="AD232" s="76"/>
      <c r="AJ232" s="76"/>
      <c r="AP232" s="76"/>
      <c r="AV232" s="76"/>
      <c r="BB232" s="76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</row>
    <row r="233">
      <c r="L233" s="76"/>
      <c r="R233" s="76"/>
      <c r="X233" s="76"/>
      <c r="AD233" s="76"/>
      <c r="AJ233" s="76"/>
      <c r="AP233" s="76"/>
      <c r="AV233" s="76"/>
      <c r="BB233" s="76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</row>
    <row r="234">
      <c r="L234" s="76"/>
      <c r="R234" s="76"/>
      <c r="X234" s="76"/>
      <c r="AD234" s="76"/>
      <c r="AJ234" s="76"/>
      <c r="AP234" s="76"/>
      <c r="AV234" s="76"/>
      <c r="BB234" s="76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</row>
    <row r="235">
      <c r="L235" s="76"/>
      <c r="R235" s="76"/>
      <c r="X235" s="76"/>
      <c r="AD235" s="76"/>
      <c r="AJ235" s="76"/>
      <c r="AP235" s="76"/>
      <c r="AV235" s="76"/>
      <c r="BB235" s="76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</row>
    <row r="236">
      <c r="L236" s="76"/>
      <c r="R236" s="76"/>
      <c r="X236" s="76"/>
      <c r="AD236" s="76"/>
      <c r="AJ236" s="76"/>
      <c r="AP236" s="76"/>
      <c r="AV236" s="76"/>
      <c r="BB236" s="76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</row>
    <row r="237">
      <c r="L237" s="76"/>
      <c r="R237" s="76"/>
      <c r="X237" s="76"/>
      <c r="AD237" s="76"/>
      <c r="AJ237" s="76"/>
      <c r="AP237" s="76"/>
      <c r="AV237" s="76"/>
      <c r="BB237" s="76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</row>
    <row r="238">
      <c r="L238" s="76"/>
      <c r="R238" s="76"/>
      <c r="X238" s="76"/>
      <c r="AD238" s="76"/>
      <c r="AJ238" s="76"/>
      <c r="AP238" s="76"/>
      <c r="AV238" s="76"/>
      <c r="BB238" s="76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</row>
    <row r="239">
      <c r="L239" s="76"/>
      <c r="R239" s="76"/>
      <c r="X239" s="76"/>
      <c r="AD239" s="76"/>
      <c r="AJ239" s="76"/>
      <c r="AP239" s="76"/>
      <c r="AV239" s="76"/>
      <c r="BB239" s="76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</row>
    <row r="240">
      <c r="L240" s="76"/>
      <c r="R240" s="76"/>
      <c r="X240" s="76"/>
      <c r="AD240" s="76"/>
      <c r="AJ240" s="76"/>
      <c r="AP240" s="76"/>
      <c r="AV240" s="76"/>
      <c r="BB240" s="76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</row>
    <row r="241">
      <c r="L241" s="76"/>
      <c r="R241" s="76"/>
      <c r="X241" s="76"/>
      <c r="AD241" s="76"/>
      <c r="AJ241" s="76"/>
      <c r="AP241" s="76"/>
      <c r="AV241" s="76"/>
      <c r="BB241" s="76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</row>
    <row r="242">
      <c r="L242" s="76"/>
      <c r="R242" s="76"/>
      <c r="X242" s="76"/>
      <c r="AD242" s="76"/>
      <c r="AJ242" s="76"/>
      <c r="AP242" s="76"/>
      <c r="AV242" s="76"/>
      <c r="BB242" s="76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</row>
    <row r="243">
      <c r="L243" s="76"/>
      <c r="R243" s="76"/>
      <c r="X243" s="76"/>
      <c r="AD243" s="76"/>
      <c r="AJ243" s="76"/>
      <c r="AP243" s="76"/>
      <c r="AV243" s="76"/>
      <c r="BB243" s="76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</row>
    <row r="244">
      <c r="L244" s="76"/>
      <c r="R244" s="76"/>
      <c r="X244" s="76"/>
      <c r="AD244" s="76"/>
      <c r="AJ244" s="76"/>
      <c r="AP244" s="76"/>
      <c r="AV244" s="76"/>
      <c r="BB244" s="76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</row>
    <row r="245">
      <c r="L245" s="76"/>
      <c r="R245" s="76"/>
      <c r="X245" s="76"/>
      <c r="AD245" s="76"/>
      <c r="AJ245" s="76"/>
      <c r="AP245" s="76"/>
      <c r="AV245" s="76"/>
      <c r="BB245" s="76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</row>
    <row r="246">
      <c r="L246" s="76"/>
      <c r="R246" s="76"/>
      <c r="X246" s="76"/>
      <c r="AD246" s="76"/>
      <c r="AJ246" s="76"/>
      <c r="AP246" s="76"/>
      <c r="AV246" s="76"/>
      <c r="BB246" s="76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</row>
    <row r="247">
      <c r="L247" s="76"/>
      <c r="R247" s="76"/>
      <c r="X247" s="76"/>
      <c r="AD247" s="76"/>
      <c r="AJ247" s="76"/>
      <c r="AP247" s="76"/>
      <c r="AV247" s="76"/>
      <c r="BB247" s="76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</row>
    <row r="248">
      <c r="L248" s="76"/>
      <c r="R248" s="76"/>
      <c r="X248" s="76"/>
      <c r="AD248" s="76"/>
      <c r="AJ248" s="76"/>
      <c r="AP248" s="76"/>
      <c r="AV248" s="76"/>
      <c r="BB248" s="76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</row>
    <row r="249">
      <c r="L249" s="76"/>
      <c r="R249" s="76"/>
      <c r="X249" s="76"/>
      <c r="AD249" s="76"/>
      <c r="AJ249" s="76"/>
      <c r="AP249" s="76"/>
      <c r="AV249" s="76"/>
      <c r="BB249" s="76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</row>
    <row r="250">
      <c r="L250" s="76"/>
      <c r="R250" s="76"/>
      <c r="X250" s="76"/>
      <c r="AD250" s="76"/>
      <c r="AJ250" s="76"/>
      <c r="AP250" s="76"/>
      <c r="AV250" s="76"/>
      <c r="BB250" s="76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</row>
    <row r="251">
      <c r="L251" s="76"/>
      <c r="R251" s="76"/>
      <c r="X251" s="76"/>
      <c r="AD251" s="76"/>
      <c r="AJ251" s="76"/>
      <c r="AP251" s="76"/>
      <c r="AV251" s="76"/>
      <c r="BB251" s="76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</row>
    <row r="252">
      <c r="L252" s="76"/>
      <c r="R252" s="76"/>
      <c r="X252" s="76"/>
      <c r="AD252" s="76"/>
      <c r="AJ252" s="76"/>
      <c r="AP252" s="76"/>
      <c r="AV252" s="76"/>
      <c r="BB252" s="76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</row>
    <row r="253">
      <c r="L253" s="76"/>
      <c r="R253" s="76"/>
      <c r="X253" s="76"/>
      <c r="AD253" s="76"/>
      <c r="AJ253" s="76"/>
      <c r="AP253" s="76"/>
      <c r="AV253" s="76"/>
      <c r="BB253" s="76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</row>
    <row r="254">
      <c r="L254" s="76"/>
      <c r="R254" s="76"/>
      <c r="X254" s="76"/>
      <c r="AD254" s="76"/>
      <c r="AJ254" s="76"/>
      <c r="AP254" s="76"/>
      <c r="AV254" s="76"/>
      <c r="BB254" s="76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</row>
    <row r="255">
      <c r="L255" s="76"/>
      <c r="R255" s="76"/>
      <c r="X255" s="76"/>
      <c r="AD255" s="76"/>
      <c r="AJ255" s="76"/>
      <c r="AP255" s="76"/>
      <c r="AV255" s="76"/>
      <c r="BB255" s="76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</row>
    <row r="256">
      <c r="L256" s="76"/>
      <c r="R256" s="76"/>
      <c r="X256" s="76"/>
      <c r="AD256" s="76"/>
      <c r="AJ256" s="76"/>
      <c r="AP256" s="76"/>
      <c r="AV256" s="76"/>
      <c r="BB256" s="76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</row>
    <row r="257">
      <c r="L257" s="76"/>
      <c r="R257" s="76"/>
      <c r="X257" s="76"/>
      <c r="AD257" s="76"/>
      <c r="AJ257" s="76"/>
      <c r="AP257" s="76"/>
      <c r="AV257" s="76"/>
      <c r="BB257" s="76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</row>
    <row r="258">
      <c r="L258" s="76"/>
      <c r="R258" s="76"/>
      <c r="X258" s="76"/>
      <c r="AD258" s="76"/>
      <c r="AJ258" s="76"/>
      <c r="AP258" s="76"/>
      <c r="AV258" s="76"/>
      <c r="BB258" s="76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</row>
    <row r="259">
      <c r="L259" s="76"/>
      <c r="R259" s="76"/>
      <c r="X259" s="76"/>
      <c r="AD259" s="76"/>
      <c r="AJ259" s="76"/>
      <c r="AP259" s="76"/>
      <c r="AV259" s="76"/>
      <c r="BB259" s="76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</row>
    <row r="260">
      <c r="L260" s="76"/>
      <c r="R260" s="76"/>
      <c r="X260" s="76"/>
      <c r="AD260" s="76"/>
      <c r="AJ260" s="76"/>
      <c r="AP260" s="76"/>
      <c r="AV260" s="76"/>
      <c r="BB260" s="76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</row>
    <row r="261">
      <c r="L261" s="76"/>
      <c r="R261" s="76"/>
      <c r="X261" s="76"/>
      <c r="AD261" s="76"/>
      <c r="AJ261" s="76"/>
      <c r="AP261" s="76"/>
      <c r="AV261" s="76"/>
      <c r="BB261" s="76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</row>
    <row r="262">
      <c r="L262" s="76"/>
      <c r="R262" s="76"/>
      <c r="X262" s="76"/>
      <c r="AD262" s="76"/>
      <c r="AJ262" s="76"/>
      <c r="AP262" s="76"/>
      <c r="AV262" s="76"/>
      <c r="BB262" s="76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</row>
    <row r="263">
      <c r="L263" s="76"/>
      <c r="R263" s="76"/>
      <c r="X263" s="76"/>
      <c r="AD263" s="76"/>
      <c r="AJ263" s="76"/>
      <c r="AP263" s="76"/>
      <c r="AV263" s="76"/>
      <c r="BB263" s="76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</row>
    <row r="264">
      <c r="L264" s="76"/>
      <c r="R264" s="76"/>
      <c r="X264" s="76"/>
      <c r="AD264" s="76"/>
      <c r="AJ264" s="76"/>
      <c r="AP264" s="76"/>
      <c r="AV264" s="76"/>
      <c r="BB264" s="76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</row>
    <row r="265">
      <c r="L265" s="76"/>
      <c r="R265" s="76"/>
      <c r="X265" s="76"/>
      <c r="AD265" s="76"/>
      <c r="AJ265" s="76"/>
      <c r="AP265" s="76"/>
      <c r="AV265" s="76"/>
      <c r="BB265" s="76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</row>
    <row r="266">
      <c r="L266" s="76"/>
      <c r="R266" s="76"/>
      <c r="X266" s="76"/>
      <c r="AD266" s="76"/>
      <c r="AJ266" s="76"/>
      <c r="AP266" s="76"/>
      <c r="AV266" s="76"/>
      <c r="BB266" s="76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</row>
    <row r="267">
      <c r="L267" s="76"/>
      <c r="R267" s="76"/>
      <c r="X267" s="76"/>
      <c r="AD267" s="76"/>
      <c r="AJ267" s="76"/>
      <c r="AP267" s="76"/>
      <c r="AV267" s="76"/>
      <c r="BB267" s="76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</row>
    <row r="268">
      <c r="L268" s="76"/>
      <c r="R268" s="76"/>
      <c r="X268" s="76"/>
      <c r="AD268" s="76"/>
      <c r="AJ268" s="76"/>
      <c r="AP268" s="76"/>
      <c r="AV268" s="76"/>
      <c r="BB268" s="76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</row>
    <row r="269">
      <c r="L269" s="76"/>
      <c r="R269" s="76"/>
      <c r="X269" s="76"/>
      <c r="AD269" s="76"/>
      <c r="AJ269" s="76"/>
      <c r="AP269" s="76"/>
      <c r="AV269" s="76"/>
      <c r="BB269" s="76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</row>
    <row r="270">
      <c r="L270" s="76"/>
      <c r="R270" s="76"/>
      <c r="X270" s="76"/>
      <c r="AD270" s="76"/>
      <c r="AJ270" s="76"/>
      <c r="AP270" s="76"/>
      <c r="AV270" s="76"/>
      <c r="BB270" s="76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</row>
    <row r="271">
      <c r="L271" s="76"/>
      <c r="R271" s="76"/>
      <c r="X271" s="76"/>
      <c r="AD271" s="76"/>
      <c r="AJ271" s="76"/>
      <c r="AP271" s="76"/>
      <c r="AV271" s="76"/>
      <c r="BB271" s="76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</row>
    <row r="272">
      <c r="L272" s="76"/>
      <c r="R272" s="76"/>
      <c r="X272" s="76"/>
      <c r="AD272" s="76"/>
      <c r="AJ272" s="76"/>
      <c r="AP272" s="76"/>
      <c r="AV272" s="76"/>
      <c r="BB272" s="76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</row>
    <row r="273">
      <c r="L273" s="76"/>
      <c r="R273" s="76"/>
      <c r="X273" s="76"/>
      <c r="AD273" s="76"/>
      <c r="AJ273" s="76"/>
      <c r="AP273" s="76"/>
      <c r="AV273" s="76"/>
      <c r="BB273" s="76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</row>
    <row r="274">
      <c r="L274" s="76"/>
      <c r="R274" s="76"/>
      <c r="X274" s="76"/>
      <c r="AD274" s="76"/>
      <c r="AJ274" s="76"/>
      <c r="AP274" s="76"/>
      <c r="AV274" s="76"/>
      <c r="BB274" s="76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</row>
    <row r="275">
      <c r="L275" s="76"/>
      <c r="R275" s="76"/>
      <c r="X275" s="76"/>
      <c r="AD275" s="76"/>
      <c r="AJ275" s="76"/>
      <c r="AP275" s="76"/>
      <c r="AV275" s="76"/>
      <c r="BB275" s="76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</row>
    <row r="276">
      <c r="L276" s="76"/>
      <c r="R276" s="76"/>
      <c r="X276" s="76"/>
      <c r="AD276" s="76"/>
      <c r="AJ276" s="76"/>
      <c r="AP276" s="76"/>
      <c r="AV276" s="76"/>
      <c r="BB276" s="76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</row>
    <row r="277">
      <c r="L277" s="76"/>
      <c r="R277" s="76"/>
      <c r="X277" s="76"/>
      <c r="AD277" s="76"/>
      <c r="AJ277" s="76"/>
      <c r="AP277" s="76"/>
      <c r="AV277" s="76"/>
      <c r="BB277" s="76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</row>
    <row r="278">
      <c r="L278" s="76"/>
      <c r="R278" s="76"/>
      <c r="X278" s="76"/>
      <c r="AD278" s="76"/>
      <c r="AJ278" s="76"/>
      <c r="AP278" s="76"/>
      <c r="AV278" s="76"/>
      <c r="BB278" s="76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</row>
    <row r="279">
      <c r="L279" s="76"/>
      <c r="R279" s="76"/>
      <c r="X279" s="76"/>
      <c r="AD279" s="76"/>
      <c r="AJ279" s="76"/>
      <c r="AP279" s="76"/>
      <c r="AV279" s="76"/>
      <c r="BB279" s="76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</row>
    <row r="280">
      <c r="L280" s="76"/>
      <c r="R280" s="76"/>
      <c r="X280" s="76"/>
      <c r="AD280" s="76"/>
      <c r="AJ280" s="76"/>
      <c r="AP280" s="76"/>
      <c r="AV280" s="76"/>
      <c r="BB280" s="76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</row>
    <row r="281">
      <c r="L281" s="76"/>
      <c r="R281" s="76"/>
      <c r="X281" s="76"/>
      <c r="AD281" s="76"/>
      <c r="AJ281" s="76"/>
      <c r="AP281" s="76"/>
      <c r="AV281" s="76"/>
      <c r="BB281" s="76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</row>
    <row r="282">
      <c r="L282" s="76"/>
      <c r="R282" s="76"/>
      <c r="X282" s="76"/>
      <c r="AD282" s="76"/>
      <c r="AJ282" s="76"/>
      <c r="AP282" s="76"/>
      <c r="AV282" s="76"/>
      <c r="BB282" s="76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</row>
    <row r="283">
      <c r="L283" s="76"/>
      <c r="R283" s="76"/>
      <c r="X283" s="76"/>
      <c r="AD283" s="76"/>
      <c r="AJ283" s="76"/>
      <c r="AP283" s="76"/>
      <c r="AV283" s="76"/>
      <c r="BB283" s="76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</row>
    <row r="284">
      <c r="L284" s="76"/>
      <c r="R284" s="76"/>
      <c r="X284" s="76"/>
      <c r="AD284" s="76"/>
      <c r="AJ284" s="76"/>
      <c r="AP284" s="76"/>
      <c r="AV284" s="76"/>
      <c r="BB284" s="76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</row>
    <row r="285">
      <c r="L285" s="76"/>
      <c r="R285" s="76"/>
      <c r="X285" s="76"/>
      <c r="AD285" s="76"/>
      <c r="AJ285" s="76"/>
      <c r="AP285" s="76"/>
      <c r="AV285" s="76"/>
      <c r="BB285" s="76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</row>
    <row r="286">
      <c r="L286" s="76"/>
      <c r="R286" s="76"/>
      <c r="X286" s="76"/>
      <c r="AD286" s="76"/>
      <c r="AJ286" s="76"/>
      <c r="AP286" s="76"/>
      <c r="AV286" s="76"/>
      <c r="BB286" s="76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</row>
    <row r="287">
      <c r="L287" s="76"/>
      <c r="R287" s="76"/>
      <c r="X287" s="76"/>
      <c r="AD287" s="76"/>
      <c r="AJ287" s="76"/>
      <c r="AP287" s="76"/>
      <c r="AV287" s="76"/>
      <c r="BB287" s="76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</row>
    <row r="288">
      <c r="L288" s="76"/>
      <c r="R288" s="76"/>
      <c r="X288" s="76"/>
      <c r="AD288" s="76"/>
      <c r="AJ288" s="76"/>
      <c r="AP288" s="76"/>
      <c r="AV288" s="76"/>
      <c r="BB288" s="76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</row>
    <row r="289">
      <c r="L289" s="76"/>
      <c r="R289" s="76"/>
      <c r="X289" s="76"/>
      <c r="AD289" s="76"/>
      <c r="AJ289" s="76"/>
      <c r="AP289" s="76"/>
      <c r="AV289" s="76"/>
      <c r="BB289" s="76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</row>
    <row r="290">
      <c r="L290" s="76"/>
      <c r="R290" s="76"/>
      <c r="X290" s="76"/>
      <c r="AD290" s="76"/>
      <c r="AJ290" s="76"/>
      <c r="AP290" s="76"/>
      <c r="AV290" s="76"/>
      <c r="BB290" s="76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</row>
    <row r="291">
      <c r="L291" s="76"/>
      <c r="R291" s="76"/>
      <c r="X291" s="76"/>
      <c r="AD291" s="76"/>
      <c r="AJ291" s="76"/>
      <c r="AP291" s="76"/>
      <c r="AV291" s="76"/>
      <c r="BB291" s="76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</row>
    <row r="292">
      <c r="L292" s="76"/>
      <c r="R292" s="76"/>
      <c r="X292" s="76"/>
      <c r="AD292" s="76"/>
      <c r="AJ292" s="76"/>
      <c r="AP292" s="76"/>
      <c r="AV292" s="76"/>
      <c r="BB292" s="76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</row>
    <row r="293">
      <c r="L293" s="76"/>
      <c r="R293" s="76"/>
      <c r="X293" s="76"/>
      <c r="AD293" s="76"/>
      <c r="AJ293" s="76"/>
      <c r="AP293" s="76"/>
      <c r="AV293" s="76"/>
      <c r="BB293" s="76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</row>
    <row r="294">
      <c r="L294" s="76"/>
      <c r="R294" s="76"/>
      <c r="X294" s="76"/>
      <c r="AD294" s="76"/>
      <c r="AJ294" s="76"/>
      <c r="AP294" s="76"/>
      <c r="AV294" s="76"/>
      <c r="BB294" s="76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</row>
    <row r="295">
      <c r="L295" s="76"/>
      <c r="R295" s="76"/>
      <c r="X295" s="76"/>
      <c r="AD295" s="76"/>
      <c r="AJ295" s="76"/>
      <c r="AP295" s="76"/>
      <c r="AV295" s="76"/>
      <c r="BB295" s="76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</row>
    <row r="296">
      <c r="L296" s="76"/>
      <c r="R296" s="76"/>
      <c r="X296" s="76"/>
      <c r="AD296" s="76"/>
      <c r="AJ296" s="76"/>
      <c r="AP296" s="76"/>
      <c r="AV296" s="76"/>
      <c r="BB296" s="76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</row>
    <row r="297">
      <c r="L297" s="76"/>
      <c r="R297" s="76"/>
      <c r="X297" s="76"/>
      <c r="AD297" s="76"/>
      <c r="AJ297" s="76"/>
      <c r="AP297" s="76"/>
      <c r="AV297" s="76"/>
      <c r="BB297" s="76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</row>
    <row r="298">
      <c r="L298" s="76"/>
      <c r="R298" s="76"/>
      <c r="X298" s="76"/>
      <c r="AD298" s="76"/>
      <c r="AJ298" s="76"/>
      <c r="AP298" s="76"/>
      <c r="AV298" s="76"/>
      <c r="BB298" s="76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</row>
    <row r="299">
      <c r="L299" s="76"/>
      <c r="R299" s="76"/>
      <c r="X299" s="76"/>
      <c r="AD299" s="76"/>
      <c r="AJ299" s="76"/>
      <c r="AP299" s="76"/>
      <c r="AV299" s="76"/>
      <c r="BB299" s="76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</row>
    <row r="300">
      <c r="L300" s="76"/>
      <c r="R300" s="76"/>
      <c r="X300" s="76"/>
      <c r="AD300" s="76"/>
      <c r="AJ300" s="76"/>
      <c r="AP300" s="76"/>
      <c r="AV300" s="76"/>
      <c r="BB300" s="76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</row>
    <row r="301">
      <c r="L301" s="76"/>
      <c r="R301" s="76"/>
      <c r="X301" s="76"/>
      <c r="AD301" s="76"/>
      <c r="AJ301" s="76"/>
      <c r="AP301" s="76"/>
      <c r="AV301" s="76"/>
      <c r="BB301" s="76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</row>
    <row r="302">
      <c r="L302" s="76"/>
      <c r="R302" s="76"/>
      <c r="X302" s="76"/>
      <c r="AD302" s="76"/>
      <c r="AJ302" s="76"/>
      <c r="AP302" s="76"/>
      <c r="AV302" s="76"/>
      <c r="BB302" s="76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</row>
    <row r="303">
      <c r="L303" s="76"/>
      <c r="R303" s="76"/>
      <c r="X303" s="76"/>
      <c r="AD303" s="76"/>
      <c r="AJ303" s="76"/>
      <c r="AP303" s="76"/>
      <c r="AV303" s="76"/>
      <c r="BB303" s="76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</row>
    <row r="304">
      <c r="L304" s="76"/>
      <c r="R304" s="76"/>
      <c r="X304" s="76"/>
      <c r="AD304" s="76"/>
      <c r="AJ304" s="76"/>
      <c r="AP304" s="76"/>
      <c r="AV304" s="76"/>
      <c r="BB304" s="76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</row>
    <row r="305">
      <c r="L305" s="76"/>
      <c r="R305" s="76"/>
      <c r="X305" s="76"/>
      <c r="AD305" s="76"/>
      <c r="AJ305" s="76"/>
      <c r="AP305" s="76"/>
      <c r="AV305" s="76"/>
      <c r="BB305" s="76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</row>
    <row r="306">
      <c r="L306" s="76"/>
      <c r="R306" s="76"/>
      <c r="X306" s="76"/>
      <c r="AD306" s="76"/>
      <c r="AJ306" s="76"/>
      <c r="AP306" s="76"/>
      <c r="AV306" s="76"/>
      <c r="BB306" s="76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</row>
    <row r="307">
      <c r="L307" s="76"/>
      <c r="R307" s="76"/>
      <c r="X307" s="76"/>
      <c r="AD307" s="76"/>
      <c r="AJ307" s="76"/>
      <c r="AP307" s="76"/>
      <c r="AV307" s="76"/>
      <c r="BB307" s="76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</row>
    <row r="308">
      <c r="L308" s="76"/>
      <c r="R308" s="76"/>
      <c r="X308" s="76"/>
      <c r="AD308" s="76"/>
      <c r="AJ308" s="76"/>
      <c r="AP308" s="76"/>
      <c r="AV308" s="76"/>
      <c r="BB308" s="76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</row>
    <row r="309">
      <c r="L309" s="76"/>
      <c r="R309" s="76"/>
      <c r="X309" s="76"/>
      <c r="AD309" s="76"/>
      <c r="AJ309" s="76"/>
      <c r="AP309" s="76"/>
      <c r="AV309" s="76"/>
      <c r="BB309" s="76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</row>
    <row r="310">
      <c r="L310" s="76"/>
      <c r="R310" s="76"/>
      <c r="X310" s="76"/>
      <c r="AD310" s="76"/>
      <c r="AJ310" s="76"/>
      <c r="AP310" s="76"/>
      <c r="AV310" s="76"/>
      <c r="BB310" s="76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</row>
    <row r="311">
      <c r="L311" s="76"/>
      <c r="R311" s="76"/>
      <c r="X311" s="76"/>
      <c r="AD311" s="76"/>
      <c r="AJ311" s="76"/>
      <c r="AP311" s="76"/>
      <c r="AV311" s="76"/>
      <c r="BB311" s="76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</row>
    <row r="312">
      <c r="L312" s="76"/>
      <c r="R312" s="76"/>
      <c r="X312" s="76"/>
      <c r="AD312" s="76"/>
      <c r="AJ312" s="76"/>
      <c r="AP312" s="76"/>
      <c r="AV312" s="76"/>
      <c r="BB312" s="76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</row>
    <row r="313">
      <c r="L313" s="76"/>
      <c r="R313" s="76"/>
      <c r="X313" s="76"/>
      <c r="AD313" s="76"/>
      <c r="AJ313" s="76"/>
      <c r="AP313" s="76"/>
      <c r="AV313" s="76"/>
      <c r="BB313" s="76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</row>
    <row r="314">
      <c r="L314" s="76"/>
      <c r="R314" s="76"/>
      <c r="X314" s="76"/>
      <c r="AD314" s="76"/>
      <c r="AJ314" s="76"/>
      <c r="AP314" s="76"/>
      <c r="AV314" s="76"/>
      <c r="BB314" s="76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</row>
    <row r="315">
      <c r="L315" s="76"/>
      <c r="R315" s="76"/>
      <c r="X315" s="76"/>
      <c r="AD315" s="76"/>
      <c r="AJ315" s="76"/>
      <c r="AP315" s="76"/>
      <c r="AV315" s="76"/>
      <c r="BB315" s="76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</row>
    <row r="316">
      <c r="L316" s="76"/>
      <c r="R316" s="76"/>
      <c r="X316" s="76"/>
      <c r="AD316" s="76"/>
      <c r="AJ316" s="76"/>
      <c r="AP316" s="76"/>
      <c r="AV316" s="76"/>
      <c r="BB316" s="76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</row>
    <row r="317">
      <c r="L317" s="76"/>
      <c r="R317" s="76"/>
      <c r="X317" s="76"/>
      <c r="AD317" s="76"/>
      <c r="AJ317" s="76"/>
      <c r="AP317" s="76"/>
      <c r="AV317" s="76"/>
      <c r="BB317" s="76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</row>
    <row r="318">
      <c r="L318" s="76"/>
      <c r="R318" s="76"/>
      <c r="X318" s="76"/>
      <c r="AD318" s="76"/>
      <c r="AJ318" s="76"/>
      <c r="AP318" s="76"/>
      <c r="AV318" s="76"/>
      <c r="BB318" s="76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</row>
    <row r="319">
      <c r="L319" s="76"/>
      <c r="R319" s="76"/>
      <c r="X319" s="76"/>
      <c r="AD319" s="76"/>
      <c r="AJ319" s="76"/>
      <c r="AP319" s="76"/>
      <c r="AV319" s="76"/>
      <c r="BB319" s="76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</row>
    <row r="320">
      <c r="L320" s="76"/>
      <c r="R320" s="76"/>
      <c r="X320" s="76"/>
      <c r="AD320" s="76"/>
      <c r="AJ320" s="76"/>
      <c r="AP320" s="76"/>
      <c r="AV320" s="76"/>
      <c r="BB320" s="76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</row>
    <row r="321">
      <c r="L321" s="76"/>
      <c r="R321" s="76"/>
      <c r="X321" s="76"/>
      <c r="AD321" s="76"/>
      <c r="AJ321" s="76"/>
      <c r="AP321" s="76"/>
      <c r="AV321" s="76"/>
      <c r="BB321" s="76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</row>
    <row r="322">
      <c r="L322" s="76"/>
      <c r="R322" s="76"/>
      <c r="X322" s="76"/>
      <c r="AD322" s="76"/>
      <c r="AJ322" s="76"/>
      <c r="AP322" s="76"/>
      <c r="AV322" s="76"/>
      <c r="BB322" s="76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</row>
    <row r="323">
      <c r="L323" s="76"/>
      <c r="R323" s="76"/>
      <c r="X323" s="76"/>
      <c r="AD323" s="76"/>
      <c r="AJ323" s="76"/>
      <c r="AP323" s="76"/>
      <c r="AV323" s="76"/>
      <c r="BB323" s="76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</row>
    <row r="324">
      <c r="L324" s="76"/>
      <c r="R324" s="76"/>
      <c r="X324" s="76"/>
      <c r="AD324" s="76"/>
      <c r="AJ324" s="76"/>
      <c r="AP324" s="76"/>
      <c r="AV324" s="76"/>
      <c r="BB324" s="76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</row>
    <row r="325">
      <c r="L325" s="76"/>
      <c r="R325" s="76"/>
      <c r="X325" s="76"/>
      <c r="AD325" s="76"/>
      <c r="AJ325" s="76"/>
      <c r="AP325" s="76"/>
      <c r="AV325" s="76"/>
      <c r="BB325" s="76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</row>
    <row r="326">
      <c r="L326" s="76"/>
      <c r="R326" s="76"/>
      <c r="X326" s="76"/>
      <c r="AD326" s="76"/>
      <c r="AJ326" s="76"/>
      <c r="AP326" s="76"/>
      <c r="AV326" s="76"/>
      <c r="BB326" s="76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</row>
    <row r="327">
      <c r="L327" s="76"/>
      <c r="R327" s="76"/>
      <c r="X327" s="76"/>
      <c r="AD327" s="76"/>
      <c r="AJ327" s="76"/>
      <c r="AP327" s="76"/>
      <c r="AV327" s="76"/>
      <c r="BB327" s="76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</row>
    <row r="328">
      <c r="L328" s="76"/>
      <c r="R328" s="76"/>
      <c r="X328" s="76"/>
      <c r="AD328" s="76"/>
      <c r="AJ328" s="76"/>
      <c r="AP328" s="76"/>
      <c r="AV328" s="76"/>
      <c r="BB328" s="76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</row>
    <row r="329">
      <c r="L329" s="76"/>
      <c r="R329" s="76"/>
      <c r="X329" s="76"/>
      <c r="AD329" s="76"/>
      <c r="AJ329" s="76"/>
      <c r="AP329" s="76"/>
      <c r="AV329" s="76"/>
      <c r="BB329" s="76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</row>
    <row r="330">
      <c r="L330" s="76"/>
      <c r="R330" s="76"/>
      <c r="X330" s="76"/>
      <c r="AD330" s="76"/>
      <c r="AJ330" s="76"/>
      <c r="AP330" s="76"/>
      <c r="AV330" s="76"/>
      <c r="BB330" s="76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</row>
    <row r="331">
      <c r="L331" s="76"/>
      <c r="R331" s="76"/>
      <c r="X331" s="76"/>
      <c r="AD331" s="76"/>
      <c r="AJ331" s="76"/>
      <c r="AP331" s="76"/>
      <c r="AV331" s="76"/>
      <c r="BB331" s="76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</row>
    <row r="332">
      <c r="L332" s="76"/>
      <c r="R332" s="76"/>
      <c r="X332" s="76"/>
      <c r="AD332" s="76"/>
      <c r="AJ332" s="76"/>
      <c r="AP332" s="76"/>
      <c r="AV332" s="76"/>
      <c r="BB332" s="76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</row>
    <row r="333">
      <c r="L333" s="76"/>
      <c r="R333" s="76"/>
      <c r="X333" s="76"/>
      <c r="AD333" s="76"/>
      <c r="AJ333" s="76"/>
      <c r="AP333" s="76"/>
      <c r="AV333" s="76"/>
      <c r="BB333" s="76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</row>
    <row r="334">
      <c r="L334" s="76"/>
      <c r="R334" s="76"/>
      <c r="X334" s="76"/>
      <c r="AD334" s="76"/>
      <c r="AJ334" s="76"/>
      <c r="AP334" s="76"/>
      <c r="AV334" s="76"/>
      <c r="BB334" s="76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</row>
    <row r="335">
      <c r="L335" s="76"/>
      <c r="R335" s="76"/>
      <c r="X335" s="76"/>
      <c r="AD335" s="76"/>
      <c r="AJ335" s="76"/>
      <c r="AP335" s="76"/>
      <c r="AV335" s="76"/>
      <c r="BB335" s="76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</row>
    <row r="336">
      <c r="L336" s="76"/>
      <c r="R336" s="76"/>
      <c r="X336" s="76"/>
      <c r="AD336" s="76"/>
      <c r="AJ336" s="76"/>
      <c r="AP336" s="76"/>
      <c r="AV336" s="76"/>
      <c r="BB336" s="76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</row>
    <row r="337">
      <c r="L337" s="76"/>
      <c r="R337" s="76"/>
      <c r="X337" s="76"/>
      <c r="AD337" s="76"/>
      <c r="AJ337" s="76"/>
      <c r="AP337" s="76"/>
      <c r="AV337" s="76"/>
      <c r="BB337" s="76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</row>
    <row r="338">
      <c r="L338" s="76"/>
      <c r="R338" s="76"/>
      <c r="X338" s="76"/>
      <c r="AD338" s="76"/>
      <c r="AJ338" s="76"/>
      <c r="AP338" s="76"/>
      <c r="AV338" s="76"/>
      <c r="BB338" s="76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</row>
    <row r="339">
      <c r="L339" s="76"/>
      <c r="R339" s="76"/>
      <c r="X339" s="76"/>
      <c r="AD339" s="76"/>
      <c r="AJ339" s="76"/>
      <c r="AP339" s="76"/>
      <c r="AV339" s="76"/>
      <c r="BB339" s="76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</row>
    <row r="340">
      <c r="L340" s="76"/>
      <c r="R340" s="76"/>
      <c r="X340" s="76"/>
      <c r="AD340" s="76"/>
      <c r="AJ340" s="76"/>
      <c r="AP340" s="76"/>
      <c r="AV340" s="76"/>
      <c r="BB340" s="76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</row>
    <row r="341">
      <c r="L341" s="76"/>
      <c r="R341" s="76"/>
      <c r="X341" s="76"/>
      <c r="AD341" s="76"/>
      <c r="AJ341" s="76"/>
      <c r="AP341" s="76"/>
      <c r="AV341" s="76"/>
      <c r="BB341" s="76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</row>
    <row r="342">
      <c r="L342" s="76"/>
      <c r="R342" s="76"/>
      <c r="X342" s="76"/>
      <c r="AD342" s="76"/>
      <c r="AJ342" s="76"/>
      <c r="AP342" s="76"/>
      <c r="AV342" s="76"/>
      <c r="BB342" s="76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</row>
    <row r="343">
      <c r="L343" s="76"/>
      <c r="R343" s="76"/>
      <c r="X343" s="76"/>
      <c r="AD343" s="76"/>
      <c r="AJ343" s="76"/>
      <c r="AP343" s="76"/>
      <c r="AV343" s="76"/>
      <c r="BB343" s="76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</row>
    <row r="344">
      <c r="L344" s="76"/>
      <c r="R344" s="76"/>
      <c r="X344" s="76"/>
      <c r="AD344" s="76"/>
      <c r="AJ344" s="76"/>
      <c r="AP344" s="76"/>
      <c r="AV344" s="76"/>
      <c r="BB344" s="76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</row>
    <row r="345">
      <c r="L345" s="76"/>
      <c r="R345" s="76"/>
      <c r="X345" s="76"/>
      <c r="AD345" s="76"/>
      <c r="AJ345" s="76"/>
      <c r="AP345" s="76"/>
      <c r="AV345" s="76"/>
      <c r="BB345" s="76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</row>
    <row r="346">
      <c r="L346" s="76"/>
      <c r="R346" s="76"/>
      <c r="X346" s="76"/>
      <c r="AD346" s="76"/>
      <c r="AJ346" s="76"/>
      <c r="AP346" s="76"/>
      <c r="AV346" s="76"/>
      <c r="BB346" s="76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</row>
    <row r="347">
      <c r="L347" s="76"/>
      <c r="R347" s="76"/>
      <c r="X347" s="76"/>
      <c r="AD347" s="76"/>
      <c r="AJ347" s="76"/>
      <c r="AP347" s="76"/>
      <c r="AV347" s="76"/>
      <c r="BB347" s="76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</row>
    <row r="348">
      <c r="L348" s="76"/>
      <c r="R348" s="76"/>
      <c r="X348" s="76"/>
      <c r="AD348" s="76"/>
      <c r="AJ348" s="76"/>
      <c r="AP348" s="76"/>
      <c r="AV348" s="76"/>
      <c r="BB348" s="76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</row>
    <row r="349">
      <c r="L349" s="76"/>
      <c r="R349" s="76"/>
      <c r="X349" s="76"/>
      <c r="AD349" s="76"/>
      <c r="AJ349" s="76"/>
      <c r="AP349" s="76"/>
      <c r="AV349" s="76"/>
      <c r="BB349" s="76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</row>
    <row r="350">
      <c r="L350" s="76"/>
      <c r="R350" s="76"/>
      <c r="X350" s="76"/>
      <c r="AD350" s="76"/>
      <c r="AJ350" s="76"/>
      <c r="AP350" s="76"/>
      <c r="AV350" s="76"/>
      <c r="BB350" s="76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</row>
    <row r="351">
      <c r="L351" s="76"/>
      <c r="R351" s="76"/>
      <c r="X351" s="76"/>
      <c r="AD351" s="76"/>
      <c r="AJ351" s="76"/>
      <c r="AP351" s="76"/>
      <c r="AV351" s="76"/>
      <c r="BB351" s="76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</row>
    <row r="352">
      <c r="L352" s="76"/>
      <c r="R352" s="76"/>
      <c r="X352" s="76"/>
      <c r="AD352" s="76"/>
      <c r="AJ352" s="76"/>
      <c r="AP352" s="76"/>
      <c r="AV352" s="76"/>
      <c r="BB352" s="76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</row>
    <row r="353">
      <c r="L353" s="76"/>
      <c r="R353" s="76"/>
      <c r="X353" s="76"/>
      <c r="AD353" s="76"/>
      <c r="AJ353" s="76"/>
      <c r="AP353" s="76"/>
      <c r="AV353" s="76"/>
      <c r="BB353" s="76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</row>
    <row r="354">
      <c r="L354" s="76"/>
      <c r="R354" s="76"/>
      <c r="X354" s="76"/>
      <c r="AD354" s="76"/>
      <c r="AJ354" s="76"/>
      <c r="AP354" s="76"/>
      <c r="AV354" s="76"/>
      <c r="BB354" s="76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</row>
    <row r="355">
      <c r="L355" s="76"/>
      <c r="R355" s="76"/>
      <c r="X355" s="76"/>
      <c r="AD355" s="76"/>
      <c r="AJ355" s="76"/>
      <c r="AP355" s="76"/>
      <c r="AV355" s="76"/>
      <c r="BB355" s="76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</row>
    <row r="356">
      <c r="L356" s="76"/>
      <c r="R356" s="76"/>
      <c r="X356" s="76"/>
      <c r="AD356" s="76"/>
      <c r="AJ356" s="76"/>
      <c r="AP356" s="76"/>
      <c r="AV356" s="76"/>
      <c r="BB356" s="76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</row>
    <row r="357">
      <c r="L357" s="76"/>
      <c r="R357" s="76"/>
      <c r="X357" s="76"/>
      <c r="AD357" s="76"/>
      <c r="AJ357" s="76"/>
      <c r="AP357" s="76"/>
      <c r="AV357" s="76"/>
      <c r="BB357" s="76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</row>
    <row r="358">
      <c r="L358" s="76"/>
      <c r="R358" s="76"/>
      <c r="X358" s="76"/>
      <c r="AD358" s="76"/>
      <c r="AJ358" s="76"/>
      <c r="AP358" s="76"/>
      <c r="AV358" s="76"/>
      <c r="BB358" s="76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</row>
    <row r="359">
      <c r="L359" s="76"/>
      <c r="R359" s="76"/>
      <c r="X359" s="76"/>
      <c r="AD359" s="76"/>
      <c r="AJ359" s="76"/>
      <c r="AP359" s="76"/>
      <c r="AV359" s="76"/>
      <c r="BB359" s="76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</row>
    <row r="360">
      <c r="L360" s="76"/>
      <c r="R360" s="76"/>
      <c r="X360" s="76"/>
      <c r="AD360" s="76"/>
      <c r="AJ360" s="76"/>
      <c r="AP360" s="76"/>
      <c r="AV360" s="76"/>
      <c r="BB360" s="76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</row>
    <row r="361">
      <c r="L361" s="76"/>
      <c r="R361" s="76"/>
      <c r="X361" s="76"/>
      <c r="AD361" s="76"/>
      <c r="AJ361" s="76"/>
      <c r="AP361" s="76"/>
      <c r="AV361" s="76"/>
      <c r="BB361" s="76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</row>
    <row r="362">
      <c r="L362" s="76"/>
      <c r="R362" s="76"/>
      <c r="X362" s="76"/>
      <c r="AD362" s="76"/>
      <c r="AJ362" s="76"/>
      <c r="AP362" s="76"/>
      <c r="AV362" s="76"/>
      <c r="BB362" s="76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</row>
    <row r="363">
      <c r="L363" s="76"/>
      <c r="R363" s="76"/>
      <c r="X363" s="76"/>
      <c r="AD363" s="76"/>
      <c r="AJ363" s="76"/>
      <c r="AP363" s="76"/>
      <c r="AV363" s="76"/>
      <c r="BB363" s="76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</row>
    <row r="364">
      <c r="L364" s="76"/>
      <c r="R364" s="76"/>
      <c r="X364" s="76"/>
      <c r="AD364" s="76"/>
      <c r="AJ364" s="76"/>
      <c r="AP364" s="76"/>
      <c r="AV364" s="76"/>
      <c r="BB364" s="76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</row>
    <row r="365">
      <c r="L365" s="76"/>
      <c r="R365" s="76"/>
      <c r="X365" s="76"/>
      <c r="AD365" s="76"/>
      <c r="AJ365" s="76"/>
      <c r="AP365" s="76"/>
      <c r="AV365" s="76"/>
      <c r="BB365" s="76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</row>
    <row r="366">
      <c r="L366" s="76"/>
      <c r="R366" s="76"/>
      <c r="X366" s="76"/>
      <c r="AD366" s="76"/>
      <c r="AJ366" s="76"/>
      <c r="AP366" s="76"/>
      <c r="AV366" s="76"/>
      <c r="BB366" s="76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</row>
    <row r="367">
      <c r="L367" s="76"/>
      <c r="R367" s="76"/>
      <c r="X367" s="76"/>
      <c r="AD367" s="76"/>
      <c r="AJ367" s="76"/>
      <c r="AP367" s="76"/>
      <c r="AV367" s="76"/>
      <c r="BB367" s="76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</row>
    <row r="368">
      <c r="L368" s="76"/>
      <c r="R368" s="76"/>
      <c r="X368" s="76"/>
      <c r="AD368" s="76"/>
      <c r="AJ368" s="76"/>
      <c r="AP368" s="76"/>
      <c r="AV368" s="76"/>
      <c r="BB368" s="76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</row>
    <row r="369">
      <c r="L369" s="76"/>
      <c r="R369" s="76"/>
      <c r="X369" s="76"/>
      <c r="AD369" s="76"/>
      <c r="AJ369" s="76"/>
      <c r="AP369" s="76"/>
      <c r="AV369" s="76"/>
      <c r="BB369" s="76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</row>
    <row r="370">
      <c r="L370" s="76"/>
      <c r="R370" s="76"/>
      <c r="X370" s="76"/>
      <c r="AD370" s="76"/>
      <c r="AJ370" s="76"/>
      <c r="AP370" s="76"/>
      <c r="AV370" s="76"/>
      <c r="BB370" s="76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</row>
    <row r="371">
      <c r="L371" s="76"/>
      <c r="R371" s="76"/>
      <c r="X371" s="76"/>
      <c r="AD371" s="76"/>
      <c r="AJ371" s="76"/>
      <c r="AP371" s="76"/>
      <c r="AV371" s="76"/>
      <c r="BB371" s="76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</row>
    <row r="372">
      <c r="L372" s="76"/>
      <c r="R372" s="76"/>
      <c r="X372" s="76"/>
      <c r="AD372" s="76"/>
      <c r="AJ372" s="76"/>
      <c r="AP372" s="76"/>
      <c r="AV372" s="76"/>
      <c r="BB372" s="76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</row>
    <row r="373">
      <c r="L373" s="76"/>
      <c r="R373" s="76"/>
      <c r="X373" s="76"/>
      <c r="AD373" s="76"/>
      <c r="AJ373" s="76"/>
      <c r="AP373" s="76"/>
      <c r="AV373" s="76"/>
      <c r="BB373" s="76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</row>
    <row r="374">
      <c r="L374" s="76"/>
      <c r="R374" s="76"/>
      <c r="X374" s="76"/>
      <c r="AD374" s="76"/>
      <c r="AJ374" s="76"/>
      <c r="AP374" s="76"/>
      <c r="AV374" s="76"/>
      <c r="BB374" s="76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</row>
    <row r="375">
      <c r="L375" s="76"/>
      <c r="R375" s="76"/>
      <c r="X375" s="76"/>
      <c r="AD375" s="76"/>
      <c r="AJ375" s="76"/>
      <c r="AP375" s="76"/>
      <c r="AV375" s="76"/>
      <c r="BB375" s="76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</row>
    <row r="376">
      <c r="L376" s="76"/>
      <c r="R376" s="76"/>
      <c r="X376" s="76"/>
      <c r="AD376" s="76"/>
      <c r="AJ376" s="76"/>
      <c r="AP376" s="76"/>
      <c r="AV376" s="76"/>
      <c r="BB376" s="76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</row>
    <row r="377">
      <c r="L377" s="76"/>
      <c r="R377" s="76"/>
      <c r="X377" s="76"/>
      <c r="AD377" s="76"/>
      <c r="AJ377" s="76"/>
      <c r="AP377" s="76"/>
      <c r="AV377" s="76"/>
      <c r="BB377" s="76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</row>
    <row r="378">
      <c r="L378" s="76"/>
      <c r="R378" s="76"/>
      <c r="X378" s="76"/>
      <c r="AD378" s="76"/>
      <c r="AJ378" s="76"/>
      <c r="AP378" s="76"/>
      <c r="AV378" s="76"/>
      <c r="BB378" s="76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</row>
    <row r="379">
      <c r="L379" s="76"/>
      <c r="R379" s="76"/>
      <c r="X379" s="76"/>
      <c r="AD379" s="76"/>
      <c r="AJ379" s="76"/>
      <c r="AP379" s="76"/>
      <c r="AV379" s="76"/>
      <c r="BB379" s="76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</row>
    <row r="380">
      <c r="L380" s="76"/>
      <c r="R380" s="76"/>
      <c r="X380" s="76"/>
      <c r="AD380" s="76"/>
      <c r="AJ380" s="76"/>
      <c r="AP380" s="76"/>
      <c r="AV380" s="76"/>
      <c r="BB380" s="76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</row>
    <row r="381">
      <c r="L381" s="76"/>
      <c r="R381" s="76"/>
      <c r="X381" s="76"/>
      <c r="AD381" s="76"/>
      <c r="AJ381" s="76"/>
      <c r="AP381" s="76"/>
      <c r="AV381" s="76"/>
      <c r="BB381" s="76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</row>
    <row r="382">
      <c r="L382" s="76"/>
      <c r="R382" s="76"/>
      <c r="X382" s="76"/>
      <c r="AD382" s="76"/>
      <c r="AJ382" s="76"/>
      <c r="AP382" s="76"/>
      <c r="AV382" s="76"/>
      <c r="BB382" s="76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</row>
    <row r="383">
      <c r="L383" s="76"/>
      <c r="R383" s="76"/>
      <c r="X383" s="76"/>
      <c r="AD383" s="76"/>
      <c r="AJ383" s="76"/>
      <c r="AP383" s="76"/>
      <c r="AV383" s="76"/>
      <c r="BB383" s="76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</row>
    <row r="384">
      <c r="L384" s="76"/>
      <c r="R384" s="76"/>
      <c r="X384" s="76"/>
      <c r="AD384" s="76"/>
      <c r="AJ384" s="76"/>
      <c r="AP384" s="76"/>
      <c r="AV384" s="76"/>
      <c r="BB384" s="76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</row>
    <row r="385">
      <c r="L385" s="76"/>
      <c r="R385" s="76"/>
      <c r="X385" s="76"/>
      <c r="AD385" s="76"/>
      <c r="AJ385" s="76"/>
      <c r="AP385" s="76"/>
      <c r="AV385" s="76"/>
      <c r="BB385" s="76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</row>
    <row r="386">
      <c r="L386" s="76"/>
      <c r="R386" s="76"/>
      <c r="X386" s="76"/>
      <c r="AD386" s="76"/>
      <c r="AJ386" s="76"/>
      <c r="AP386" s="76"/>
      <c r="AV386" s="76"/>
      <c r="BB386" s="76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</row>
    <row r="387">
      <c r="L387" s="76"/>
      <c r="R387" s="76"/>
      <c r="X387" s="76"/>
      <c r="AD387" s="76"/>
      <c r="AJ387" s="76"/>
      <c r="AP387" s="76"/>
      <c r="AV387" s="76"/>
      <c r="BB387" s="76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</row>
    <row r="388">
      <c r="L388" s="76"/>
      <c r="R388" s="76"/>
      <c r="X388" s="76"/>
      <c r="AD388" s="76"/>
      <c r="AJ388" s="76"/>
      <c r="AP388" s="76"/>
      <c r="AV388" s="76"/>
      <c r="BB388" s="76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</row>
    <row r="389">
      <c r="L389" s="76"/>
      <c r="R389" s="76"/>
      <c r="X389" s="76"/>
      <c r="AD389" s="76"/>
      <c r="AJ389" s="76"/>
      <c r="AP389" s="76"/>
      <c r="AV389" s="76"/>
      <c r="BB389" s="76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</row>
    <row r="390">
      <c r="L390" s="76"/>
      <c r="R390" s="76"/>
      <c r="X390" s="76"/>
      <c r="AD390" s="76"/>
      <c r="AJ390" s="76"/>
      <c r="AP390" s="76"/>
      <c r="AV390" s="76"/>
      <c r="BB390" s="76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</row>
    <row r="391">
      <c r="L391" s="76"/>
      <c r="R391" s="76"/>
      <c r="X391" s="76"/>
      <c r="AD391" s="76"/>
      <c r="AJ391" s="76"/>
      <c r="AP391" s="76"/>
      <c r="AV391" s="76"/>
      <c r="BB391" s="76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</row>
    <row r="392">
      <c r="L392" s="76"/>
      <c r="R392" s="76"/>
      <c r="X392" s="76"/>
      <c r="AD392" s="76"/>
      <c r="AJ392" s="76"/>
      <c r="AP392" s="76"/>
      <c r="AV392" s="76"/>
      <c r="BB392" s="76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</row>
    <row r="393">
      <c r="L393" s="76"/>
      <c r="R393" s="76"/>
      <c r="X393" s="76"/>
      <c r="AD393" s="76"/>
      <c r="AJ393" s="76"/>
      <c r="AP393" s="76"/>
      <c r="AV393" s="76"/>
      <c r="BB393" s="76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</row>
    <row r="394">
      <c r="L394" s="76"/>
      <c r="R394" s="76"/>
      <c r="X394" s="76"/>
      <c r="AD394" s="76"/>
      <c r="AJ394" s="76"/>
      <c r="AP394" s="76"/>
      <c r="AV394" s="76"/>
      <c r="BB394" s="76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</row>
    <row r="395">
      <c r="L395" s="76"/>
      <c r="R395" s="76"/>
      <c r="X395" s="76"/>
      <c r="AD395" s="76"/>
      <c r="AJ395" s="76"/>
      <c r="AP395" s="76"/>
      <c r="AV395" s="76"/>
      <c r="BB395" s="76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</row>
    <row r="396">
      <c r="L396" s="76"/>
      <c r="R396" s="76"/>
      <c r="X396" s="76"/>
      <c r="AD396" s="76"/>
      <c r="AJ396" s="76"/>
      <c r="AP396" s="76"/>
      <c r="AV396" s="76"/>
      <c r="BB396" s="76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</row>
    <row r="397">
      <c r="L397" s="76"/>
      <c r="R397" s="76"/>
      <c r="X397" s="76"/>
      <c r="AD397" s="76"/>
      <c r="AJ397" s="76"/>
      <c r="AP397" s="76"/>
      <c r="AV397" s="76"/>
      <c r="BB397" s="76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</row>
    <row r="398">
      <c r="L398" s="76"/>
      <c r="R398" s="76"/>
      <c r="X398" s="76"/>
      <c r="AD398" s="76"/>
      <c r="AJ398" s="76"/>
      <c r="AP398" s="76"/>
      <c r="AV398" s="76"/>
      <c r="BB398" s="76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</row>
    <row r="399">
      <c r="L399" s="76"/>
      <c r="R399" s="76"/>
      <c r="X399" s="76"/>
      <c r="AD399" s="76"/>
      <c r="AJ399" s="76"/>
      <c r="AP399" s="76"/>
      <c r="AV399" s="76"/>
      <c r="BB399" s="76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</row>
    <row r="400">
      <c r="L400" s="76"/>
      <c r="R400" s="76"/>
      <c r="X400" s="76"/>
      <c r="AD400" s="76"/>
      <c r="AJ400" s="76"/>
      <c r="AP400" s="76"/>
      <c r="AV400" s="76"/>
      <c r="BB400" s="76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</row>
    <row r="401">
      <c r="L401" s="76"/>
      <c r="R401" s="76"/>
      <c r="X401" s="76"/>
      <c r="AD401" s="76"/>
      <c r="AJ401" s="76"/>
      <c r="AP401" s="76"/>
      <c r="AV401" s="76"/>
      <c r="BB401" s="76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</row>
    <row r="402">
      <c r="L402" s="76"/>
      <c r="R402" s="76"/>
      <c r="X402" s="76"/>
      <c r="AD402" s="76"/>
      <c r="AJ402" s="76"/>
      <c r="AP402" s="76"/>
      <c r="AV402" s="76"/>
      <c r="BB402" s="76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</row>
    <row r="403">
      <c r="L403" s="76"/>
      <c r="R403" s="76"/>
      <c r="X403" s="76"/>
      <c r="AD403" s="76"/>
      <c r="AJ403" s="76"/>
      <c r="AP403" s="76"/>
      <c r="AV403" s="76"/>
      <c r="BB403" s="76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</row>
    <row r="404">
      <c r="L404" s="76"/>
      <c r="R404" s="76"/>
      <c r="X404" s="76"/>
      <c r="AD404" s="76"/>
      <c r="AJ404" s="76"/>
      <c r="AP404" s="76"/>
      <c r="AV404" s="76"/>
      <c r="BB404" s="76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</row>
    <row r="405">
      <c r="L405" s="76"/>
      <c r="R405" s="76"/>
      <c r="X405" s="76"/>
      <c r="AD405" s="76"/>
      <c r="AJ405" s="76"/>
      <c r="AP405" s="76"/>
      <c r="AV405" s="76"/>
      <c r="BB405" s="76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</row>
    <row r="406">
      <c r="L406" s="76"/>
      <c r="R406" s="76"/>
      <c r="X406" s="76"/>
      <c r="AD406" s="76"/>
      <c r="AJ406" s="76"/>
      <c r="AP406" s="76"/>
      <c r="AV406" s="76"/>
      <c r="BB406" s="76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</row>
    <row r="407">
      <c r="L407" s="76"/>
      <c r="R407" s="76"/>
      <c r="X407" s="76"/>
      <c r="AD407" s="76"/>
      <c r="AJ407" s="76"/>
      <c r="AP407" s="76"/>
      <c r="AV407" s="76"/>
      <c r="BB407" s="76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</row>
    <row r="408">
      <c r="L408" s="76"/>
      <c r="R408" s="76"/>
      <c r="X408" s="76"/>
      <c r="AD408" s="76"/>
      <c r="AJ408" s="76"/>
      <c r="AP408" s="76"/>
      <c r="AV408" s="76"/>
      <c r="BB408" s="76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</row>
    <row r="409">
      <c r="L409" s="76"/>
      <c r="R409" s="76"/>
      <c r="X409" s="76"/>
      <c r="AD409" s="76"/>
      <c r="AJ409" s="76"/>
      <c r="AP409" s="76"/>
      <c r="AV409" s="76"/>
      <c r="BB409" s="76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</row>
    <row r="410">
      <c r="L410" s="76"/>
      <c r="R410" s="76"/>
      <c r="X410" s="76"/>
      <c r="AD410" s="76"/>
      <c r="AJ410" s="76"/>
      <c r="AP410" s="76"/>
      <c r="AV410" s="76"/>
      <c r="BB410" s="76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</row>
    <row r="411">
      <c r="L411" s="76"/>
      <c r="R411" s="76"/>
      <c r="X411" s="76"/>
      <c r="AD411" s="76"/>
      <c r="AJ411" s="76"/>
      <c r="AP411" s="76"/>
      <c r="AV411" s="76"/>
      <c r="BB411" s="76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</row>
    <row r="412">
      <c r="L412" s="76"/>
      <c r="R412" s="76"/>
      <c r="X412" s="76"/>
      <c r="AD412" s="76"/>
      <c r="AJ412" s="76"/>
      <c r="AP412" s="76"/>
      <c r="AV412" s="76"/>
      <c r="BB412" s="76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</row>
    <row r="413">
      <c r="L413" s="76"/>
      <c r="R413" s="76"/>
      <c r="X413" s="76"/>
      <c r="AD413" s="76"/>
      <c r="AJ413" s="76"/>
      <c r="AP413" s="76"/>
      <c r="AV413" s="76"/>
      <c r="BB413" s="76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</row>
    <row r="414">
      <c r="L414" s="76"/>
      <c r="R414" s="76"/>
      <c r="X414" s="76"/>
      <c r="AD414" s="76"/>
      <c r="AJ414" s="76"/>
      <c r="AP414" s="76"/>
      <c r="AV414" s="76"/>
      <c r="BB414" s="76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</row>
    <row r="415">
      <c r="L415" s="76"/>
      <c r="R415" s="76"/>
      <c r="X415" s="76"/>
      <c r="AD415" s="76"/>
      <c r="AJ415" s="76"/>
      <c r="AP415" s="76"/>
      <c r="AV415" s="76"/>
      <c r="BB415" s="76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</row>
    <row r="416">
      <c r="L416" s="76"/>
      <c r="R416" s="76"/>
      <c r="X416" s="76"/>
      <c r="AD416" s="76"/>
      <c r="AJ416" s="76"/>
      <c r="AP416" s="76"/>
      <c r="AV416" s="76"/>
      <c r="BB416" s="76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</row>
    <row r="417">
      <c r="L417" s="76"/>
      <c r="R417" s="76"/>
      <c r="X417" s="76"/>
      <c r="AD417" s="76"/>
      <c r="AJ417" s="76"/>
      <c r="AP417" s="76"/>
      <c r="AV417" s="76"/>
      <c r="BB417" s="76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</row>
    <row r="418">
      <c r="L418" s="76"/>
      <c r="R418" s="76"/>
      <c r="X418" s="76"/>
      <c r="AD418" s="76"/>
      <c r="AJ418" s="76"/>
      <c r="AP418" s="76"/>
      <c r="AV418" s="76"/>
      <c r="BB418" s="76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</row>
    <row r="419">
      <c r="L419" s="76"/>
      <c r="R419" s="76"/>
      <c r="X419" s="76"/>
      <c r="AD419" s="76"/>
      <c r="AJ419" s="76"/>
      <c r="AP419" s="76"/>
      <c r="AV419" s="76"/>
      <c r="BB419" s="76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</row>
    <row r="420">
      <c r="L420" s="76"/>
      <c r="R420" s="76"/>
      <c r="X420" s="76"/>
      <c r="AD420" s="76"/>
      <c r="AJ420" s="76"/>
      <c r="AP420" s="76"/>
      <c r="AV420" s="76"/>
      <c r="BB420" s="76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</row>
    <row r="421">
      <c r="L421" s="76"/>
      <c r="R421" s="76"/>
      <c r="X421" s="76"/>
      <c r="AD421" s="76"/>
      <c r="AJ421" s="76"/>
      <c r="AP421" s="76"/>
      <c r="AV421" s="76"/>
      <c r="BB421" s="76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</row>
    <row r="422">
      <c r="L422" s="76"/>
      <c r="R422" s="76"/>
      <c r="X422" s="76"/>
      <c r="AD422" s="76"/>
      <c r="AJ422" s="76"/>
      <c r="AP422" s="76"/>
      <c r="AV422" s="76"/>
      <c r="BB422" s="76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</row>
    <row r="423">
      <c r="L423" s="76"/>
      <c r="R423" s="76"/>
      <c r="X423" s="76"/>
      <c r="AD423" s="76"/>
      <c r="AJ423" s="76"/>
      <c r="AP423" s="76"/>
      <c r="AV423" s="76"/>
      <c r="BB423" s="76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</row>
    <row r="424">
      <c r="L424" s="76"/>
      <c r="R424" s="76"/>
      <c r="X424" s="76"/>
      <c r="AD424" s="76"/>
      <c r="AJ424" s="76"/>
      <c r="AP424" s="76"/>
      <c r="AV424" s="76"/>
      <c r="BB424" s="76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</row>
    <row r="425">
      <c r="L425" s="76"/>
      <c r="R425" s="76"/>
      <c r="X425" s="76"/>
      <c r="AD425" s="76"/>
      <c r="AJ425" s="76"/>
      <c r="AP425" s="76"/>
      <c r="AV425" s="76"/>
      <c r="BB425" s="76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</row>
    <row r="426">
      <c r="L426" s="76"/>
      <c r="R426" s="76"/>
      <c r="X426" s="76"/>
      <c r="AD426" s="76"/>
      <c r="AJ426" s="76"/>
      <c r="AP426" s="76"/>
      <c r="AV426" s="76"/>
      <c r="BB426" s="76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</row>
    <row r="427">
      <c r="L427" s="76"/>
      <c r="R427" s="76"/>
      <c r="X427" s="76"/>
      <c r="AD427" s="76"/>
      <c r="AJ427" s="76"/>
      <c r="AP427" s="76"/>
      <c r="AV427" s="76"/>
      <c r="BB427" s="76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</row>
    <row r="428">
      <c r="L428" s="76"/>
      <c r="R428" s="76"/>
      <c r="X428" s="76"/>
      <c r="AD428" s="76"/>
      <c r="AJ428" s="76"/>
      <c r="AP428" s="76"/>
      <c r="AV428" s="76"/>
      <c r="BB428" s="76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</row>
    <row r="429">
      <c r="L429" s="76"/>
      <c r="R429" s="76"/>
      <c r="X429" s="76"/>
      <c r="AD429" s="76"/>
      <c r="AJ429" s="76"/>
      <c r="AP429" s="76"/>
      <c r="AV429" s="76"/>
      <c r="BB429" s="76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</row>
    <row r="430">
      <c r="L430" s="76"/>
      <c r="R430" s="76"/>
      <c r="X430" s="76"/>
      <c r="AD430" s="76"/>
      <c r="AJ430" s="76"/>
      <c r="AP430" s="76"/>
      <c r="AV430" s="76"/>
      <c r="BB430" s="76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</row>
    <row r="431">
      <c r="L431" s="76"/>
      <c r="R431" s="76"/>
      <c r="X431" s="76"/>
      <c r="AD431" s="76"/>
      <c r="AJ431" s="76"/>
      <c r="AP431" s="76"/>
      <c r="AV431" s="76"/>
      <c r="BB431" s="76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</row>
    <row r="432">
      <c r="L432" s="76"/>
      <c r="R432" s="76"/>
      <c r="X432" s="76"/>
      <c r="AD432" s="76"/>
      <c r="AJ432" s="76"/>
      <c r="AP432" s="76"/>
      <c r="AV432" s="76"/>
      <c r="BB432" s="76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</row>
    <row r="433">
      <c r="L433" s="76"/>
      <c r="R433" s="76"/>
      <c r="X433" s="76"/>
      <c r="AD433" s="76"/>
      <c r="AJ433" s="76"/>
      <c r="AP433" s="76"/>
      <c r="AV433" s="76"/>
      <c r="BB433" s="76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</row>
    <row r="434">
      <c r="L434" s="76"/>
      <c r="R434" s="76"/>
      <c r="X434" s="76"/>
      <c r="AD434" s="76"/>
      <c r="AJ434" s="76"/>
      <c r="AP434" s="76"/>
      <c r="AV434" s="76"/>
      <c r="BB434" s="76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</row>
    <row r="435">
      <c r="L435" s="76"/>
      <c r="R435" s="76"/>
      <c r="X435" s="76"/>
      <c r="AD435" s="76"/>
      <c r="AJ435" s="76"/>
      <c r="AP435" s="76"/>
      <c r="AV435" s="76"/>
      <c r="BB435" s="76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</row>
    <row r="436">
      <c r="L436" s="76"/>
      <c r="R436" s="76"/>
      <c r="X436" s="76"/>
      <c r="AD436" s="76"/>
      <c r="AJ436" s="76"/>
      <c r="AP436" s="76"/>
      <c r="AV436" s="76"/>
      <c r="BB436" s="76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</row>
    <row r="437">
      <c r="L437" s="76"/>
      <c r="R437" s="76"/>
      <c r="X437" s="76"/>
      <c r="AD437" s="76"/>
      <c r="AJ437" s="76"/>
      <c r="AP437" s="76"/>
      <c r="AV437" s="76"/>
      <c r="BB437" s="76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</row>
    <row r="438">
      <c r="L438" s="76"/>
      <c r="R438" s="76"/>
      <c r="X438" s="76"/>
      <c r="AD438" s="76"/>
      <c r="AJ438" s="76"/>
      <c r="AP438" s="76"/>
      <c r="AV438" s="76"/>
      <c r="BB438" s="76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</row>
    <row r="439">
      <c r="L439" s="76"/>
      <c r="R439" s="76"/>
      <c r="X439" s="76"/>
      <c r="AD439" s="76"/>
      <c r="AJ439" s="76"/>
      <c r="AP439" s="76"/>
      <c r="AV439" s="76"/>
      <c r="BB439" s="76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</row>
    <row r="440">
      <c r="L440" s="76"/>
      <c r="R440" s="76"/>
      <c r="X440" s="76"/>
      <c r="AD440" s="76"/>
      <c r="AJ440" s="76"/>
      <c r="AP440" s="76"/>
      <c r="AV440" s="76"/>
      <c r="BB440" s="76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</row>
    <row r="441">
      <c r="L441" s="76"/>
      <c r="R441" s="76"/>
      <c r="X441" s="76"/>
      <c r="AD441" s="76"/>
      <c r="AJ441" s="76"/>
      <c r="AP441" s="76"/>
      <c r="AV441" s="76"/>
      <c r="BB441" s="76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</row>
    <row r="442">
      <c r="L442" s="76"/>
      <c r="R442" s="76"/>
      <c r="X442" s="76"/>
      <c r="AD442" s="76"/>
      <c r="AJ442" s="76"/>
      <c r="AP442" s="76"/>
      <c r="AV442" s="76"/>
      <c r="BB442" s="76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</row>
    <row r="443">
      <c r="L443" s="76"/>
      <c r="R443" s="76"/>
      <c r="X443" s="76"/>
      <c r="AD443" s="76"/>
      <c r="AJ443" s="76"/>
      <c r="AP443" s="76"/>
      <c r="AV443" s="76"/>
      <c r="BB443" s="76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</row>
    <row r="444">
      <c r="L444" s="76"/>
      <c r="R444" s="76"/>
      <c r="X444" s="76"/>
      <c r="AD444" s="76"/>
      <c r="AJ444" s="76"/>
      <c r="AP444" s="76"/>
      <c r="AV444" s="76"/>
      <c r="BB444" s="76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</row>
    <row r="445">
      <c r="L445" s="76"/>
      <c r="R445" s="76"/>
      <c r="X445" s="76"/>
      <c r="AD445" s="76"/>
      <c r="AJ445" s="76"/>
      <c r="AP445" s="76"/>
      <c r="AV445" s="76"/>
      <c r="BB445" s="76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</row>
    <row r="446">
      <c r="L446" s="76"/>
      <c r="R446" s="76"/>
      <c r="X446" s="76"/>
      <c r="AD446" s="76"/>
      <c r="AJ446" s="76"/>
      <c r="AP446" s="76"/>
      <c r="AV446" s="76"/>
      <c r="BB446" s="76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</row>
    <row r="447">
      <c r="L447" s="76"/>
      <c r="R447" s="76"/>
      <c r="X447" s="76"/>
      <c r="AD447" s="76"/>
      <c r="AJ447" s="76"/>
      <c r="AP447" s="76"/>
      <c r="AV447" s="76"/>
      <c r="BB447" s="76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</row>
    <row r="448">
      <c r="L448" s="76"/>
      <c r="R448" s="76"/>
      <c r="X448" s="76"/>
      <c r="AD448" s="76"/>
      <c r="AJ448" s="76"/>
      <c r="AP448" s="76"/>
      <c r="AV448" s="76"/>
      <c r="BB448" s="76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</row>
    <row r="449">
      <c r="L449" s="76"/>
      <c r="R449" s="76"/>
      <c r="X449" s="76"/>
      <c r="AD449" s="76"/>
      <c r="AJ449" s="76"/>
      <c r="AP449" s="76"/>
      <c r="AV449" s="76"/>
      <c r="BB449" s="76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</row>
    <row r="450">
      <c r="L450" s="76"/>
      <c r="R450" s="76"/>
      <c r="X450" s="76"/>
      <c r="AD450" s="76"/>
      <c r="AJ450" s="76"/>
      <c r="AP450" s="76"/>
      <c r="AV450" s="76"/>
      <c r="BB450" s="76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</row>
    <row r="451">
      <c r="L451" s="76"/>
      <c r="R451" s="76"/>
      <c r="X451" s="76"/>
      <c r="AD451" s="76"/>
      <c r="AJ451" s="76"/>
      <c r="AP451" s="76"/>
      <c r="AV451" s="76"/>
      <c r="BB451" s="76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</row>
    <row r="452">
      <c r="L452" s="76"/>
      <c r="R452" s="76"/>
      <c r="X452" s="76"/>
      <c r="AD452" s="76"/>
      <c r="AJ452" s="76"/>
      <c r="AP452" s="76"/>
      <c r="AV452" s="76"/>
      <c r="BB452" s="76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</row>
    <row r="453">
      <c r="L453" s="76"/>
      <c r="R453" s="76"/>
      <c r="X453" s="76"/>
      <c r="AD453" s="76"/>
      <c r="AJ453" s="76"/>
      <c r="AP453" s="76"/>
      <c r="AV453" s="76"/>
      <c r="BB453" s="76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</row>
    <row r="454">
      <c r="L454" s="76"/>
      <c r="R454" s="76"/>
      <c r="X454" s="76"/>
      <c r="AD454" s="76"/>
      <c r="AJ454" s="76"/>
      <c r="AP454" s="76"/>
      <c r="AV454" s="76"/>
      <c r="BB454" s="76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</row>
    <row r="455">
      <c r="L455" s="76"/>
      <c r="R455" s="76"/>
      <c r="X455" s="76"/>
      <c r="AD455" s="76"/>
      <c r="AJ455" s="76"/>
      <c r="AP455" s="76"/>
      <c r="AV455" s="76"/>
      <c r="BB455" s="76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</row>
    <row r="456">
      <c r="L456" s="76"/>
      <c r="R456" s="76"/>
      <c r="X456" s="76"/>
      <c r="AD456" s="76"/>
      <c r="AJ456" s="76"/>
      <c r="AP456" s="76"/>
      <c r="AV456" s="76"/>
      <c r="BB456" s="76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</row>
    <row r="457">
      <c r="L457" s="76"/>
      <c r="R457" s="76"/>
      <c r="X457" s="76"/>
      <c r="AD457" s="76"/>
      <c r="AJ457" s="76"/>
      <c r="AP457" s="76"/>
      <c r="AV457" s="76"/>
      <c r="BB457" s="76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</row>
    <row r="458">
      <c r="L458" s="76"/>
      <c r="R458" s="76"/>
      <c r="X458" s="76"/>
      <c r="AD458" s="76"/>
      <c r="AJ458" s="76"/>
      <c r="AP458" s="76"/>
      <c r="AV458" s="76"/>
      <c r="BB458" s="76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</row>
    <row r="459">
      <c r="L459" s="76"/>
      <c r="R459" s="76"/>
      <c r="X459" s="76"/>
      <c r="AD459" s="76"/>
      <c r="AJ459" s="76"/>
      <c r="AP459" s="76"/>
      <c r="AV459" s="76"/>
      <c r="BB459" s="76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</row>
    <row r="460">
      <c r="L460" s="76"/>
      <c r="R460" s="76"/>
      <c r="X460" s="76"/>
      <c r="AD460" s="76"/>
      <c r="AJ460" s="76"/>
      <c r="AP460" s="76"/>
      <c r="AV460" s="76"/>
      <c r="BB460" s="76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</row>
    <row r="461">
      <c r="L461" s="76"/>
      <c r="R461" s="76"/>
      <c r="X461" s="76"/>
      <c r="AD461" s="76"/>
      <c r="AJ461" s="76"/>
      <c r="AP461" s="76"/>
      <c r="AV461" s="76"/>
      <c r="BB461" s="76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</row>
    <row r="462">
      <c r="L462" s="76"/>
      <c r="R462" s="76"/>
      <c r="X462" s="76"/>
      <c r="AD462" s="76"/>
      <c r="AJ462" s="76"/>
      <c r="AP462" s="76"/>
      <c r="AV462" s="76"/>
      <c r="BB462" s="76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</row>
    <row r="463">
      <c r="L463" s="76"/>
      <c r="R463" s="76"/>
      <c r="X463" s="76"/>
      <c r="AD463" s="76"/>
      <c r="AJ463" s="76"/>
      <c r="AP463" s="76"/>
      <c r="AV463" s="76"/>
      <c r="BB463" s="76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</row>
    <row r="464">
      <c r="L464" s="76"/>
      <c r="R464" s="76"/>
      <c r="X464" s="76"/>
      <c r="AD464" s="76"/>
      <c r="AJ464" s="76"/>
      <c r="AP464" s="76"/>
      <c r="AV464" s="76"/>
      <c r="BB464" s="76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</row>
    <row r="465">
      <c r="L465" s="76"/>
      <c r="R465" s="76"/>
      <c r="X465" s="76"/>
      <c r="AD465" s="76"/>
      <c r="AJ465" s="76"/>
      <c r="AP465" s="76"/>
      <c r="AV465" s="76"/>
      <c r="BB465" s="76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</row>
    <row r="466">
      <c r="L466" s="76"/>
      <c r="R466" s="76"/>
      <c r="X466" s="76"/>
      <c r="AD466" s="76"/>
      <c r="AJ466" s="76"/>
      <c r="AP466" s="76"/>
      <c r="AV466" s="76"/>
      <c r="BB466" s="76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</row>
    <row r="467">
      <c r="L467" s="76"/>
      <c r="R467" s="76"/>
      <c r="X467" s="76"/>
      <c r="AD467" s="76"/>
      <c r="AJ467" s="76"/>
      <c r="AP467" s="76"/>
      <c r="AV467" s="76"/>
      <c r="BB467" s="76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</row>
    <row r="468">
      <c r="L468" s="76"/>
      <c r="R468" s="76"/>
      <c r="X468" s="76"/>
      <c r="AD468" s="76"/>
      <c r="AJ468" s="76"/>
      <c r="AP468" s="76"/>
      <c r="AV468" s="76"/>
      <c r="BB468" s="76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</row>
    <row r="469">
      <c r="L469" s="76"/>
      <c r="R469" s="76"/>
      <c r="X469" s="76"/>
      <c r="AD469" s="76"/>
      <c r="AJ469" s="76"/>
      <c r="AP469" s="76"/>
      <c r="AV469" s="76"/>
      <c r="BB469" s="76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</row>
    <row r="470">
      <c r="L470" s="76"/>
      <c r="R470" s="76"/>
      <c r="X470" s="76"/>
      <c r="AD470" s="76"/>
      <c r="AJ470" s="76"/>
      <c r="AP470" s="76"/>
      <c r="AV470" s="76"/>
      <c r="BB470" s="76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</row>
    <row r="471">
      <c r="L471" s="76"/>
      <c r="R471" s="76"/>
      <c r="X471" s="76"/>
      <c r="AD471" s="76"/>
      <c r="AJ471" s="76"/>
      <c r="AP471" s="76"/>
      <c r="AV471" s="76"/>
      <c r="BB471" s="76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</row>
    <row r="472">
      <c r="L472" s="76"/>
      <c r="R472" s="76"/>
      <c r="X472" s="76"/>
      <c r="AD472" s="76"/>
      <c r="AJ472" s="76"/>
      <c r="AP472" s="76"/>
      <c r="AV472" s="76"/>
      <c r="BB472" s="76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</row>
    <row r="473">
      <c r="L473" s="76"/>
      <c r="R473" s="76"/>
      <c r="X473" s="76"/>
      <c r="AD473" s="76"/>
      <c r="AJ473" s="76"/>
      <c r="AP473" s="76"/>
      <c r="AV473" s="76"/>
      <c r="BB473" s="76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</row>
    <row r="474">
      <c r="L474" s="76"/>
      <c r="R474" s="76"/>
      <c r="X474" s="76"/>
      <c r="AD474" s="76"/>
      <c r="AJ474" s="76"/>
      <c r="AP474" s="76"/>
      <c r="AV474" s="76"/>
      <c r="BB474" s="76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</row>
    <row r="475">
      <c r="L475" s="76"/>
      <c r="R475" s="76"/>
      <c r="X475" s="76"/>
      <c r="AD475" s="76"/>
      <c r="AJ475" s="76"/>
      <c r="AP475" s="76"/>
      <c r="AV475" s="76"/>
      <c r="BB475" s="76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</row>
    <row r="476">
      <c r="L476" s="76"/>
      <c r="R476" s="76"/>
      <c r="X476" s="76"/>
      <c r="AD476" s="76"/>
      <c r="AJ476" s="76"/>
      <c r="AP476" s="76"/>
      <c r="AV476" s="76"/>
      <c r="BB476" s="76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</row>
    <row r="477">
      <c r="L477" s="76"/>
      <c r="R477" s="76"/>
      <c r="X477" s="76"/>
      <c r="AD477" s="76"/>
      <c r="AJ477" s="76"/>
      <c r="AP477" s="76"/>
      <c r="AV477" s="76"/>
      <c r="BB477" s="76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</row>
    <row r="478">
      <c r="L478" s="76"/>
      <c r="R478" s="76"/>
      <c r="X478" s="76"/>
      <c r="AD478" s="76"/>
      <c r="AJ478" s="76"/>
      <c r="AP478" s="76"/>
      <c r="AV478" s="76"/>
      <c r="BB478" s="76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</row>
    <row r="479">
      <c r="L479" s="76"/>
      <c r="R479" s="76"/>
      <c r="X479" s="76"/>
      <c r="AD479" s="76"/>
      <c r="AJ479" s="76"/>
      <c r="AP479" s="76"/>
      <c r="AV479" s="76"/>
      <c r="BB479" s="76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</row>
    <row r="480">
      <c r="L480" s="76"/>
      <c r="R480" s="76"/>
      <c r="X480" s="76"/>
      <c r="AD480" s="76"/>
      <c r="AJ480" s="76"/>
      <c r="AP480" s="76"/>
      <c r="AV480" s="76"/>
      <c r="BB480" s="76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</row>
    <row r="481">
      <c r="L481" s="76"/>
      <c r="R481" s="76"/>
      <c r="X481" s="76"/>
      <c r="AD481" s="76"/>
      <c r="AJ481" s="76"/>
      <c r="AP481" s="76"/>
      <c r="AV481" s="76"/>
      <c r="BB481" s="76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</row>
    <row r="482">
      <c r="L482" s="76"/>
      <c r="R482" s="76"/>
      <c r="X482" s="76"/>
      <c r="AD482" s="76"/>
      <c r="AJ482" s="76"/>
      <c r="AP482" s="76"/>
      <c r="AV482" s="76"/>
      <c r="BB482" s="76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</row>
    <row r="483">
      <c r="L483" s="76"/>
      <c r="R483" s="76"/>
      <c r="X483" s="76"/>
      <c r="AD483" s="76"/>
      <c r="AJ483" s="76"/>
      <c r="AP483" s="76"/>
      <c r="AV483" s="76"/>
      <c r="BB483" s="76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</row>
    <row r="484">
      <c r="L484" s="76"/>
      <c r="R484" s="76"/>
      <c r="X484" s="76"/>
      <c r="AD484" s="76"/>
      <c r="AJ484" s="76"/>
      <c r="AP484" s="76"/>
      <c r="AV484" s="76"/>
      <c r="BB484" s="76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</row>
    <row r="485">
      <c r="L485" s="76"/>
      <c r="R485" s="76"/>
      <c r="X485" s="76"/>
      <c r="AD485" s="76"/>
      <c r="AJ485" s="76"/>
      <c r="AP485" s="76"/>
      <c r="AV485" s="76"/>
      <c r="BB485" s="76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</row>
    <row r="486">
      <c r="L486" s="76"/>
      <c r="R486" s="76"/>
      <c r="X486" s="76"/>
      <c r="AD486" s="76"/>
      <c r="AJ486" s="76"/>
      <c r="AP486" s="76"/>
      <c r="AV486" s="76"/>
      <c r="BB486" s="76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</row>
    <row r="487">
      <c r="L487" s="76"/>
      <c r="R487" s="76"/>
      <c r="X487" s="76"/>
      <c r="AD487" s="76"/>
      <c r="AJ487" s="76"/>
      <c r="AP487" s="76"/>
      <c r="AV487" s="76"/>
      <c r="BB487" s="76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</row>
    <row r="488">
      <c r="L488" s="76"/>
      <c r="R488" s="76"/>
      <c r="X488" s="76"/>
      <c r="AD488" s="76"/>
      <c r="AJ488" s="76"/>
      <c r="AP488" s="76"/>
      <c r="AV488" s="76"/>
      <c r="BB488" s="76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</row>
    <row r="489">
      <c r="L489" s="76"/>
      <c r="R489" s="76"/>
      <c r="X489" s="76"/>
      <c r="AD489" s="76"/>
      <c r="AJ489" s="76"/>
      <c r="AP489" s="76"/>
      <c r="AV489" s="76"/>
      <c r="BB489" s="76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</row>
    <row r="490">
      <c r="L490" s="76"/>
      <c r="R490" s="76"/>
      <c r="X490" s="76"/>
      <c r="AD490" s="76"/>
      <c r="AJ490" s="76"/>
      <c r="AP490" s="76"/>
      <c r="AV490" s="76"/>
      <c r="BB490" s="76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</row>
    <row r="491">
      <c r="L491" s="76"/>
      <c r="R491" s="76"/>
      <c r="X491" s="76"/>
      <c r="AD491" s="76"/>
      <c r="AJ491" s="76"/>
      <c r="AP491" s="76"/>
      <c r="AV491" s="76"/>
      <c r="BB491" s="76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</row>
    <row r="492">
      <c r="L492" s="76"/>
      <c r="R492" s="76"/>
      <c r="X492" s="76"/>
      <c r="AD492" s="76"/>
      <c r="AJ492" s="76"/>
      <c r="AP492" s="76"/>
      <c r="AV492" s="76"/>
      <c r="BB492" s="76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</row>
    <row r="493">
      <c r="L493" s="76"/>
      <c r="R493" s="76"/>
      <c r="X493" s="76"/>
      <c r="AD493" s="76"/>
      <c r="AJ493" s="76"/>
      <c r="AP493" s="76"/>
      <c r="AV493" s="76"/>
      <c r="BB493" s="76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</row>
    <row r="494">
      <c r="L494" s="76"/>
      <c r="R494" s="76"/>
      <c r="X494" s="76"/>
      <c r="AD494" s="76"/>
      <c r="AJ494" s="76"/>
      <c r="AP494" s="76"/>
      <c r="AV494" s="76"/>
      <c r="BB494" s="76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</row>
    <row r="495">
      <c r="L495" s="76"/>
      <c r="R495" s="76"/>
      <c r="X495" s="76"/>
      <c r="AD495" s="76"/>
      <c r="AJ495" s="76"/>
      <c r="AP495" s="76"/>
      <c r="AV495" s="76"/>
      <c r="BB495" s="76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</row>
    <row r="496">
      <c r="L496" s="76"/>
      <c r="R496" s="76"/>
      <c r="X496" s="76"/>
      <c r="AD496" s="76"/>
      <c r="AJ496" s="76"/>
      <c r="AP496" s="76"/>
      <c r="AV496" s="76"/>
      <c r="BB496" s="76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</row>
    <row r="497">
      <c r="L497" s="76"/>
      <c r="R497" s="76"/>
      <c r="X497" s="76"/>
      <c r="AD497" s="76"/>
      <c r="AJ497" s="76"/>
      <c r="AP497" s="76"/>
      <c r="AV497" s="76"/>
      <c r="BB497" s="76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</row>
    <row r="498">
      <c r="L498" s="76"/>
      <c r="R498" s="76"/>
      <c r="X498" s="76"/>
      <c r="AD498" s="76"/>
      <c r="AJ498" s="76"/>
      <c r="AP498" s="76"/>
      <c r="AV498" s="76"/>
      <c r="BB498" s="76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</row>
    <row r="499">
      <c r="L499" s="76"/>
      <c r="R499" s="76"/>
      <c r="X499" s="76"/>
      <c r="AD499" s="76"/>
      <c r="AJ499" s="76"/>
      <c r="AP499" s="76"/>
      <c r="AV499" s="76"/>
      <c r="BB499" s="76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</row>
    <row r="500">
      <c r="L500" s="76"/>
      <c r="R500" s="76"/>
      <c r="X500" s="76"/>
      <c r="AD500" s="76"/>
      <c r="AJ500" s="76"/>
      <c r="AP500" s="76"/>
      <c r="AV500" s="76"/>
      <c r="BB500" s="76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</row>
    <row r="501">
      <c r="L501" s="76"/>
      <c r="R501" s="76"/>
      <c r="X501" s="76"/>
      <c r="AD501" s="76"/>
      <c r="AJ501" s="76"/>
      <c r="AP501" s="76"/>
      <c r="AV501" s="76"/>
      <c r="BB501" s="76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</row>
    <row r="502">
      <c r="L502" s="76"/>
      <c r="R502" s="76"/>
      <c r="X502" s="76"/>
      <c r="AD502" s="76"/>
      <c r="AJ502" s="76"/>
      <c r="AP502" s="76"/>
      <c r="AV502" s="76"/>
      <c r="BB502" s="76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</row>
    <row r="503">
      <c r="L503" s="76"/>
      <c r="R503" s="76"/>
      <c r="X503" s="76"/>
      <c r="AD503" s="76"/>
      <c r="AJ503" s="76"/>
      <c r="AP503" s="76"/>
      <c r="AV503" s="76"/>
      <c r="BB503" s="76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</row>
    <row r="504">
      <c r="L504" s="76"/>
      <c r="R504" s="76"/>
      <c r="X504" s="76"/>
      <c r="AD504" s="76"/>
      <c r="AJ504" s="76"/>
      <c r="AP504" s="76"/>
      <c r="AV504" s="76"/>
      <c r="BB504" s="76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</row>
    <row r="505">
      <c r="L505" s="76"/>
      <c r="R505" s="76"/>
      <c r="X505" s="76"/>
      <c r="AD505" s="76"/>
      <c r="AJ505" s="76"/>
      <c r="AP505" s="76"/>
      <c r="AV505" s="76"/>
      <c r="BB505" s="76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</row>
    <row r="506">
      <c r="L506" s="76"/>
      <c r="R506" s="76"/>
      <c r="X506" s="76"/>
      <c r="AD506" s="76"/>
      <c r="AJ506" s="76"/>
      <c r="AP506" s="76"/>
      <c r="AV506" s="76"/>
      <c r="BB506" s="76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</row>
    <row r="507">
      <c r="L507" s="76"/>
      <c r="R507" s="76"/>
      <c r="X507" s="76"/>
      <c r="AD507" s="76"/>
      <c r="AJ507" s="76"/>
      <c r="AP507" s="76"/>
      <c r="AV507" s="76"/>
      <c r="BB507" s="76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</row>
    <row r="508">
      <c r="L508" s="76"/>
      <c r="R508" s="76"/>
      <c r="X508" s="76"/>
      <c r="AD508" s="76"/>
      <c r="AJ508" s="76"/>
      <c r="AP508" s="76"/>
      <c r="AV508" s="76"/>
      <c r="BB508" s="76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</row>
    <row r="509">
      <c r="L509" s="76"/>
      <c r="R509" s="76"/>
      <c r="X509" s="76"/>
      <c r="AD509" s="76"/>
      <c r="AJ509" s="76"/>
      <c r="AP509" s="76"/>
      <c r="AV509" s="76"/>
      <c r="BB509" s="76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</row>
    <row r="510">
      <c r="L510" s="76"/>
      <c r="R510" s="76"/>
      <c r="X510" s="76"/>
      <c r="AD510" s="76"/>
      <c r="AJ510" s="76"/>
      <c r="AP510" s="76"/>
      <c r="AV510" s="76"/>
      <c r="BB510" s="76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</row>
    <row r="511">
      <c r="L511" s="76"/>
      <c r="R511" s="76"/>
      <c r="X511" s="76"/>
      <c r="AD511" s="76"/>
      <c r="AJ511" s="76"/>
      <c r="AP511" s="76"/>
      <c r="AV511" s="76"/>
      <c r="BB511" s="76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</row>
    <row r="512">
      <c r="L512" s="76"/>
      <c r="R512" s="76"/>
      <c r="X512" s="76"/>
      <c r="AD512" s="76"/>
      <c r="AJ512" s="76"/>
      <c r="AP512" s="76"/>
      <c r="AV512" s="76"/>
      <c r="BB512" s="76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</row>
    <row r="513">
      <c r="L513" s="76"/>
      <c r="R513" s="76"/>
      <c r="X513" s="76"/>
      <c r="AD513" s="76"/>
      <c r="AJ513" s="76"/>
      <c r="AP513" s="76"/>
      <c r="AV513" s="76"/>
      <c r="BB513" s="76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</row>
    <row r="514">
      <c r="L514" s="76"/>
      <c r="R514" s="76"/>
      <c r="X514" s="76"/>
      <c r="AD514" s="76"/>
      <c r="AJ514" s="76"/>
      <c r="AP514" s="76"/>
      <c r="AV514" s="76"/>
      <c r="BB514" s="76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</row>
    <row r="515">
      <c r="L515" s="76"/>
      <c r="R515" s="76"/>
      <c r="X515" s="76"/>
      <c r="AD515" s="76"/>
      <c r="AJ515" s="76"/>
      <c r="AP515" s="76"/>
      <c r="AV515" s="76"/>
      <c r="BB515" s="76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</row>
    <row r="516">
      <c r="L516" s="76"/>
      <c r="R516" s="76"/>
      <c r="X516" s="76"/>
      <c r="AD516" s="76"/>
      <c r="AJ516" s="76"/>
      <c r="AP516" s="76"/>
      <c r="AV516" s="76"/>
      <c r="BB516" s="76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</row>
    <row r="517">
      <c r="L517" s="76"/>
      <c r="R517" s="76"/>
      <c r="X517" s="76"/>
      <c r="AD517" s="76"/>
      <c r="AJ517" s="76"/>
      <c r="AP517" s="76"/>
      <c r="AV517" s="76"/>
      <c r="BB517" s="76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</row>
    <row r="518">
      <c r="L518" s="76"/>
      <c r="R518" s="76"/>
      <c r="X518" s="76"/>
      <c r="AD518" s="76"/>
      <c r="AJ518" s="76"/>
      <c r="AP518" s="76"/>
      <c r="AV518" s="76"/>
      <c r="BB518" s="76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</row>
    <row r="519">
      <c r="L519" s="76"/>
      <c r="R519" s="76"/>
      <c r="X519" s="76"/>
      <c r="AD519" s="76"/>
      <c r="AJ519" s="76"/>
      <c r="AP519" s="76"/>
      <c r="AV519" s="76"/>
      <c r="BB519" s="76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</row>
    <row r="520">
      <c r="L520" s="76"/>
      <c r="R520" s="76"/>
      <c r="X520" s="76"/>
      <c r="AD520" s="76"/>
      <c r="AJ520" s="76"/>
      <c r="AP520" s="76"/>
      <c r="AV520" s="76"/>
      <c r="BB520" s="76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</row>
    <row r="521">
      <c r="L521" s="76"/>
      <c r="R521" s="76"/>
      <c r="X521" s="76"/>
      <c r="AD521" s="76"/>
      <c r="AJ521" s="76"/>
      <c r="AP521" s="76"/>
      <c r="AV521" s="76"/>
      <c r="BB521" s="76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</row>
    <row r="522">
      <c r="L522" s="76"/>
      <c r="R522" s="76"/>
      <c r="X522" s="76"/>
      <c r="AD522" s="76"/>
      <c r="AJ522" s="76"/>
      <c r="AP522" s="76"/>
      <c r="AV522" s="76"/>
      <c r="BB522" s="76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</row>
    <row r="523">
      <c r="L523" s="76"/>
      <c r="R523" s="76"/>
      <c r="X523" s="76"/>
      <c r="AD523" s="76"/>
      <c r="AJ523" s="76"/>
      <c r="AP523" s="76"/>
      <c r="AV523" s="76"/>
      <c r="BB523" s="76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</row>
    <row r="524">
      <c r="L524" s="76"/>
      <c r="R524" s="76"/>
      <c r="X524" s="76"/>
      <c r="AD524" s="76"/>
      <c r="AJ524" s="76"/>
      <c r="AP524" s="76"/>
      <c r="AV524" s="76"/>
      <c r="BB524" s="76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</row>
    <row r="525">
      <c r="L525" s="76"/>
      <c r="R525" s="76"/>
      <c r="X525" s="76"/>
      <c r="AD525" s="76"/>
      <c r="AJ525" s="76"/>
      <c r="AP525" s="76"/>
      <c r="AV525" s="76"/>
      <c r="BB525" s="76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</row>
    <row r="526">
      <c r="L526" s="76"/>
      <c r="R526" s="76"/>
      <c r="X526" s="76"/>
      <c r="AD526" s="76"/>
      <c r="AJ526" s="76"/>
      <c r="AP526" s="76"/>
      <c r="AV526" s="76"/>
      <c r="BB526" s="76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</row>
    <row r="527">
      <c r="L527" s="76"/>
      <c r="R527" s="76"/>
      <c r="X527" s="76"/>
      <c r="AD527" s="76"/>
      <c r="AJ527" s="76"/>
      <c r="AP527" s="76"/>
      <c r="AV527" s="76"/>
      <c r="BB527" s="76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</row>
    <row r="528">
      <c r="L528" s="76"/>
      <c r="R528" s="76"/>
      <c r="X528" s="76"/>
      <c r="AD528" s="76"/>
      <c r="AJ528" s="76"/>
      <c r="AP528" s="76"/>
      <c r="AV528" s="76"/>
      <c r="BB528" s="76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</row>
    <row r="529">
      <c r="L529" s="76"/>
      <c r="R529" s="76"/>
      <c r="X529" s="76"/>
      <c r="AD529" s="76"/>
      <c r="AJ529" s="76"/>
      <c r="AP529" s="76"/>
      <c r="AV529" s="76"/>
      <c r="BB529" s="76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</row>
    <row r="530">
      <c r="L530" s="76"/>
      <c r="R530" s="76"/>
      <c r="X530" s="76"/>
      <c r="AD530" s="76"/>
      <c r="AJ530" s="76"/>
      <c r="AP530" s="76"/>
      <c r="AV530" s="76"/>
      <c r="BB530" s="76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</row>
    <row r="531">
      <c r="L531" s="76"/>
      <c r="R531" s="76"/>
      <c r="X531" s="76"/>
      <c r="AD531" s="76"/>
      <c r="AJ531" s="76"/>
      <c r="AP531" s="76"/>
      <c r="AV531" s="76"/>
      <c r="BB531" s="76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</row>
    <row r="532">
      <c r="L532" s="76"/>
      <c r="R532" s="76"/>
      <c r="X532" s="76"/>
      <c r="AD532" s="76"/>
      <c r="AJ532" s="76"/>
      <c r="AP532" s="76"/>
      <c r="AV532" s="76"/>
      <c r="BB532" s="76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</row>
    <row r="533">
      <c r="L533" s="76"/>
      <c r="R533" s="76"/>
      <c r="X533" s="76"/>
      <c r="AD533" s="76"/>
      <c r="AJ533" s="76"/>
      <c r="AP533" s="76"/>
      <c r="AV533" s="76"/>
      <c r="BB533" s="76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</row>
    <row r="534">
      <c r="L534" s="76"/>
      <c r="R534" s="76"/>
      <c r="X534" s="76"/>
      <c r="AD534" s="76"/>
      <c r="AJ534" s="76"/>
      <c r="AP534" s="76"/>
      <c r="AV534" s="76"/>
      <c r="BB534" s="76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</row>
    <row r="535">
      <c r="L535" s="76"/>
      <c r="R535" s="76"/>
      <c r="X535" s="76"/>
      <c r="AD535" s="76"/>
      <c r="AJ535" s="76"/>
      <c r="AP535" s="76"/>
      <c r="AV535" s="76"/>
      <c r="BB535" s="76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</row>
    <row r="536">
      <c r="L536" s="76"/>
      <c r="R536" s="76"/>
      <c r="X536" s="76"/>
      <c r="AD536" s="76"/>
      <c r="AJ536" s="76"/>
      <c r="AP536" s="76"/>
      <c r="AV536" s="76"/>
      <c r="BB536" s="76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</row>
    <row r="537">
      <c r="L537" s="76"/>
      <c r="R537" s="76"/>
      <c r="X537" s="76"/>
      <c r="AD537" s="76"/>
      <c r="AJ537" s="76"/>
      <c r="AP537" s="76"/>
      <c r="AV537" s="76"/>
      <c r="BB537" s="76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</row>
    <row r="538">
      <c r="L538" s="76"/>
      <c r="R538" s="76"/>
      <c r="X538" s="76"/>
      <c r="AD538" s="76"/>
      <c r="AJ538" s="76"/>
      <c r="AP538" s="76"/>
      <c r="AV538" s="76"/>
      <c r="BB538" s="76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</row>
    <row r="539">
      <c r="L539" s="76"/>
      <c r="R539" s="76"/>
      <c r="X539" s="76"/>
      <c r="AD539" s="76"/>
      <c r="AJ539" s="76"/>
      <c r="AP539" s="76"/>
      <c r="AV539" s="76"/>
      <c r="BB539" s="76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</row>
    <row r="540">
      <c r="L540" s="76"/>
      <c r="R540" s="76"/>
      <c r="X540" s="76"/>
      <c r="AD540" s="76"/>
      <c r="AJ540" s="76"/>
      <c r="AP540" s="76"/>
      <c r="AV540" s="76"/>
      <c r="BB540" s="76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</row>
    <row r="541">
      <c r="L541" s="76"/>
      <c r="R541" s="76"/>
      <c r="X541" s="76"/>
      <c r="AD541" s="76"/>
      <c r="AJ541" s="76"/>
      <c r="AP541" s="76"/>
      <c r="AV541" s="76"/>
      <c r="BB541" s="76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</row>
    <row r="542">
      <c r="L542" s="76"/>
      <c r="R542" s="76"/>
      <c r="X542" s="76"/>
      <c r="AD542" s="76"/>
      <c r="AJ542" s="76"/>
      <c r="AP542" s="76"/>
      <c r="AV542" s="76"/>
      <c r="BB542" s="76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</row>
    <row r="543">
      <c r="L543" s="76"/>
      <c r="R543" s="76"/>
      <c r="X543" s="76"/>
      <c r="AD543" s="76"/>
      <c r="AJ543" s="76"/>
      <c r="AP543" s="76"/>
      <c r="AV543" s="76"/>
      <c r="BB543" s="76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</row>
    <row r="544">
      <c r="L544" s="76"/>
      <c r="R544" s="76"/>
      <c r="X544" s="76"/>
      <c r="AD544" s="76"/>
      <c r="AJ544" s="76"/>
      <c r="AP544" s="76"/>
      <c r="AV544" s="76"/>
      <c r="BB544" s="76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</row>
    <row r="545">
      <c r="L545" s="76"/>
      <c r="R545" s="76"/>
      <c r="X545" s="76"/>
      <c r="AD545" s="76"/>
      <c r="AJ545" s="76"/>
      <c r="AP545" s="76"/>
      <c r="AV545" s="76"/>
      <c r="BB545" s="76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</row>
    <row r="546">
      <c r="L546" s="76"/>
      <c r="R546" s="76"/>
      <c r="X546" s="76"/>
      <c r="AD546" s="76"/>
      <c r="AJ546" s="76"/>
      <c r="AP546" s="76"/>
      <c r="AV546" s="76"/>
      <c r="BB546" s="76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</row>
    <row r="547">
      <c r="L547" s="76"/>
      <c r="R547" s="76"/>
      <c r="X547" s="76"/>
      <c r="AD547" s="76"/>
      <c r="AJ547" s="76"/>
      <c r="AP547" s="76"/>
      <c r="AV547" s="76"/>
      <c r="BB547" s="76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</row>
    <row r="548">
      <c r="L548" s="76"/>
      <c r="R548" s="76"/>
      <c r="X548" s="76"/>
      <c r="AD548" s="76"/>
      <c r="AJ548" s="76"/>
      <c r="AP548" s="76"/>
      <c r="AV548" s="76"/>
      <c r="BB548" s="76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</row>
    <row r="549">
      <c r="L549" s="76"/>
      <c r="R549" s="76"/>
      <c r="X549" s="76"/>
      <c r="AD549" s="76"/>
      <c r="AJ549" s="76"/>
      <c r="AP549" s="76"/>
      <c r="AV549" s="76"/>
      <c r="BB549" s="76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</row>
    <row r="550">
      <c r="L550" s="76"/>
      <c r="R550" s="76"/>
      <c r="X550" s="76"/>
      <c r="AD550" s="76"/>
      <c r="AJ550" s="76"/>
      <c r="AP550" s="76"/>
      <c r="AV550" s="76"/>
      <c r="BB550" s="76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</row>
    <row r="551">
      <c r="L551" s="76"/>
      <c r="R551" s="76"/>
      <c r="X551" s="76"/>
      <c r="AD551" s="76"/>
      <c r="AJ551" s="76"/>
      <c r="AP551" s="76"/>
      <c r="AV551" s="76"/>
      <c r="BB551" s="76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</row>
    <row r="552">
      <c r="L552" s="76"/>
      <c r="R552" s="76"/>
      <c r="X552" s="76"/>
      <c r="AD552" s="76"/>
      <c r="AJ552" s="76"/>
      <c r="AP552" s="76"/>
      <c r="AV552" s="76"/>
      <c r="BB552" s="76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</row>
    <row r="553">
      <c r="L553" s="76"/>
      <c r="R553" s="76"/>
      <c r="X553" s="76"/>
      <c r="AD553" s="76"/>
      <c r="AJ553" s="76"/>
      <c r="AP553" s="76"/>
      <c r="AV553" s="76"/>
      <c r="BB553" s="76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</row>
    <row r="554">
      <c r="L554" s="76"/>
      <c r="R554" s="76"/>
      <c r="X554" s="76"/>
      <c r="AD554" s="76"/>
      <c r="AJ554" s="76"/>
      <c r="AP554" s="76"/>
      <c r="AV554" s="76"/>
      <c r="BB554" s="76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</row>
    <row r="555">
      <c r="L555" s="76"/>
      <c r="R555" s="76"/>
      <c r="X555" s="76"/>
      <c r="AD555" s="76"/>
      <c r="AJ555" s="76"/>
      <c r="AP555" s="76"/>
      <c r="AV555" s="76"/>
      <c r="BB555" s="76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</row>
    <row r="556">
      <c r="L556" s="76"/>
      <c r="R556" s="76"/>
      <c r="X556" s="76"/>
      <c r="AD556" s="76"/>
      <c r="AJ556" s="76"/>
      <c r="AP556" s="76"/>
      <c r="AV556" s="76"/>
      <c r="BB556" s="76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</row>
    <row r="557">
      <c r="L557" s="76"/>
      <c r="R557" s="76"/>
      <c r="X557" s="76"/>
      <c r="AD557" s="76"/>
      <c r="AJ557" s="76"/>
      <c r="AP557" s="76"/>
      <c r="AV557" s="76"/>
      <c r="BB557" s="76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</row>
    <row r="558">
      <c r="L558" s="76"/>
      <c r="R558" s="76"/>
      <c r="X558" s="76"/>
      <c r="AD558" s="76"/>
      <c r="AJ558" s="76"/>
      <c r="AP558" s="76"/>
      <c r="AV558" s="76"/>
      <c r="BB558" s="76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</row>
    <row r="559">
      <c r="L559" s="76"/>
      <c r="R559" s="76"/>
      <c r="X559" s="76"/>
      <c r="AD559" s="76"/>
      <c r="AJ559" s="76"/>
      <c r="AP559" s="76"/>
      <c r="AV559" s="76"/>
      <c r="BB559" s="76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</row>
    <row r="560">
      <c r="L560" s="76"/>
      <c r="R560" s="76"/>
      <c r="X560" s="76"/>
      <c r="AD560" s="76"/>
      <c r="AJ560" s="76"/>
      <c r="AP560" s="76"/>
      <c r="AV560" s="76"/>
      <c r="BB560" s="76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</row>
    <row r="561">
      <c r="L561" s="76"/>
      <c r="R561" s="76"/>
      <c r="X561" s="76"/>
      <c r="AD561" s="76"/>
      <c r="AJ561" s="76"/>
      <c r="AP561" s="76"/>
      <c r="AV561" s="76"/>
      <c r="BB561" s="76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</row>
    <row r="562">
      <c r="L562" s="76"/>
      <c r="R562" s="76"/>
      <c r="X562" s="76"/>
      <c r="AD562" s="76"/>
      <c r="AJ562" s="76"/>
      <c r="AP562" s="76"/>
      <c r="AV562" s="76"/>
      <c r="BB562" s="76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</row>
    <row r="563">
      <c r="L563" s="76"/>
      <c r="R563" s="76"/>
      <c r="X563" s="76"/>
      <c r="AD563" s="76"/>
      <c r="AJ563" s="76"/>
      <c r="AP563" s="76"/>
      <c r="AV563" s="76"/>
      <c r="BB563" s="76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</row>
    <row r="564">
      <c r="L564" s="76"/>
      <c r="R564" s="76"/>
      <c r="X564" s="76"/>
      <c r="AD564" s="76"/>
      <c r="AJ564" s="76"/>
      <c r="AP564" s="76"/>
      <c r="AV564" s="76"/>
      <c r="BB564" s="76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</row>
    <row r="565">
      <c r="L565" s="76"/>
      <c r="R565" s="76"/>
      <c r="X565" s="76"/>
      <c r="AD565" s="76"/>
      <c r="AJ565" s="76"/>
      <c r="AP565" s="76"/>
      <c r="AV565" s="76"/>
      <c r="BB565" s="76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</row>
    <row r="566">
      <c r="L566" s="76"/>
      <c r="R566" s="76"/>
      <c r="X566" s="76"/>
      <c r="AD566" s="76"/>
      <c r="AJ566" s="76"/>
      <c r="AP566" s="76"/>
      <c r="AV566" s="76"/>
      <c r="BB566" s="76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</row>
    <row r="567">
      <c r="L567" s="76"/>
      <c r="R567" s="76"/>
      <c r="X567" s="76"/>
      <c r="AD567" s="76"/>
      <c r="AJ567" s="76"/>
      <c r="AP567" s="76"/>
      <c r="AV567" s="76"/>
      <c r="BB567" s="76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</row>
    <row r="568">
      <c r="L568" s="76"/>
      <c r="R568" s="76"/>
      <c r="X568" s="76"/>
      <c r="AD568" s="76"/>
      <c r="AJ568" s="76"/>
      <c r="AP568" s="76"/>
      <c r="AV568" s="76"/>
      <c r="BB568" s="76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</row>
    <row r="569">
      <c r="L569" s="76"/>
      <c r="R569" s="76"/>
      <c r="X569" s="76"/>
      <c r="AD569" s="76"/>
      <c r="AJ569" s="76"/>
      <c r="AP569" s="76"/>
      <c r="AV569" s="76"/>
      <c r="BB569" s="76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</row>
    <row r="570">
      <c r="L570" s="76"/>
      <c r="R570" s="76"/>
      <c r="X570" s="76"/>
      <c r="AD570" s="76"/>
      <c r="AJ570" s="76"/>
      <c r="AP570" s="76"/>
      <c r="AV570" s="76"/>
      <c r="BB570" s="76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</row>
    <row r="571">
      <c r="L571" s="76"/>
      <c r="R571" s="76"/>
      <c r="X571" s="76"/>
      <c r="AD571" s="76"/>
      <c r="AJ571" s="76"/>
      <c r="AP571" s="76"/>
      <c r="AV571" s="76"/>
      <c r="BB571" s="76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</row>
    <row r="572">
      <c r="L572" s="76"/>
      <c r="R572" s="76"/>
      <c r="X572" s="76"/>
      <c r="AD572" s="76"/>
      <c r="AJ572" s="76"/>
      <c r="AP572" s="76"/>
      <c r="AV572" s="76"/>
      <c r="BB572" s="76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</row>
    <row r="573">
      <c r="L573" s="76"/>
      <c r="R573" s="76"/>
      <c r="X573" s="76"/>
      <c r="AD573" s="76"/>
      <c r="AJ573" s="76"/>
      <c r="AP573" s="76"/>
      <c r="AV573" s="76"/>
      <c r="BB573" s="76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</row>
    <row r="574">
      <c r="L574" s="76"/>
      <c r="R574" s="76"/>
      <c r="X574" s="76"/>
      <c r="AD574" s="76"/>
      <c r="AJ574" s="76"/>
      <c r="AP574" s="76"/>
      <c r="AV574" s="76"/>
      <c r="BB574" s="76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</row>
    <row r="575">
      <c r="L575" s="76"/>
      <c r="R575" s="76"/>
      <c r="X575" s="76"/>
      <c r="AD575" s="76"/>
      <c r="AJ575" s="76"/>
      <c r="AP575" s="76"/>
      <c r="AV575" s="76"/>
      <c r="BB575" s="76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</row>
    <row r="576">
      <c r="L576" s="76"/>
      <c r="R576" s="76"/>
      <c r="X576" s="76"/>
      <c r="AD576" s="76"/>
      <c r="AJ576" s="76"/>
      <c r="AP576" s="76"/>
      <c r="AV576" s="76"/>
      <c r="BB576" s="76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</row>
    <row r="577">
      <c r="L577" s="76"/>
      <c r="R577" s="76"/>
      <c r="X577" s="76"/>
      <c r="AD577" s="76"/>
      <c r="AJ577" s="76"/>
      <c r="AP577" s="76"/>
      <c r="AV577" s="76"/>
      <c r="BB577" s="76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</row>
    <row r="578">
      <c r="L578" s="76"/>
      <c r="R578" s="76"/>
      <c r="X578" s="76"/>
      <c r="AD578" s="76"/>
      <c r="AJ578" s="76"/>
      <c r="AP578" s="76"/>
      <c r="AV578" s="76"/>
      <c r="BB578" s="76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</row>
    <row r="579">
      <c r="L579" s="76"/>
      <c r="R579" s="76"/>
      <c r="X579" s="76"/>
      <c r="AD579" s="76"/>
      <c r="AJ579" s="76"/>
      <c r="AP579" s="76"/>
      <c r="AV579" s="76"/>
      <c r="BB579" s="76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</row>
    <row r="580">
      <c r="L580" s="76"/>
      <c r="R580" s="76"/>
      <c r="X580" s="76"/>
      <c r="AD580" s="76"/>
      <c r="AJ580" s="76"/>
      <c r="AP580" s="76"/>
      <c r="AV580" s="76"/>
      <c r="BB580" s="76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</row>
    <row r="581">
      <c r="L581" s="76"/>
      <c r="R581" s="76"/>
      <c r="X581" s="76"/>
      <c r="AD581" s="76"/>
      <c r="AJ581" s="76"/>
      <c r="AP581" s="76"/>
      <c r="AV581" s="76"/>
      <c r="BB581" s="76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</row>
    <row r="582">
      <c r="L582" s="76"/>
      <c r="R582" s="76"/>
      <c r="X582" s="76"/>
      <c r="AD582" s="76"/>
      <c r="AJ582" s="76"/>
      <c r="AP582" s="76"/>
      <c r="AV582" s="76"/>
      <c r="BB582" s="76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</row>
    <row r="583">
      <c r="L583" s="76"/>
      <c r="R583" s="76"/>
      <c r="X583" s="76"/>
      <c r="AD583" s="76"/>
      <c r="AJ583" s="76"/>
      <c r="AP583" s="76"/>
      <c r="AV583" s="76"/>
      <c r="BB583" s="76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</row>
    <row r="584">
      <c r="L584" s="76"/>
      <c r="R584" s="76"/>
      <c r="X584" s="76"/>
      <c r="AD584" s="76"/>
      <c r="AJ584" s="76"/>
      <c r="AP584" s="76"/>
      <c r="AV584" s="76"/>
      <c r="BB584" s="76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</row>
    <row r="585">
      <c r="L585" s="76"/>
      <c r="R585" s="76"/>
      <c r="X585" s="76"/>
      <c r="AD585" s="76"/>
      <c r="AJ585" s="76"/>
      <c r="AP585" s="76"/>
      <c r="AV585" s="76"/>
      <c r="BB585" s="76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</row>
    <row r="586">
      <c r="L586" s="76"/>
      <c r="R586" s="76"/>
      <c r="X586" s="76"/>
      <c r="AD586" s="76"/>
      <c r="AJ586" s="76"/>
      <c r="AP586" s="76"/>
      <c r="AV586" s="76"/>
      <c r="BB586" s="76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</row>
    <row r="587">
      <c r="L587" s="76"/>
      <c r="R587" s="76"/>
      <c r="X587" s="76"/>
      <c r="AD587" s="76"/>
      <c r="AJ587" s="76"/>
      <c r="AP587" s="76"/>
      <c r="AV587" s="76"/>
      <c r="BB587" s="76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</row>
    <row r="588">
      <c r="L588" s="76"/>
      <c r="R588" s="76"/>
      <c r="X588" s="76"/>
      <c r="AD588" s="76"/>
      <c r="AJ588" s="76"/>
      <c r="AP588" s="76"/>
      <c r="AV588" s="76"/>
      <c r="BB588" s="76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</row>
    <row r="589">
      <c r="L589" s="76"/>
      <c r="R589" s="76"/>
      <c r="X589" s="76"/>
      <c r="AD589" s="76"/>
      <c r="AJ589" s="76"/>
      <c r="AP589" s="76"/>
      <c r="AV589" s="76"/>
      <c r="BB589" s="76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</row>
    <row r="590">
      <c r="L590" s="76"/>
      <c r="R590" s="76"/>
      <c r="X590" s="76"/>
      <c r="AD590" s="76"/>
      <c r="AJ590" s="76"/>
      <c r="AP590" s="76"/>
      <c r="AV590" s="76"/>
      <c r="BB590" s="76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</row>
    <row r="591">
      <c r="L591" s="76"/>
      <c r="R591" s="76"/>
      <c r="X591" s="76"/>
      <c r="AD591" s="76"/>
      <c r="AJ591" s="76"/>
      <c r="AP591" s="76"/>
      <c r="AV591" s="76"/>
      <c r="BB591" s="76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</row>
    <row r="592">
      <c r="L592" s="76"/>
      <c r="R592" s="76"/>
      <c r="X592" s="76"/>
      <c r="AD592" s="76"/>
      <c r="AJ592" s="76"/>
      <c r="AP592" s="76"/>
      <c r="AV592" s="76"/>
      <c r="BB592" s="76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</row>
    <row r="593">
      <c r="L593" s="76"/>
      <c r="R593" s="76"/>
      <c r="X593" s="76"/>
      <c r="AD593" s="76"/>
      <c r="AJ593" s="76"/>
      <c r="AP593" s="76"/>
      <c r="AV593" s="76"/>
      <c r="BB593" s="76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</row>
    <row r="594">
      <c r="L594" s="76"/>
      <c r="R594" s="76"/>
      <c r="X594" s="76"/>
      <c r="AD594" s="76"/>
      <c r="AJ594" s="76"/>
      <c r="AP594" s="76"/>
      <c r="AV594" s="76"/>
      <c r="BB594" s="76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</row>
    <row r="595">
      <c r="L595" s="76"/>
      <c r="R595" s="76"/>
      <c r="X595" s="76"/>
      <c r="AD595" s="76"/>
      <c r="AJ595" s="76"/>
      <c r="AP595" s="76"/>
      <c r="AV595" s="76"/>
      <c r="BB595" s="76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</row>
    <row r="596">
      <c r="L596" s="76"/>
      <c r="R596" s="76"/>
      <c r="X596" s="76"/>
      <c r="AD596" s="76"/>
      <c r="AJ596" s="76"/>
      <c r="AP596" s="76"/>
      <c r="AV596" s="76"/>
      <c r="BB596" s="76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</row>
    <row r="597">
      <c r="L597" s="76"/>
      <c r="R597" s="76"/>
      <c r="X597" s="76"/>
      <c r="AD597" s="76"/>
      <c r="AJ597" s="76"/>
      <c r="AP597" s="76"/>
      <c r="AV597" s="76"/>
      <c r="BB597" s="76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</row>
    <row r="598">
      <c r="L598" s="76"/>
      <c r="R598" s="76"/>
      <c r="X598" s="76"/>
      <c r="AD598" s="76"/>
      <c r="AJ598" s="76"/>
      <c r="AP598" s="76"/>
      <c r="AV598" s="76"/>
      <c r="BB598" s="76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</row>
    <row r="599">
      <c r="L599" s="76"/>
      <c r="R599" s="76"/>
      <c r="X599" s="76"/>
      <c r="AD599" s="76"/>
      <c r="AJ599" s="76"/>
      <c r="AP599" s="76"/>
      <c r="AV599" s="76"/>
      <c r="BB599" s="76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</row>
    <row r="600">
      <c r="L600" s="76"/>
      <c r="R600" s="76"/>
      <c r="X600" s="76"/>
      <c r="AD600" s="76"/>
      <c r="AJ600" s="76"/>
      <c r="AP600" s="76"/>
      <c r="AV600" s="76"/>
      <c r="BB600" s="76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</row>
    <row r="601">
      <c r="L601" s="76"/>
      <c r="R601" s="76"/>
      <c r="X601" s="76"/>
      <c r="AD601" s="76"/>
      <c r="AJ601" s="76"/>
      <c r="AP601" s="76"/>
      <c r="AV601" s="76"/>
      <c r="BB601" s="76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</row>
    <row r="602">
      <c r="L602" s="76"/>
      <c r="R602" s="76"/>
      <c r="X602" s="76"/>
      <c r="AD602" s="76"/>
      <c r="AJ602" s="76"/>
      <c r="AP602" s="76"/>
      <c r="AV602" s="76"/>
      <c r="BB602" s="76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</row>
    <row r="603">
      <c r="L603" s="76"/>
      <c r="R603" s="76"/>
      <c r="X603" s="76"/>
      <c r="AD603" s="76"/>
      <c r="AJ603" s="76"/>
      <c r="AP603" s="76"/>
      <c r="AV603" s="76"/>
      <c r="BB603" s="76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</row>
    <row r="604">
      <c r="L604" s="76"/>
      <c r="R604" s="76"/>
      <c r="X604" s="76"/>
      <c r="AD604" s="76"/>
      <c r="AJ604" s="76"/>
      <c r="AP604" s="76"/>
      <c r="AV604" s="76"/>
      <c r="BB604" s="76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</row>
    <row r="605">
      <c r="L605" s="76"/>
      <c r="R605" s="76"/>
      <c r="X605" s="76"/>
      <c r="AD605" s="76"/>
      <c r="AJ605" s="76"/>
      <c r="AP605" s="76"/>
      <c r="AV605" s="76"/>
      <c r="BB605" s="76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</row>
    <row r="606">
      <c r="L606" s="76"/>
      <c r="R606" s="76"/>
      <c r="X606" s="76"/>
      <c r="AD606" s="76"/>
      <c r="AJ606" s="76"/>
      <c r="AP606" s="76"/>
      <c r="AV606" s="76"/>
      <c r="BB606" s="76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</row>
    <row r="607">
      <c r="L607" s="76"/>
      <c r="R607" s="76"/>
      <c r="X607" s="76"/>
      <c r="AD607" s="76"/>
      <c r="AJ607" s="76"/>
      <c r="AP607" s="76"/>
      <c r="AV607" s="76"/>
      <c r="BB607" s="76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</row>
    <row r="608">
      <c r="L608" s="76"/>
      <c r="R608" s="76"/>
      <c r="X608" s="76"/>
      <c r="AD608" s="76"/>
      <c r="AJ608" s="76"/>
      <c r="AP608" s="76"/>
      <c r="AV608" s="76"/>
      <c r="BB608" s="76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</row>
    <row r="609">
      <c r="L609" s="76"/>
      <c r="R609" s="76"/>
      <c r="X609" s="76"/>
      <c r="AD609" s="76"/>
      <c r="AJ609" s="76"/>
      <c r="AP609" s="76"/>
      <c r="AV609" s="76"/>
      <c r="BB609" s="76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</row>
    <row r="610">
      <c r="L610" s="76"/>
      <c r="R610" s="76"/>
      <c r="X610" s="76"/>
      <c r="AD610" s="76"/>
      <c r="AJ610" s="76"/>
      <c r="AP610" s="76"/>
      <c r="AV610" s="76"/>
      <c r="BB610" s="76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</row>
    <row r="611">
      <c r="L611" s="76"/>
      <c r="R611" s="76"/>
      <c r="X611" s="76"/>
      <c r="AD611" s="76"/>
      <c r="AJ611" s="76"/>
      <c r="AP611" s="76"/>
      <c r="AV611" s="76"/>
      <c r="BB611" s="76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</row>
    <row r="612">
      <c r="L612" s="76"/>
      <c r="R612" s="76"/>
      <c r="X612" s="76"/>
      <c r="AD612" s="76"/>
      <c r="AJ612" s="76"/>
      <c r="AP612" s="76"/>
      <c r="AV612" s="76"/>
      <c r="BB612" s="76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</row>
    <row r="613">
      <c r="L613" s="76"/>
      <c r="R613" s="76"/>
      <c r="X613" s="76"/>
      <c r="AD613" s="76"/>
      <c r="AJ613" s="76"/>
      <c r="AP613" s="76"/>
      <c r="AV613" s="76"/>
      <c r="BB613" s="76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</row>
    <row r="614">
      <c r="L614" s="76"/>
      <c r="R614" s="76"/>
      <c r="X614" s="76"/>
      <c r="AD614" s="76"/>
      <c r="AJ614" s="76"/>
      <c r="AP614" s="76"/>
      <c r="AV614" s="76"/>
      <c r="BB614" s="76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</row>
    <row r="615">
      <c r="L615" s="76"/>
      <c r="R615" s="76"/>
      <c r="X615" s="76"/>
      <c r="AD615" s="76"/>
      <c r="AJ615" s="76"/>
      <c r="AP615" s="76"/>
      <c r="AV615" s="76"/>
      <c r="BB615" s="76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</row>
    <row r="616">
      <c r="L616" s="76"/>
      <c r="R616" s="76"/>
      <c r="X616" s="76"/>
      <c r="AD616" s="76"/>
      <c r="AJ616" s="76"/>
      <c r="AP616" s="76"/>
      <c r="AV616" s="76"/>
      <c r="BB616" s="76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</row>
    <row r="617">
      <c r="L617" s="76"/>
      <c r="R617" s="76"/>
      <c r="X617" s="76"/>
      <c r="AD617" s="76"/>
      <c r="AJ617" s="76"/>
      <c r="AP617" s="76"/>
      <c r="AV617" s="76"/>
      <c r="BB617" s="76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</row>
    <row r="618">
      <c r="L618" s="76"/>
      <c r="R618" s="76"/>
      <c r="X618" s="76"/>
      <c r="AD618" s="76"/>
      <c r="AJ618" s="76"/>
      <c r="AP618" s="76"/>
      <c r="AV618" s="76"/>
      <c r="BB618" s="76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</row>
    <row r="619">
      <c r="L619" s="76"/>
      <c r="R619" s="76"/>
      <c r="X619" s="76"/>
      <c r="AD619" s="76"/>
      <c r="AJ619" s="76"/>
      <c r="AP619" s="76"/>
      <c r="AV619" s="76"/>
      <c r="BB619" s="76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</row>
    <row r="620">
      <c r="L620" s="76"/>
      <c r="R620" s="76"/>
      <c r="X620" s="76"/>
      <c r="AD620" s="76"/>
      <c r="AJ620" s="76"/>
      <c r="AP620" s="76"/>
      <c r="AV620" s="76"/>
      <c r="BB620" s="76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</row>
    <row r="621">
      <c r="L621" s="76"/>
      <c r="R621" s="76"/>
      <c r="X621" s="76"/>
      <c r="AD621" s="76"/>
      <c r="AJ621" s="76"/>
      <c r="AP621" s="76"/>
      <c r="AV621" s="76"/>
      <c r="BB621" s="76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</row>
    <row r="622">
      <c r="L622" s="76"/>
      <c r="R622" s="76"/>
      <c r="X622" s="76"/>
      <c r="AD622" s="76"/>
      <c r="AJ622" s="76"/>
      <c r="AP622" s="76"/>
      <c r="AV622" s="76"/>
      <c r="BB622" s="76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</row>
    <row r="623">
      <c r="L623" s="76"/>
      <c r="R623" s="76"/>
      <c r="X623" s="76"/>
      <c r="AD623" s="76"/>
      <c r="AJ623" s="76"/>
      <c r="AP623" s="76"/>
      <c r="AV623" s="76"/>
      <c r="BB623" s="76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</row>
    <row r="624">
      <c r="L624" s="76"/>
      <c r="R624" s="76"/>
      <c r="X624" s="76"/>
      <c r="AD624" s="76"/>
      <c r="AJ624" s="76"/>
      <c r="AP624" s="76"/>
      <c r="AV624" s="76"/>
      <c r="BB624" s="76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</row>
    <row r="625">
      <c r="L625" s="76"/>
      <c r="R625" s="76"/>
      <c r="X625" s="76"/>
      <c r="AD625" s="76"/>
      <c r="AJ625" s="76"/>
      <c r="AP625" s="76"/>
      <c r="AV625" s="76"/>
      <c r="BB625" s="76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</row>
    <row r="626">
      <c r="L626" s="76"/>
      <c r="R626" s="76"/>
      <c r="X626" s="76"/>
      <c r="AD626" s="76"/>
      <c r="AJ626" s="76"/>
      <c r="AP626" s="76"/>
      <c r="AV626" s="76"/>
      <c r="BB626" s="76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</row>
    <row r="627">
      <c r="L627" s="76"/>
      <c r="R627" s="76"/>
      <c r="X627" s="76"/>
      <c r="AD627" s="76"/>
      <c r="AJ627" s="76"/>
      <c r="AP627" s="76"/>
      <c r="AV627" s="76"/>
      <c r="BB627" s="76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</row>
    <row r="628">
      <c r="L628" s="76"/>
      <c r="R628" s="76"/>
      <c r="X628" s="76"/>
      <c r="AD628" s="76"/>
      <c r="AJ628" s="76"/>
      <c r="AP628" s="76"/>
      <c r="AV628" s="76"/>
      <c r="BB628" s="76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</row>
    <row r="629">
      <c r="L629" s="76"/>
      <c r="R629" s="76"/>
      <c r="X629" s="76"/>
      <c r="AD629" s="76"/>
      <c r="AJ629" s="76"/>
      <c r="AP629" s="76"/>
      <c r="AV629" s="76"/>
      <c r="BB629" s="76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</row>
    <row r="630">
      <c r="L630" s="76"/>
      <c r="R630" s="76"/>
      <c r="X630" s="76"/>
      <c r="AD630" s="76"/>
      <c r="AJ630" s="76"/>
      <c r="AP630" s="76"/>
      <c r="AV630" s="76"/>
      <c r="BB630" s="76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</row>
    <row r="631">
      <c r="L631" s="76"/>
      <c r="R631" s="76"/>
      <c r="X631" s="76"/>
      <c r="AD631" s="76"/>
      <c r="AJ631" s="76"/>
      <c r="AP631" s="76"/>
      <c r="AV631" s="76"/>
      <c r="BB631" s="76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</row>
    <row r="632">
      <c r="L632" s="76"/>
      <c r="R632" s="76"/>
      <c r="X632" s="76"/>
      <c r="AD632" s="76"/>
      <c r="AJ632" s="76"/>
      <c r="AP632" s="76"/>
      <c r="AV632" s="76"/>
      <c r="BB632" s="76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</row>
    <row r="633">
      <c r="L633" s="76"/>
      <c r="R633" s="76"/>
      <c r="X633" s="76"/>
      <c r="AD633" s="76"/>
      <c r="AJ633" s="76"/>
      <c r="AP633" s="76"/>
      <c r="AV633" s="76"/>
      <c r="BB633" s="76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</row>
    <row r="634">
      <c r="L634" s="76"/>
      <c r="R634" s="76"/>
      <c r="X634" s="76"/>
      <c r="AD634" s="76"/>
      <c r="AJ634" s="76"/>
      <c r="AP634" s="76"/>
      <c r="AV634" s="76"/>
      <c r="BB634" s="76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</row>
    <row r="635">
      <c r="L635" s="76"/>
      <c r="R635" s="76"/>
      <c r="X635" s="76"/>
      <c r="AD635" s="76"/>
      <c r="AJ635" s="76"/>
      <c r="AP635" s="76"/>
      <c r="AV635" s="76"/>
      <c r="BB635" s="76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</row>
    <row r="636">
      <c r="L636" s="76"/>
      <c r="R636" s="76"/>
      <c r="X636" s="76"/>
      <c r="AD636" s="76"/>
      <c r="AJ636" s="76"/>
      <c r="AP636" s="76"/>
      <c r="AV636" s="76"/>
      <c r="BB636" s="76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</row>
    <row r="637">
      <c r="L637" s="76"/>
      <c r="R637" s="76"/>
      <c r="X637" s="76"/>
      <c r="AD637" s="76"/>
      <c r="AJ637" s="76"/>
      <c r="AP637" s="76"/>
      <c r="AV637" s="76"/>
      <c r="BB637" s="76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</row>
    <row r="638">
      <c r="L638" s="76"/>
      <c r="R638" s="76"/>
      <c r="X638" s="76"/>
      <c r="AD638" s="76"/>
      <c r="AJ638" s="76"/>
      <c r="AP638" s="76"/>
      <c r="AV638" s="76"/>
      <c r="BB638" s="76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</row>
    <row r="639">
      <c r="L639" s="76"/>
      <c r="R639" s="76"/>
      <c r="X639" s="76"/>
      <c r="AD639" s="76"/>
      <c r="AJ639" s="76"/>
      <c r="AP639" s="76"/>
      <c r="AV639" s="76"/>
      <c r="BB639" s="76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</row>
    <row r="640">
      <c r="L640" s="76"/>
      <c r="R640" s="76"/>
      <c r="X640" s="76"/>
      <c r="AD640" s="76"/>
      <c r="AJ640" s="76"/>
      <c r="AP640" s="76"/>
      <c r="AV640" s="76"/>
      <c r="BB640" s="76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</row>
    <row r="641">
      <c r="L641" s="76"/>
      <c r="R641" s="76"/>
      <c r="X641" s="76"/>
      <c r="AD641" s="76"/>
      <c r="AJ641" s="76"/>
      <c r="AP641" s="76"/>
      <c r="AV641" s="76"/>
      <c r="BB641" s="76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</row>
    <row r="642">
      <c r="L642" s="76"/>
      <c r="R642" s="76"/>
      <c r="X642" s="76"/>
      <c r="AD642" s="76"/>
      <c r="AJ642" s="76"/>
      <c r="AP642" s="76"/>
      <c r="AV642" s="76"/>
      <c r="BB642" s="76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</row>
    <row r="643">
      <c r="L643" s="76"/>
      <c r="R643" s="76"/>
      <c r="X643" s="76"/>
      <c r="AD643" s="76"/>
      <c r="AJ643" s="76"/>
      <c r="AP643" s="76"/>
      <c r="AV643" s="76"/>
      <c r="BB643" s="76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</row>
    <row r="644">
      <c r="L644" s="76"/>
      <c r="R644" s="76"/>
      <c r="X644" s="76"/>
      <c r="AD644" s="76"/>
      <c r="AJ644" s="76"/>
      <c r="AP644" s="76"/>
      <c r="AV644" s="76"/>
      <c r="BB644" s="76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</row>
    <row r="645">
      <c r="L645" s="76"/>
      <c r="R645" s="76"/>
      <c r="X645" s="76"/>
      <c r="AD645" s="76"/>
      <c r="AJ645" s="76"/>
      <c r="AP645" s="76"/>
      <c r="AV645" s="76"/>
      <c r="BB645" s="76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</row>
    <row r="646">
      <c r="L646" s="76"/>
      <c r="R646" s="76"/>
      <c r="X646" s="76"/>
      <c r="AD646" s="76"/>
      <c r="AJ646" s="76"/>
      <c r="AP646" s="76"/>
      <c r="AV646" s="76"/>
      <c r="BB646" s="76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</row>
    <row r="647">
      <c r="L647" s="76"/>
      <c r="R647" s="76"/>
      <c r="X647" s="76"/>
      <c r="AD647" s="76"/>
      <c r="AJ647" s="76"/>
      <c r="AP647" s="76"/>
      <c r="AV647" s="76"/>
      <c r="BB647" s="76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</row>
    <row r="648">
      <c r="L648" s="76"/>
      <c r="R648" s="76"/>
      <c r="X648" s="76"/>
      <c r="AD648" s="76"/>
      <c r="AJ648" s="76"/>
      <c r="AP648" s="76"/>
      <c r="AV648" s="76"/>
      <c r="BB648" s="76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</row>
    <row r="649">
      <c r="L649" s="76"/>
      <c r="R649" s="76"/>
      <c r="X649" s="76"/>
      <c r="AD649" s="76"/>
      <c r="AJ649" s="76"/>
      <c r="AP649" s="76"/>
      <c r="AV649" s="76"/>
      <c r="BB649" s="76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</row>
    <row r="650">
      <c r="L650" s="76"/>
      <c r="R650" s="76"/>
      <c r="X650" s="76"/>
      <c r="AD650" s="76"/>
      <c r="AJ650" s="76"/>
      <c r="AP650" s="76"/>
      <c r="AV650" s="76"/>
      <c r="BB650" s="76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</row>
    <row r="651">
      <c r="L651" s="76"/>
      <c r="R651" s="76"/>
      <c r="X651" s="76"/>
      <c r="AD651" s="76"/>
      <c r="AJ651" s="76"/>
      <c r="AP651" s="76"/>
      <c r="AV651" s="76"/>
      <c r="BB651" s="76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</row>
    <row r="652">
      <c r="L652" s="76"/>
      <c r="R652" s="76"/>
      <c r="X652" s="76"/>
      <c r="AD652" s="76"/>
      <c r="AJ652" s="76"/>
      <c r="AP652" s="76"/>
      <c r="AV652" s="76"/>
      <c r="BB652" s="76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</row>
    <row r="653">
      <c r="L653" s="76"/>
      <c r="R653" s="76"/>
      <c r="X653" s="76"/>
      <c r="AD653" s="76"/>
      <c r="AJ653" s="76"/>
      <c r="AP653" s="76"/>
      <c r="AV653" s="76"/>
      <c r="BB653" s="76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</row>
    <row r="654">
      <c r="L654" s="76"/>
      <c r="R654" s="76"/>
      <c r="X654" s="76"/>
      <c r="AD654" s="76"/>
      <c r="AJ654" s="76"/>
      <c r="AP654" s="76"/>
      <c r="AV654" s="76"/>
      <c r="BB654" s="76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</row>
    <row r="655">
      <c r="L655" s="76"/>
      <c r="R655" s="76"/>
      <c r="X655" s="76"/>
      <c r="AD655" s="76"/>
      <c r="AJ655" s="76"/>
      <c r="AP655" s="76"/>
      <c r="AV655" s="76"/>
      <c r="BB655" s="76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</row>
    <row r="656">
      <c r="L656" s="76"/>
      <c r="R656" s="76"/>
      <c r="X656" s="76"/>
      <c r="AD656" s="76"/>
      <c r="AJ656" s="76"/>
      <c r="AP656" s="76"/>
      <c r="AV656" s="76"/>
      <c r="BB656" s="76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</row>
    <row r="657">
      <c r="L657" s="76"/>
      <c r="R657" s="76"/>
      <c r="X657" s="76"/>
      <c r="AD657" s="76"/>
      <c r="AJ657" s="76"/>
      <c r="AP657" s="76"/>
      <c r="AV657" s="76"/>
      <c r="BB657" s="76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</row>
    <row r="658">
      <c r="L658" s="76"/>
      <c r="R658" s="76"/>
      <c r="X658" s="76"/>
      <c r="AD658" s="76"/>
      <c r="AJ658" s="76"/>
      <c r="AP658" s="76"/>
      <c r="AV658" s="76"/>
      <c r="BB658" s="76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</row>
    <row r="659">
      <c r="L659" s="76"/>
      <c r="R659" s="76"/>
      <c r="X659" s="76"/>
      <c r="AD659" s="76"/>
      <c r="AJ659" s="76"/>
      <c r="AP659" s="76"/>
      <c r="AV659" s="76"/>
      <c r="BB659" s="76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</row>
    <row r="660">
      <c r="L660" s="76"/>
      <c r="R660" s="76"/>
      <c r="X660" s="76"/>
      <c r="AD660" s="76"/>
      <c r="AJ660" s="76"/>
      <c r="AP660" s="76"/>
      <c r="AV660" s="76"/>
      <c r="BB660" s="76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</row>
    <row r="661">
      <c r="L661" s="76"/>
      <c r="R661" s="76"/>
      <c r="X661" s="76"/>
      <c r="AD661" s="76"/>
      <c r="AJ661" s="76"/>
      <c r="AP661" s="76"/>
      <c r="AV661" s="76"/>
      <c r="BB661" s="76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</row>
    <row r="662">
      <c r="L662" s="76"/>
      <c r="R662" s="76"/>
      <c r="X662" s="76"/>
      <c r="AD662" s="76"/>
      <c r="AJ662" s="76"/>
      <c r="AP662" s="76"/>
      <c r="AV662" s="76"/>
      <c r="BB662" s="76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</row>
    <row r="663">
      <c r="L663" s="76"/>
      <c r="R663" s="76"/>
      <c r="X663" s="76"/>
      <c r="AD663" s="76"/>
      <c r="AJ663" s="76"/>
      <c r="AP663" s="76"/>
      <c r="AV663" s="76"/>
      <c r="BB663" s="76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</row>
    <row r="664">
      <c r="L664" s="76"/>
      <c r="R664" s="76"/>
      <c r="X664" s="76"/>
      <c r="AD664" s="76"/>
      <c r="AJ664" s="76"/>
      <c r="AP664" s="76"/>
      <c r="AV664" s="76"/>
      <c r="BB664" s="76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</row>
    <row r="665">
      <c r="L665" s="76"/>
      <c r="R665" s="76"/>
      <c r="X665" s="76"/>
      <c r="AD665" s="76"/>
      <c r="AJ665" s="76"/>
      <c r="AP665" s="76"/>
      <c r="AV665" s="76"/>
      <c r="BB665" s="76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</row>
    <row r="666">
      <c r="L666" s="76"/>
      <c r="R666" s="76"/>
      <c r="X666" s="76"/>
      <c r="AD666" s="76"/>
      <c r="AJ666" s="76"/>
      <c r="AP666" s="76"/>
      <c r="AV666" s="76"/>
      <c r="BB666" s="76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</row>
    <row r="667">
      <c r="L667" s="76"/>
      <c r="R667" s="76"/>
      <c r="X667" s="76"/>
      <c r="AD667" s="76"/>
      <c r="AJ667" s="76"/>
      <c r="AP667" s="76"/>
      <c r="AV667" s="76"/>
      <c r="BB667" s="76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</row>
    <row r="668">
      <c r="L668" s="76"/>
      <c r="R668" s="76"/>
      <c r="X668" s="76"/>
      <c r="AD668" s="76"/>
      <c r="AJ668" s="76"/>
      <c r="AP668" s="76"/>
      <c r="AV668" s="76"/>
      <c r="BB668" s="76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</row>
    <row r="669">
      <c r="L669" s="76"/>
      <c r="R669" s="76"/>
      <c r="X669" s="76"/>
      <c r="AD669" s="76"/>
      <c r="AJ669" s="76"/>
      <c r="AP669" s="76"/>
      <c r="AV669" s="76"/>
      <c r="BB669" s="76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</row>
    <row r="670">
      <c r="L670" s="76"/>
      <c r="R670" s="76"/>
      <c r="X670" s="76"/>
      <c r="AD670" s="76"/>
      <c r="AJ670" s="76"/>
      <c r="AP670" s="76"/>
      <c r="AV670" s="76"/>
      <c r="BB670" s="76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</row>
    <row r="671">
      <c r="L671" s="76"/>
      <c r="R671" s="76"/>
      <c r="X671" s="76"/>
      <c r="AD671" s="76"/>
      <c r="AJ671" s="76"/>
      <c r="AP671" s="76"/>
      <c r="AV671" s="76"/>
      <c r="BB671" s="76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</row>
    <row r="672">
      <c r="L672" s="76"/>
      <c r="R672" s="76"/>
      <c r="X672" s="76"/>
      <c r="AD672" s="76"/>
      <c r="AJ672" s="76"/>
      <c r="AP672" s="76"/>
      <c r="AV672" s="76"/>
      <c r="BB672" s="76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</row>
    <row r="673">
      <c r="L673" s="76"/>
      <c r="R673" s="76"/>
      <c r="X673" s="76"/>
      <c r="AD673" s="76"/>
      <c r="AJ673" s="76"/>
      <c r="AP673" s="76"/>
      <c r="AV673" s="76"/>
      <c r="BB673" s="76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</row>
    <row r="674">
      <c r="L674" s="76"/>
      <c r="R674" s="76"/>
      <c r="X674" s="76"/>
      <c r="AD674" s="76"/>
      <c r="AJ674" s="76"/>
      <c r="AP674" s="76"/>
      <c r="AV674" s="76"/>
      <c r="BB674" s="76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</row>
    <row r="675">
      <c r="L675" s="76"/>
      <c r="R675" s="76"/>
      <c r="X675" s="76"/>
      <c r="AD675" s="76"/>
      <c r="AJ675" s="76"/>
      <c r="AP675" s="76"/>
      <c r="AV675" s="76"/>
      <c r="BB675" s="76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</row>
    <row r="676">
      <c r="L676" s="76"/>
      <c r="R676" s="76"/>
      <c r="X676" s="76"/>
      <c r="AD676" s="76"/>
      <c r="AJ676" s="76"/>
      <c r="AP676" s="76"/>
      <c r="AV676" s="76"/>
      <c r="BB676" s="76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</row>
    <row r="677">
      <c r="L677" s="76"/>
      <c r="R677" s="76"/>
      <c r="X677" s="76"/>
      <c r="AD677" s="76"/>
      <c r="AJ677" s="76"/>
      <c r="AP677" s="76"/>
      <c r="AV677" s="76"/>
      <c r="BB677" s="76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</row>
    <row r="678">
      <c r="L678" s="76"/>
      <c r="R678" s="76"/>
      <c r="X678" s="76"/>
      <c r="AD678" s="76"/>
      <c r="AJ678" s="76"/>
      <c r="AP678" s="76"/>
      <c r="AV678" s="76"/>
      <c r="BB678" s="76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</row>
    <row r="679">
      <c r="L679" s="76"/>
      <c r="R679" s="76"/>
      <c r="X679" s="76"/>
      <c r="AD679" s="76"/>
      <c r="AJ679" s="76"/>
      <c r="AP679" s="76"/>
      <c r="AV679" s="76"/>
      <c r="BB679" s="76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</row>
    <row r="680">
      <c r="L680" s="76"/>
      <c r="R680" s="76"/>
      <c r="X680" s="76"/>
      <c r="AD680" s="76"/>
      <c r="AJ680" s="76"/>
      <c r="AP680" s="76"/>
      <c r="AV680" s="76"/>
      <c r="BB680" s="76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</row>
    <row r="681">
      <c r="L681" s="76"/>
      <c r="R681" s="76"/>
      <c r="X681" s="76"/>
      <c r="AD681" s="76"/>
      <c r="AJ681" s="76"/>
      <c r="AP681" s="76"/>
      <c r="AV681" s="76"/>
      <c r="BB681" s="76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</row>
    <row r="682">
      <c r="L682" s="76"/>
      <c r="R682" s="76"/>
      <c r="X682" s="76"/>
      <c r="AD682" s="76"/>
      <c r="AJ682" s="76"/>
      <c r="AP682" s="76"/>
      <c r="AV682" s="76"/>
      <c r="BB682" s="76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</row>
    <row r="683">
      <c r="L683" s="76"/>
      <c r="R683" s="76"/>
      <c r="X683" s="76"/>
      <c r="AD683" s="76"/>
      <c r="AJ683" s="76"/>
      <c r="AP683" s="76"/>
      <c r="AV683" s="76"/>
      <c r="BB683" s="76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</row>
    <row r="684">
      <c r="L684" s="76"/>
      <c r="R684" s="76"/>
      <c r="X684" s="76"/>
      <c r="AD684" s="76"/>
      <c r="AJ684" s="76"/>
      <c r="AP684" s="76"/>
      <c r="AV684" s="76"/>
      <c r="BB684" s="76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</row>
    <row r="685">
      <c r="L685" s="76"/>
      <c r="R685" s="76"/>
      <c r="X685" s="76"/>
      <c r="AD685" s="76"/>
      <c r="AJ685" s="76"/>
      <c r="AP685" s="76"/>
      <c r="AV685" s="76"/>
      <c r="BB685" s="76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</row>
    <row r="686">
      <c r="L686" s="76"/>
      <c r="R686" s="76"/>
      <c r="X686" s="76"/>
      <c r="AD686" s="76"/>
      <c r="AJ686" s="76"/>
      <c r="AP686" s="76"/>
      <c r="AV686" s="76"/>
      <c r="BB686" s="76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</row>
    <row r="687">
      <c r="L687" s="76"/>
      <c r="R687" s="76"/>
      <c r="X687" s="76"/>
      <c r="AD687" s="76"/>
      <c r="AJ687" s="76"/>
      <c r="AP687" s="76"/>
      <c r="AV687" s="76"/>
      <c r="BB687" s="76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</row>
    <row r="688">
      <c r="L688" s="76"/>
      <c r="R688" s="76"/>
      <c r="X688" s="76"/>
      <c r="AD688" s="76"/>
      <c r="AJ688" s="76"/>
      <c r="AP688" s="76"/>
      <c r="AV688" s="76"/>
      <c r="BB688" s="76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</row>
    <row r="689">
      <c r="L689" s="76"/>
      <c r="R689" s="76"/>
      <c r="X689" s="76"/>
      <c r="AD689" s="76"/>
      <c r="AJ689" s="76"/>
      <c r="AP689" s="76"/>
      <c r="AV689" s="76"/>
      <c r="BB689" s="76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</row>
    <row r="690">
      <c r="L690" s="76"/>
      <c r="R690" s="76"/>
      <c r="X690" s="76"/>
      <c r="AD690" s="76"/>
      <c r="AJ690" s="76"/>
      <c r="AP690" s="76"/>
      <c r="AV690" s="76"/>
      <c r="BB690" s="76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</row>
    <row r="691">
      <c r="L691" s="76"/>
      <c r="R691" s="76"/>
      <c r="X691" s="76"/>
      <c r="AD691" s="76"/>
      <c r="AJ691" s="76"/>
      <c r="AP691" s="76"/>
      <c r="AV691" s="76"/>
      <c r="BB691" s="76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</row>
    <row r="692">
      <c r="L692" s="76"/>
      <c r="R692" s="76"/>
      <c r="X692" s="76"/>
      <c r="AD692" s="76"/>
      <c r="AJ692" s="76"/>
      <c r="AP692" s="76"/>
      <c r="AV692" s="76"/>
      <c r="BB692" s="76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</row>
    <row r="693">
      <c r="L693" s="76"/>
      <c r="R693" s="76"/>
      <c r="X693" s="76"/>
      <c r="AD693" s="76"/>
      <c r="AJ693" s="76"/>
      <c r="AP693" s="76"/>
      <c r="AV693" s="76"/>
      <c r="BB693" s="76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</row>
    <row r="694">
      <c r="L694" s="76"/>
      <c r="R694" s="76"/>
      <c r="X694" s="76"/>
      <c r="AD694" s="76"/>
      <c r="AJ694" s="76"/>
      <c r="AP694" s="76"/>
      <c r="AV694" s="76"/>
      <c r="BB694" s="76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</row>
    <row r="695">
      <c r="L695" s="76"/>
      <c r="R695" s="76"/>
      <c r="X695" s="76"/>
      <c r="AD695" s="76"/>
      <c r="AJ695" s="76"/>
      <c r="AP695" s="76"/>
      <c r="AV695" s="76"/>
      <c r="BB695" s="76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</row>
    <row r="696">
      <c r="L696" s="76"/>
      <c r="R696" s="76"/>
      <c r="X696" s="76"/>
      <c r="AD696" s="76"/>
      <c r="AJ696" s="76"/>
      <c r="AP696" s="76"/>
      <c r="AV696" s="76"/>
      <c r="BB696" s="76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</row>
    <row r="697">
      <c r="L697" s="76"/>
      <c r="R697" s="76"/>
      <c r="X697" s="76"/>
      <c r="AD697" s="76"/>
      <c r="AJ697" s="76"/>
      <c r="AP697" s="76"/>
      <c r="AV697" s="76"/>
      <c r="BB697" s="76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</row>
    <row r="698">
      <c r="L698" s="76"/>
      <c r="R698" s="76"/>
      <c r="X698" s="76"/>
      <c r="AD698" s="76"/>
      <c r="AJ698" s="76"/>
      <c r="AP698" s="76"/>
      <c r="AV698" s="76"/>
      <c r="BB698" s="76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</row>
    <row r="699">
      <c r="L699" s="76"/>
      <c r="R699" s="76"/>
      <c r="X699" s="76"/>
      <c r="AD699" s="76"/>
      <c r="AJ699" s="76"/>
      <c r="AP699" s="76"/>
      <c r="AV699" s="76"/>
      <c r="BB699" s="76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</row>
    <row r="700">
      <c r="L700" s="76"/>
      <c r="R700" s="76"/>
      <c r="X700" s="76"/>
      <c r="AD700" s="76"/>
      <c r="AJ700" s="76"/>
      <c r="AP700" s="76"/>
      <c r="AV700" s="76"/>
      <c r="BB700" s="76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</row>
    <row r="701">
      <c r="L701" s="76"/>
      <c r="R701" s="76"/>
      <c r="X701" s="76"/>
      <c r="AD701" s="76"/>
      <c r="AJ701" s="76"/>
      <c r="AP701" s="76"/>
      <c r="AV701" s="76"/>
      <c r="BB701" s="76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</row>
    <row r="702">
      <c r="L702" s="76"/>
      <c r="R702" s="76"/>
      <c r="X702" s="76"/>
      <c r="AD702" s="76"/>
      <c r="AJ702" s="76"/>
      <c r="AP702" s="76"/>
      <c r="AV702" s="76"/>
      <c r="BB702" s="76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</row>
    <row r="703">
      <c r="L703" s="76"/>
      <c r="R703" s="76"/>
      <c r="X703" s="76"/>
      <c r="AD703" s="76"/>
      <c r="AJ703" s="76"/>
      <c r="AP703" s="76"/>
      <c r="AV703" s="76"/>
      <c r="BB703" s="76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</row>
    <row r="704">
      <c r="L704" s="76"/>
      <c r="R704" s="76"/>
      <c r="X704" s="76"/>
      <c r="AD704" s="76"/>
      <c r="AJ704" s="76"/>
      <c r="AP704" s="76"/>
      <c r="AV704" s="76"/>
      <c r="BB704" s="76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</row>
    <row r="705">
      <c r="L705" s="76"/>
      <c r="R705" s="76"/>
      <c r="X705" s="76"/>
      <c r="AD705" s="76"/>
      <c r="AJ705" s="76"/>
      <c r="AP705" s="76"/>
      <c r="AV705" s="76"/>
      <c r="BB705" s="76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</row>
    <row r="706">
      <c r="L706" s="76"/>
      <c r="R706" s="76"/>
      <c r="X706" s="76"/>
      <c r="AD706" s="76"/>
      <c r="AJ706" s="76"/>
      <c r="AP706" s="76"/>
      <c r="AV706" s="76"/>
      <c r="BB706" s="76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</row>
    <row r="707">
      <c r="L707" s="76"/>
      <c r="R707" s="76"/>
      <c r="X707" s="76"/>
      <c r="AD707" s="76"/>
      <c r="AJ707" s="76"/>
      <c r="AP707" s="76"/>
      <c r="AV707" s="76"/>
      <c r="BB707" s="76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</row>
    <row r="708">
      <c r="L708" s="76"/>
      <c r="R708" s="76"/>
      <c r="X708" s="76"/>
      <c r="AD708" s="76"/>
      <c r="AJ708" s="76"/>
      <c r="AP708" s="76"/>
      <c r="AV708" s="76"/>
      <c r="BB708" s="76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</row>
    <row r="709">
      <c r="L709" s="76"/>
      <c r="R709" s="76"/>
      <c r="X709" s="76"/>
      <c r="AD709" s="76"/>
      <c r="AJ709" s="76"/>
      <c r="AP709" s="76"/>
      <c r="AV709" s="76"/>
      <c r="BB709" s="76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</row>
    <row r="710">
      <c r="L710" s="76"/>
      <c r="R710" s="76"/>
      <c r="X710" s="76"/>
      <c r="AD710" s="76"/>
      <c r="AJ710" s="76"/>
      <c r="AP710" s="76"/>
      <c r="AV710" s="76"/>
      <c r="BB710" s="76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</row>
    <row r="711">
      <c r="L711" s="76"/>
      <c r="R711" s="76"/>
      <c r="X711" s="76"/>
      <c r="AD711" s="76"/>
      <c r="AJ711" s="76"/>
      <c r="AP711" s="76"/>
      <c r="AV711" s="76"/>
      <c r="BB711" s="76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</row>
    <row r="712">
      <c r="L712" s="76"/>
      <c r="R712" s="76"/>
      <c r="X712" s="76"/>
      <c r="AD712" s="76"/>
      <c r="AJ712" s="76"/>
      <c r="AP712" s="76"/>
      <c r="AV712" s="76"/>
      <c r="BB712" s="76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</row>
    <row r="713">
      <c r="L713" s="76"/>
      <c r="R713" s="76"/>
      <c r="X713" s="76"/>
      <c r="AD713" s="76"/>
      <c r="AJ713" s="76"/>
      <c r="AP713" s="76"/>
      <c r="AV713" s="76"/>
      <c r="BB713" s="76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</row>
    <row r="714">
      <c r="L714" s="76"/>
      <c r="R714" s="76"/>
      <c r="X714" s="76"/>
      <c r="AD714" s="76"/>
      <c r="AJ714" s="76"/>
      <c r="AP714" s="76"/>
      <c r="AV714" s="76"/>
      <c r="BB714" s="76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</row>
    <row r="715">
      <c r="L715" s="76"/>
      <c r="R715" s="76"/>
      <c r="X715" s="76"/>
      <c r="AD715" s="76"/>
      <c r="AJ715" s="76"/>
      <c r="AP715" s="76"/>
      <c r="AV715" s="76"/>
      <c r="BB715" s="76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</row>
    <row r="716">
      <c r="L716" s="76"/>
      <c r="R716" s="76"/>
      <c r="X716" s="76"/>
      <c r="AD716" s="76"/>
      <c r="AJ716" s="76"/>
      <c r="AP716" s="76"/>
      <c r="AV716" s="76"/>
      <c r="BB716" s="76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</row>
    <row r="717">
      <c r="L717" s="76"/>
      <c r="R717" s="76"/>
      <c r="X717" s="76"/>
      <c r="AD717" s="76"/>
      <c r="AJ717" s="76"/>
      <c r="AP717" s="76"/>
      <c r="AV717" s="76"/>
      <c r="BB717" s="76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</row>
    <row r="718">
      <c r="L718" s="76"/>
      <c r="R718" s="76"/>
      <c r="X718" s="76"/>
      <c r="AD718" s="76"/>
      <c r="AJ718" s="76"/>
      <c r="AP718" s="76"/>
      <c r="AV718" s="76"/>
      <c r="BB718" s="76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</row>
    <row r="719">
      <c r="L719" s="76"/>
      <c r="R719" s="76"/>
      <c r="X719" s="76"/>
      <c r="AD719" s="76"/>
      <c r="AJ719" s="76"/>
      <c r="AP719" s="76"/>
      <c r="AV719" s="76"/>
      <c r="BB719" s="76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</row>
    <row r="720">
      <c r="L720" s="76"/>
      <c r="R720" s="76"/>
      <c r="X720" s="76"/>
      <c r="AD720" s="76"/>
      <c r="AJ720" s="76"/>
      <c r="AP720" s="76"/>
      <c r="AV720" s="76"/>
      <c r="BB720" s="76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</row>
    <row r="721">
      <c r="L721" s="76"/>
      <c r="R721" s="76"/>
      <c r="X721" s="76"/>
      <c r="AD721" s="76"/>
      <c r="AJ721" s="76"/>
      <c r="AP721" s="76"/>
      <c r="AV721" s="76"/>
      <c r="BB721" s="76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</row>
    <row r="722">
      <c r="L722" s="76"/>
      <c r="R722" s="76"/>
      <c r="X722" s="76"/>
      <c r="AD722" s="76"/>
      <c r="AJ722" s="76"/>
      <c r="AP722" s="76"/>
      <c r="AV722" s="76"/>
      <c r="BB722" s="76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</row>
    <row r="723">
      <c r="L723" s="76"/>
      <c r="R723" s="76"/>
      <c r="X723" s="76"/>
      <c r="AD723" s="76"/>
      <c r="AJ723" s="76"/>
      <c r="AP723" s="76"/>
      <c r="AV723" s="76"/>
      <c r="BB723" s="76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</row>
    <row r="724">
      <c r="L724" s="76"/>
      <c r="R724" s="76"/>
      <c r="X724" s="76"/>
      <c r="AD724" s="76"/>
      <c r="AJ724" s="76"/>
      <c r="AP724" s="76"/>
      <c r="AV724" s="76"/>
      <c r="BB724" s="76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</row>
    <row r="725">
      <c r="L725" s="76"/>
      <c r="R725" s="76"/>
      <c r="X725" s="76"/>
      <c r="AD725" s="76"/>
      <c r="AJ725" s="76"/>
      <c r="AP725" s="76"/>
      <c r="AV725" s="76"/>
      <c r="BB725" s="76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</row>
    <row r="726">
      <c r="L726" s="76"/>
      <c r="R726" s="76"/>
      <c r="X726" s="76"/>
      <c r="AD726" s="76"/>
      <c r="AJ726" s="76"/>
      <c r="AP726" s="76"/>
      <c r="AV726" s="76"/>
      <c r="BB726" s="76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</row>
    <row r="727">
      <c r="L727" s="76"/>
      <c r="R727" s="76"/>
      <c r="X727" s="76"/>
      <c r="AD727" s="76"/>
      <c r="AJ727" s="76"/>
      <c r="AP727" s="76"/>
      <c r="AV727" s="76"/>
      <c r="BB727" s="76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</row>
    <row r="728">
      <c r="L728" s="76"/>
      <c r="R728" s="76"/>
      <c r="X728" s="76"/>
      <c r="AD728" s="76"/>
      <c r="AJ728" s="76"/>
      <c r="AP728" s="76"/>
      <c r="AV728" s="76"/>
      <c r="BB728" s="76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</row>
    <row r="729">
      <c r="L729" s="76"/>
      <c r="R729" s="76"/>
      <c r="X729" s="76"/>
      <c r="AD729" s="76"/>
      <c r="AJ729" s="76"/>
      <c r="AP729" s="76"/>
      <c r="AV729" s="76"/>
      <c r="BB729" s="76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</row>
    <row r="730">
      <c r="L730" s="76"/>
      <c r="R730" s="76"/>
      <c r="X730" s="76"/>
      <c r="AD730" s="76"/>
      <c r="AJ730" s="76"/>
      <c r="AP730" s="76"/>
      <c r="AV730" s="76"/>
      <c r="BB730" s="76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</row>
    <row r="731">
      <c r="L731" s="76"/>
      <c r="R731" s="76"/>
      <c r="X731" s="76"/>
      <c r="AD731" s="76"/>
      <c r="AJ731" s="76"/>
      <c r="AP731" s="76"/>
      <c r="AV731" s="76"/>
      <c r="BB731" s="76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</row>
    <row r="732">
      <c r="L732" s="76"/>
      <c r="R732" s="76"/>
      <c r="X732" s="76"/>
      <c r="AD732" s="76"/>
      <c r="AJ732" s="76"/>
      <c r="AP732" s="76"/>
      <c r="AV732" s="76"/>
      <c r="BB732" s="76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</row>
    <row r="733">
      <c r="L733" s="76"/>
      <c r="R733" s="76"/>
      <c r="X733" s="76"/>
      <c r="AD733" s="76"/>
      <c r="AJ733" s="76"/>
      <c r="AP733" s="76"/>
      <c r="AV733" s="76"/>
      <c r="BB733" s="76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</row>
    <row r="734">
      <c r="L734" s="76"/>
      <c r="R734" s="76"/>
      <c r="X734" s="76"/>
      <c r="AD734" s="76"/>
      <c r="AJ734" s="76"/>
      <c r="AP734" s="76"/>
      <c r="AV734" s="76"/>
      <c r="BB734" s="76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</row>
    <row r="735">
      <c r="L735" s="76"/>
      <c r="R735" s="76"/>
      <c r="X735" s="76"/>
      <c r="AD735" s="76"/>
      <c r="AJ735" s="76"/>
      <c r="AP735" s="76"/>
      <c r="AV735" s="76"/>
      <c r="BB735" s="76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</row>
    <row r="736">
      <c r="L736" s="76"/>
      <c r="R736" s="76"/>
      <c r="X736" s="76"/>
      <c r="AD736" s="76"/>
      <c r="AJ736" s="76"/>
      <c r="AP736" s="76"/>
      <c r="AV736" s="76"/>
      <c r="BB736" s="76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</row>
    <row r="737">
      <c r="L737" s="76"/>
      <c r="R737" s="76"/>
      <c r="X737" s="76"/>
      <c r="AD737" s="76"/>
      <c r="AJ737" s="76"/>
      <c r="AP737" s="76"/>
      <c r="AV737" s="76"/>
      <c r="BB737" s="76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</row>
    <row r="738">
      <c r="L738" s="76"/>
      <c r="R738" s="76"/>
      <c r="X738" s="76"/>
      <c r="AD738" s="76"/>
      <c r="AJ738" s="76"/>
      <c r="AP738" s="76"/>
      <c r="AV738" s="76"/>
      <c r="BB738" s="76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</row>
    <row r="739">
      <c r="L739" s="76"/>
      <c r="R739" s="76"/>
      <c r="X739" s="76"/>
      <c r="AD739" s="76"/>
      <c r="AJ739" s="76"/>
      <c r="AP739" s="76"/>
      <c r="AV739" s="76"/>
      <c r="BB739" s="76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</row>
    <row r="740">
      <c r="L740" s="76"/>
      <c r="R740" s="76"/>
      <c r="X740" s="76"/>
      <c r="AD740" s="76"/>
      <c r="AJ740" s="76"/>
      <c r="AP740" s="76"/>
      <c r="AV740" s="76"/>
      <c r="BB740" s="76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</row>
    <row r="741">
      <c r="L741" s="76"/>
      <c r="R741" s="76"/>
      <c r="X741" s="76"/>
      <c r="AD741" s="76"/>
      <c r="AJ741" s="76"/>
      <c r="AP741" s="76"/>
      <c r="AV741" s="76"/>
      <c r="BB741" s="76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</row>
    <row r="742">
      <c r="L742" s="76"/>
      <c r="R742" s="76"/>
      <c r="X742" s="76"/>
      <c r="AD742" s="76"/>
      <c r="AJ742" s="76"/>
      <c r="AP742" s="76"/>
      <c r="AV742" s="76"/>
      <c r="BB742" s="76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</row>
    <row r="743">
      <c r="L743" s="76"/>
      <c r="R743" s="76"/>
      <c r="X743" s="76"/>
      <c r="AD743" s="76"/>
      <c r="AJ743" s="76"/>
      <c r="AP743" s="76"/>
      <c r="AV743" s="76"/>
      <c r="BB743" s="76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</row>
    <row r="744">
      <c r="L744" s="76"/>
      <c r="R744" s="76"/>
      <c r="X744" s="76"/>
      <c r="AD744" s="76"/>
      <c r="AJ744" s="76"/>
      <c r="AP744" s="76"/>
      <c r="AV744" s="76"/>
      <c r="BB744" s="76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</row>
    <row r="745">
      <c r="L745" s="76"/>
      <c r="R745" s="76"/>
      <c r="X745" s="76"/>
      <c r="AD745" s="76"/>
      <c r="AJ745" s="76"/>
      <c r="AP745" s="76"/>
      <c r="AV745" s="76"/>
      <c r="BB745" s="76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</row>
    <row r="746">
      <c r="L746" s="76"/>
      <c r="R746" s="76"/>
      <c r="X746" s="76"/>
      <c r="AD746" s="76"/>
      <c r="AJ746" s="76"/>
      <c r="AP746" s="76"/>
      <c r="AV746" s="76"/>
      <c r="BB746" s="76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</row>
    <row r="747">
      <c r="L747" s="76"/>
      <c r="R747" s="76"/>
      <c r="X747" s="76"/>
      <c r="AD747" s="76"/>
      <c r="AJ747" s="76"/>
      <c r="AP747" s="76"/>
      <c r="AV747" s="76"/>
      <c r="BB747" s="76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</row>
    <row r="748">
      <c r="L748" s="76"/>
      <c r="R748" s="76"/>
      <c r="X748" s="76"/>
      <c r="AD748" s="76"/>
      <c r="AJ748" s="76"/>
      <c r="AP748" s="76"/>
      <c r="AV748" s="76"/>
      <c r="BB748" s="76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</row>
    <row r="749">
      <c r="L749" s="76"/>
      <c r="R749" s="76"/>
      <c r="X749" s="76"/>
      <c r="AD749" s="76"/>
      <c r="AJ749" s="76"/>
      <c r="AP749" s="76"/>
      <c r="AV749" s="76"/>
      <c r="BB749" s="76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</row>
    <row r="750">
      <c r="L750" s="76"/>
      <c r="R750" s="76"/>
      <c r="X750" s="76"/>
      <c r="AD750" s="76"/>
      <c r="AJ750" s="76"/>
      <c r="AP750" s="76"/>
      <c r="AV750" s="76"/>
      <c r="BB750" s="76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</row>
    <row r="751">
      <c r="L751" s="76"/>
      <c r="R751" s="76"/>
      <c r="X751" s="76"/>
      <c r="AD751" s="76"/>
      <c r="AJ751" s="76"/>
      <c r="AP751" s="76"/>
      <c r="AV751" s="76"/>
      <c r="BB751" s="76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</row>
    <row r="752">
      <c r="L752" s="76"/>
      <c r="R752" s="76"/>
      <c r="X752" s="76"/>
      <c r="AD752" s="76"/>
      <c r="AJ752" s="76"/>
      <c r="AP752" s="76"/>
      <c r="AV752" s="76"/>
      <c r="BB752" s="76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</row>
    <row r="753">
      <c r="L753" s="76"/>
      <c r="R753" s="76"/>
      <c r="X753" s="76"/>
      <c r="AD753" s="76"/>
      <c r="AJ753" s="76"/>
      <c r="AP753" s="76"/>
      <c r="AV753" s="76"/>
      <c r="BB753" s="76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</row>
    <row r="754">
      <c r="L754" s="76"/>
      <c r="R754" s="76"/>
      <c r="X754" s="76"/>
      <c r="AD754" s="76"/>
      <c r="AJ754" s="76"/>
      <c r="AP754" s="76"/>
      <c r="AV754" s="76"/>
      <c r="BB754" s="76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</row>
    <row r="755">
      <c r="L755" s="76"/>
      <c r="R755" s="76"/>
      <c r="X755" s="76"/>
      <c r="AD755" s="76"/>
      <c r="AJ755" s="76"/>
      <c r="AP755" s="76"/>
      <c r="AV755" s="76"/>
      <c r="BB755" s="76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</row>
    <row r="756">
      <c r="L756" s="76"/>
      <c r="R756" s="76"/>
      <c r="X756" s="76"/>
      <c r="AD756" s="76"/>
      <c r="AJ756" s="76"/>
      <c r="AP756" s="76"/>
      <c r="AV756" s="76"/>
      <c r="BB756" s="76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</row>
    <row r="757">
      <c r="L757" s="76"/>
      <c r="R757" s="76"/>
      <c r="X757" s="76"/>
      <c r="AD757" s="76"/>
      <c r="AJ757" s="76"/>
      <c r="AP757" s="76"/>
      <c r="AV757" s="76"/>
      <c r="BB757" s="76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</row>
    <row r="758">
      <c r="L758" s="76"/>
      <c r="R758" s="76"/>
      <c r="X758" s="76"/>
      <c r="AD758" s="76"/>
      <c r="AJ758" s="76"/>
      <c r="AP758" s="76"/>
      <c r="AV758" s="76"/>
      <c r="BB758" s="76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</row>
    <row r="759">
      <c r="L759" s="76"/>
      <c r="R759" s="76"/>
      <c r="X759" s="76"/>
      <c r="AD759" s="76"/>
      <c r="AJ759" s="76"/>
      <c r="AP759" s="76"/>
      <c r="AV759" s="76"/>
      <c r="BB759" s="76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</row>
    <row r="760">
      <c r="L760" s="76"/>
      <c r="R760" s="76"/>
      <c r="X760" s="76"/>
      <c r="AD760" s="76"/>
      <c r="AJ760" s="76"/>
      <c r="AP760" s="76"/>
      <c r="AV760" s="76"/>
      <c r="BB760" s="76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</row>
    <row r="761">
      <c r="L761" s="76"/>
      <c r="R761" s="76"/>
      <c r="X761" s="76"/>
      <c r="AD761" s="76"/>
      <c r="AJ761" s="76"/>
      <c r="AP761" s="76"/>
      <c r="AV761" s="76"/>
      <c r="BB761" s="76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</row>
    <row r="762">
      <c r="L762" s="76"/>
      <c r="R762" s="76"/>
      <c r="X762" s="76"/>
      <c r="AD762" s="76"/>
      <c r="AJ762" s="76"/>
      <c r="AP762" s="76"/>
      <c r="AV762" s="76"/>
      <c r="BB762" s="76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</row>
    <row r="763">
      <c r="L763" s="76"/>
      <c r="R763" s="76"/>
      <c r="X763" s="76"/>
      <c r="AD763" s="76"/>
      <c r="AJ763" s="76"/>
      <c r="AP763" s="76"/>
      <c r="AV763" s="76"/>
      <c r="BB763" s="76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</row>
    <row r="764">
      <c r="L764" s="76"/>
      <c r="R764" s="76"/>
      <c r="X764" s="76"/>
      <c r="AD764" s="76"/>
      <c r="AJ764" s="76"/>
      <c r="AP764" s="76"/>
      <c r="AV764" s="76"/>
      <c r="BB764" s="76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</row>
    <row r="765">
      <c r="L765" s="76"/>
      <c r="R765" s="76"/>
      <c r="X765" s="76"/>
      <c r="AD765" s="76"/>
      <c r="AJ765" s="76"/>
      <c r="AP765" s="76"/>
      <c r="AV765" s="76"/>
      <c r="BB765" s="76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</row>
    <row r="766">
      <c r="L766" s="76"/>
      <c r="R766" s="76"/>
      <c r="X766" s="76"/>
      <c r="AD766" s="76"/>
      <c r="AJ766" s="76"/>
      <c r="AP766" s="76"/>
      <c r="AV766" s="76"/>
      <c r="BB766" s="76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</row>
    <row r="767">
      <c r="L767" s="76"/>
      <c r="R767" s="76"/>
      <c r="X767" s="76"/>
      <c r="AD767" s="76"/>
      <c r="AJ767" s="76"/>
      <c r="AP767" s="76"/>
      <c r="AV767" s="76"/>
      <c r="BB767" s="76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</row>
    <row r="768">
      <c r="L768" s="76"/>
      <c r="R768" s="76"/>
      <c r="X768" s="76"/>
      <c r="AD768" s="76"/>
      <c r="AJ768" s="76"/>
      <c r="AP768" s="76"/>
      <c r="AV768" s="76"/>
      <c r="BB768" s="76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</row>
    <row r="769">
      <c r="L769" s="76"/>
      <c r="R769" s="76"/>
      <c r="X769" s="76"/>
      <c r="AD769" s="76"/>
      <c r="AJ769" s="76"/>
      <c r="AP769" s="76"/>
      <c r="AV769" s="76"/>
      <c r="BB769" s="76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</row>
    <row r="770">
      <c r="L770" s="76"/>
      <c r="R770" s="76"/>
      <c r="X770" s="76"/>
      <c r="AD770" s="76"/>
      <c r="AJ770" s="76"/>
      <c r="AP770" s="76"/>
      <c r="AV770" s="76"/>
      <c r="BB770" s="76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</row>
    <row r="771">
      <c r="L771" s="76"/>
      <c r="R771" s="76"/>
      <c r="X771" s="76"/>
      <c r="AD771" s="76"/>
      <c r="AJ771" s="76"/>
      <c r="AP771" s="76"/>
      <c r="AV771" s="76"/>
      <c r="BB771" s="76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</row>
    <row r="772">
      <c r="L772" s="76"/>
      <c r="R772" s="76"/>
      <c r="X772" s="76"/>
      <c r="AD772" s="76"/>
      <c r="AJ772" s="76"/>
      <c r="AP772" s="76"/>
      <c r="AV772" s="76"/>
      <c r="BB772" s="76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</row>
    <row r="773">
      <c r="L773" s="76"/>
      <c r="R773" s="76"/>
      <c r="X773" s="76"/>
      <c r="AD773" s="76"/>
      <c r="AJ773" s="76"/>
      <c r="AP773" s="76"/>
      <c r="AV773" s="76"/>
      <c r="BB773" s="76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</row>
    <row r="774">
      <c r="L774" s="76"/>
      <c r="R774" s="76"/>
      <c r="X774" s="76"/>
      <c r="AD774" s="76"/>
      <c r="AJ774" s="76"/>
      <c r="AP774" s="76"/>
      <c r="AV774" s="76"/>
      <c r="BB774" s="76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</row>
    <row r="775">
      <c r="L775" s="76"/>
      <c r="R775" s="76"/>
      <c r="X775" s="76"/>
      <c r="AD775" s="76"/>
      <c r="AJ775" s="76"/>
      <c r="AP775" s="76"/>
      <c r="AV775" s="76"/>
      <c r="BB775" s="76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</row>
    <row r="776">
      <c r="L776" s="76"/>
      <c r="R776" s="76"/>
      <c r="X776" s="76"/>
      <c r="AD776" s="76"/>
      <c r="AJ776" s="76"/>
      <c r="AP776" s="76"/>
      <c r="AV776" s="76"/>
      <c r="BB776" s="76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</row>
    <row r="777">
      <c r="L777" s="76"/>
      <c r="R777" s="76"/>
      <c r="X777" s="76"/>
      <c r="AD777" s="76"/>
      <c r="AJ777" s="76"/>
      <c r="AP777" s="76"/>
      <c r="AV777" s="76"/>
      <c r="BB777" s="76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</row>
    <row r="778">
      <c r="L778" s="76"/>
      <c r="R778" s="76"/>
      <c r="X778" s="76"/>
      <c r="AD778" s="76"/>
      <c r="AJ778" s="76"/>
      <c r="AP778" s="76"/>
      <c r="AV778" s="76"/>
      <c r="BB778" s="76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</row>
    <row r="779">
      <c r="L779" s="76"/>
      <c r="R779" s="76"/>
      <c r="X779" s="76"/>
      <c r="AD779" s="76"/>
      <c r="AJ779" s="76"/>
      <c r="AP779" s="76"/>
      <c r="AV779" s="76"/>
      <c r="BB779" s="76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</row>
    <row r="780">
      <c r="L780" s="76"/>
      <c r="R780" s="76"/>
      <c r="X780" s="76"/>
      <c r="AD780" s="76"/>
      <c r="AJ780" s="76"/>
      <c r="AP780" s="76"/>
      <c r="AV780" s="76"/>
      <c r="BB780" s="76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</row>
    <row r="781">
      <c r="L781" s="76"/>
      <c r="R781" s="76"/>
      <c r="X781" s="76"/>
      <c r="AD781" s="76"/>
      <c r="AJ781" s="76"/>
      <c r="AP781" s="76"/>
      <c r="AV781" s="76"/>
      <c r="BB781" s="76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</row>
    <row r="782">
      <c r="L782" s="76"/>
      <c r="R782" s="76"/>
      <c r="X782" s="76"/>
      <c r="AD782" s="76"/>
      <c r="AJ782" s="76"/>
      <c r="AP782" s="76"/>
      <c r="AV782" s="76"/>
      <c r="BB782" s="76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</row>
    <row r="783">
      <c r="L783" s="76"/>
      <c r="R783" s="76"/>
      <c r="X783" s="76"/>
      <c r="AD783" s="76"/>
      <c r="AJ783" s="76"/>
      <c r="AP783" s="76"/>
      <c r="AV783" s="76"/>
      <c r="BB783" s="76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</row>
    <row r="784">
      <c r="L784" s="76"/>
      <c r="R784" s="76"/>
      <c r="X784" s="76"/>
      <c r="AD784" s="76"/>
      <c r="AJ784" s="76"/>
      <c r="AP784" s="76"/>
      <c r="AV784" s="76"/>
      <c r="BB784" s="76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</row>
    <row r="785">
      <c r="L785" s="76"/>
      <c r="R785" s="76"/>
      <c r="X785" s="76"/>
      <c r="AD785" s="76"/>
      <c r="AJ785" s="76"/>
      <c r="AP785" s="76"/>
      <c r="AV785" s="76"/>
      <c r="BB785" s="76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</row>
    <row r="786">
      <c r="L786" s="76"/>
      <c r="R786" s="76"/>
      <c r="X786" s="76"/>
      <c r="AD786" s="76"/>
      <c r="AJ786" s="76"/>
      <c r="AP786" s="76"/>
      <c r="AV786" s="76"/>
      <c r="BB786" s="76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</row>
    <row r="787">
      <c r="L787" s="76"/>
      <c r="R787" s="76"/>
      <c r="X787" s="76"/>
      <c r="AD787" s="76"/>
      <c r="AJ787" s="76"/>
      <c r="AP787" s="76"/>
      <c r="AV787" s="76"/>
      <c r="BB787" s="76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</row>
    <row r="788">
      <c r="L788" s="76"/>
      <c r="R788" s="76"/>
      <c r="X788" s="76"/>
      <c r="AD788" s="76"/>
      <c r="AJ788" s="76"/>
      <c r="AP788" s="76"/>
      <c r="AV788" s="76"/>
      <c r="BB788" s="76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</row>
    <row r="789">
      <c r="L789" s="76"/>
      <c r="R789" s="76"/>
      <c r="X789" s="76"/>
      <c r="AD789" s="76"/>
      <c r="AJ789" s="76"/>
      <c r="AP789" s="76"/>
      <c r="AV789" s="76"/>
      <c r="BB789" s="76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</row>
    <row r="790">
      <c r="L790" s="76"/>
      <c r="R790" s="76"/>
      <c r="X790" s="76"/>
      <c r="AD790" s="76"/>
      <c r="AJ790" s="76"/>
      <c r="AP790" s="76"/>
      <c r="AV790" s="76"/>
      <c r="BB790" s="76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</row>
    <row r="791">
      <c r="L791" s="76"/>
      <c r="R791" s="76"/>
      <c r="X791" s="76"/>
      <c r="AD791" s="76"/>
      <c r="AJ791" s="76"/>
      <c r="AP791" s="76"/>
      <c r="AV791" s="76"/>
      <c r="BB791" s="76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</row>
    <row r="792">
      <c r="L792" s="76"/>
      <c r="R792" s="76"/>
      <c r="X792" s="76"/>
      <c r="AD792" s="76"/>
      <c r="AJ792" s="76"/>
      <c r="AP792" s="76"/>
      <c r="AV792" s="76"/>
      <c r="BB792" s="76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</row>
    <row r="793">
      <c r="L793" s="76"/>
      <c r="R793" s="76"/>
      <c r="X793" s="76"/>
      <c r="AD793" s="76"/>
      <c r="AJ793" s="76"/>
      <c r="AP793" s="76"/>
      <c r="AV793" s="76"/>
      <c r="BB793" s="76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</row>
    <row r="794">
      <c r="L794" s="76"/>
      <c r="R794" s="76"/>
      <c r="X794" s="76"/>
      <c r="AD794" s="76"/>
      <c r="AJ794" s="76"/>
      <c r="AP794" s="76"/>
      <c r="AV794" s="76"/>
      <c r="BB794" s="76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</row>
    <row r="795">
      <c r="L795" s="76"/>
      <c r="R795" s="76"/>
      <c r="X795" s="76"/>
      <c r="AD795" s="76"/>
      <c r="AJ795" s="76"/>
      <c r="AP795" s="76"/>
      <c r="AV795" s="76"/>
      <c r="BB795" s="76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</row>
    <row r="796">
      <c r="L796" s="76"/>
      <c r="R796" s="76"/>
      <c r="X796" s="76"/>
      <c r="AD796" s="76"/>
      <c r="AJ796" s="76"/>
      <c r="AP796" s="76"/>
      <c r="AV796" s="76"/>
      <c r="BB796" s="76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</row>
    <row r="797">
      <c r="L797" s="76"/>
      <c r="R797" s="76"/>
      <c r="X797" s="76"/>
      <c r="AD797" s="76"/>
      <c r="AJ797" s="76"/>
      <c r="AP797" s="76"/>
      <c r="AV797" s="76"/>
      <c r="BB797" s="76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</row>
    <row r="798">
      <c r="L798" s="76"/>
      <c r="R798" s="76"/>
      <c r="X798" s="76"/>
      <c r="AD798" s="76"/>
      <c r="AJ798" s="76"/>
      <c r="AP798" s="76"/>
      <c r="AV798" s="76"/>
      <c r="BB798" s="76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</row>
    <row r="799">
      <c r="L799" s="76"/>
      <c r="R799" s="76"/>
      <c r="X799" s="76"/>
      <c r="AD799" s="76"/>
      <c r="AJ799" s="76"/>
      <c r="AP799" s="76"/>
      <c r="AV799" s="76"/>
      <c r="BB799" s="76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</row>
    <row r="800">
      <c r="L800" s="76"/>
      <c r="R800" s="76"/>
      <c r="X800" s="76"/>
      <c r="AD800" s="76"/>
      <c r="AJ800" s="76"/>
      <c r="AP800" s="76"/>
      <c r="AV800" s="76"/>
      <c r="BB800" s="76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</row>
    <row r="801">
      <c r="L801" s="76"/>
      <c r="R801" s="76"/>
      <c r="X801" s="76"/>
      <c r="AD801" s="76"/>
      <c r="AJ801" s="76"/>
      <c r="AP801" s="76"/>
      <c r="AV801" s="76"/>
      <c r="BB801" s="76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</row>
    <row r="802">
      <c r="L802" s="76"/>
      <c r="R802" s="76"/>
      <c r="X802" s="76"/>
      <c r="AD802" s="76"/>
      <c r="AJ802" s="76"/>
      <c r="AP802" s="76"/>
      <c r="AV802" s="76"/>
      <c r="BB802" s="76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</row>
    <row r="803">
      <c r="L803" s="76"/>
      <c r="R803" s="76"/>
      <c r="X803" s="76"/>
      <c r="AD803" s="76"/>
      <c r="AJ803" s="76"/>
      <c r="AP803" s="76"/>
      <c r="AV803" s="76"/>
      <c r="BB803" s="76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</row>
    <row r="804">
      <c r="L804" s="76"/>
      <c r="R804" s="76"/>
      <c r="X804" s="76"/>
      <c r="AD804" s="76"/>
      <c r="AJ804" s="76"/>
      <c r="AP804" s="76"/>
      <c r="AV804" s="76"/>
      <c r="BB804" s="76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</row>
    <row r="805">
      <c r="L805" s="76"/>
      <c r="R805" s="76"/>
      <c r="X805" s="76"/>
      <c r="AD805" s="76"/>
      <c r="AJ805" s="76"/>
      <c r="AP805" s="76"/>
      <c r="AV805" s="76"/>
      <c r="BB805" s="76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</row>
    <row r="806">
      <c r="L806" s="76"/>
      <c r="R806" s="76"/>
      <c r="X806" s="76"/>
      <c r="AD806" s="76"/>
      <c r="AJ806" s="76"/>
      <c r="AP806" s="76"/>
      <c r="AV806" s="76"/>
      <c r="BB806" s="76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</row>
    <row r="807">
      <c r="L807" s="76"/>
      <c r="R807" s="76"/>
      <c r="X807" s="76"/>
      <c r="AD807" s="76"/>
      <c r="AJ807" s="76"/>
      <c r="AP807" s="76"/>
      <c r="AV807" s="76"/>
      <c r="BB807" s="76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</row>
    <row r="808">
      <c r="L808" s="76"/>
      <c r="R808" s="76"/>
      <c r="X808" s="76"/>
      <c r="AD808" s="76"/>
      <c r="AJ808" s="76"/>
      <c r="AP808" s="76"/>
      <c r="AV808" s="76"/>
      <c r="BB808" s="76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</row>
    <row r="809">
      <c r="L809" s="76"/>
      <c r="R809" s="76"/>
      <c r="X809" s="76"/>
      <c r="AD809" s="76"/>
      <c r="AJ809" s="76"/>
      <c r="AP809" s="76"/>
      <c r="AV809" s="76"/>
      <c r="BB809" s="76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</row>
    <row r="810">
      <c r="L810" s="76"/>
      <c r="R810" s="76"/>
      <c r="X810" s="76"/>
      <c r="AD810" s="76"/>
      <c r="AJ810" s="76"/>
      <c r="AP810" s="76"/>
      <c r="AV810" s="76"/>
      <c r="BB810" s="76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</row>
    <row r="811">
      <c r="L811" s="76"/>
      <c r="R811" s="76"/>
      <c r="X811" s="76"/>
      <c r="AD811" s="76"/>
      <c r="AJ811" s="76"/>
      <c r="AP811" s="76"/>
      <c r="AV811" s="76"/>
      <c r="BB811" s="76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</row>
    <row r="812">
      <c r="L812" s="76"/>
      <c r="R812" s="76"/>
      <c r="X812" s="76"/>
      <c r="AD812" s="76"/>
      <c r="AJ812" s="76"/>
      <c r="AP812" s="76"/>
      <c r="AV812" s="76"/>
      <c r="BB812" s="76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</row>
    <row r="813">
      <c r="L813" s="76"/>
      <c r="R813" s="76"/>
      <c r="X813" s="76"/>
      <c r="AD813" s="76"/>
      <c r="AJ813" s="76"/>
      <c r="AP813" s="76"/>
      <c r="AV813" s="76"/>
      <c r="BB813" s="76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</row>
    <row r="814">
      <c r="L814" s="76"/>
      <c r="R814" s="76"/>
      <c r="X814" s="76"/>
      <c r="AD814" s="76"/>
      <c r="AJ814" s="76"/>
      <c r="AP814" s="76"/>
      <c r="AV814" s="76"/>
      <c r="BB814" s="76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</row>
    <row r="815">
      <c r="L815" s="76"/>
      <c r="R815" s="76"/>
      <c r="X815" s="76"/>
      <c r="AD815" s="76"/>
      <c r="AJ815" s="76"/>
      <c r="AP815" s="76"/>
      <c r="AV815" s="76"/>
      <c r="BB815" s="76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</row>
    <row r="816">
      <c r="L816" s="76"/>
      <c r="R816" s="76"/>
      <c r="X816" s="76"/>
      <c r="AD816" s="76"/>
      <c r="AJ816" s="76"/>
      <c r="AP816" s="76"/>
      <c r="AV816" s="76"/>
      <c r="BB816" s="76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</row>
    <row r="817">
      <c r="L817" s="76"/>
      <c r="R817" s="76"/>
      <c r="X817" s="76"/>
      <c r="AD817" s="76"/>
      <c r="AJ817" s="76"/>
      <c r="AP817" s="76"/>
      <c r="AV817" s="76"/>
      <c r="BB817" s="76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</row>
    <row r="818">
      <c r="L818" s="76"/>
      <c r="R818" s="76"/>
      <c r="X818" s="76"/>
      <c r="AD818" s="76"/>
      <c r="AJ818" s="76"/>
      <c r="AP818" s="76"/>
      <c r="AV818" s="76"/>
      <c r="BB818" s="76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</row>
    <row r="819">
      <c r="L819" s="76"/>
      <c r="R819" s="76"/>
      <c r="X819" s="76"/>
      <c r="AD819" s="76"/>
      <c r="AJ819" s="76"/>
      <c r="AP819" s="76"/>
      <c r="AV819" s="76"/>
      <c r="BB819" s="76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</row>
    <row r="820">
      <c r="L820" s="76"/>
      <c r="R820" s="76"/>
      <c r="X820" s="76"/>
      <c r="AD820" s="76"/>
      <c r="AJ820" s="76"/>
      <c r="AP820" s="76"/>
      <c r="AV820" s="76"/>
      <c r="BB820" s="76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</row>
    <row r="821">
      <c r="L821" s="76"/>
      <c r="R821" s="76"/>
      <c r="X821" s="76"/>
      <c r="AD821" s="76"/>
      <c r="AJ821" s="76"/>
      <c r="AP821" s="76"/>
      <c r="AV821" s="76"/>
      <c r="BB821" s="76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</row>
    <row r="822">
      <c r="L822" s="76"/>
      <c r="R822" s="76"/>
      <c r="X822" s="76"/>
      <c r="AD822" s="76"/>
      <c r="AJ822" s="76"/>
      <c r="AP822" s="76"/>
      <c r="AV822" s="76"/>
      <c r="BB822" s="76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</row>
    <row r="823">
      <c r="L823" s="76"/>
      <c r="R823" s="76"/>
      <c r="X823" s="76"/>
      <c r="AD823" s="76"/>
      <c r="AJ823" s="76"/>
      <c r="AP823" s="76"/>
      <c r="AV823" s="76"/>
      <c r="BB823" s="76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</row>
    <row r="824">
      <c r="L824" s="76"/>
      <c r="R824" s="76"/>
      <c r="X824" s="76"/>
      <c r="AD824" s="76"/>
      <c r="AJ824" s="76"/>
      <c r="AP824" s="76"/>
      <c r="AV824" s="76"/>
      <c r="BB824" s="76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</row>
    <row r="825">
      <c r="L825" s="76"/>
      <c r="R825" s="76"/>
      <c r="X825" s="76"/>
      <c r="AD825" s="76"/>
      <c r="AJ825" s="76"/>
      <c r="AP825" s="76"/>
      <c r="AV825" s="76"/>
      <c r="BB825" s="76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</row>
    <row r="826">
      <c r="L826" s="76"/>
      <c r="R826" s="76"/>
      <c r="X826" s="76"/>
      <c r="AD826" s="76"/>
      <c r="AJ826" s="76"/>
      <c r="AP826" s="76"/>
      <c r="AV826" s="76"/>
      <c r="BB826" s="76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</row>
    <row r="827">
      <c r="L827" s="76"/>
      <c r="R827" s="76"/>
      <c r="X827" s="76"/>
      <c r="AD827" s="76"/>
      <c r="AJ827" s="76"/>
      <c r="AP827" s="76"/>
      <c r="AV827" s="76"/>
      <c r="BB827" s="76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</row>
    <row r="828">
      <c r="L828" s="76"/>
      <c r="R828" s="76"/>
      <c r="X828" s="76"/>
      <c r="AD828" s="76"/>
      <c r="AJ828" s="76"/>
      <c r="AP828" s="76"/>
      <c r="AV828" s="76"/>
      <c r="BB828" s="76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</row>
    <row r="829">
      <c r="L829" s="76"/>
      <c r="R829" s="76"/>
      <c r="X829" s="76"/>
      <c r="AD829" s="76"/>
      <c r="AJ829" s="76"/>
      <c r="AP829" s="76"/>
      <c r="AV829" s="76"/>
      <c r="BB829" s="76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</row>
    <row r="830">
      <c r="L830" s="76"/>
      <c r="R830" s="76"/>
      <c r="X830" s="76"/>
      <c r="AD830" s="76"/>
      <c r="AJ830" s="76"/>
      <c r="AP830" s="76"/>
      <c r="AV830" s="76"/>
      <c r="BB830" s="76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</row>
    <row r="831">
      <c r="L831" s="76"/>
      <c r="R831" s="76"/>
      <c r="X831" s="76"/>
      <c r="AD831" s="76"/>
      <c r="AJ831" s="76"/>
      <c r="AP831" s="76"/>
      <c r="AV831" s="76"/>
      <c r="BB831" s="76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</row>
    <row r="832">
      <c r="L832" s="76"/>
      <c r="R832" s="76"/>
      <c r="X832" s="76"/>
      <c r="AD832" s="76"/>
      <c r="AJ832" s="76"/>
      <c r="AP832" s="76"/>
      <c r="AV832" s="76"/>
      <c r="BB832" s="76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</row>
    <row r="833">
      <c r="L833" s="76"/>
      <c r="R833" s="76"/>
      <c r="X833" s="76"/>
      <c r="AD833" s="76"/>
      <c r="AJ833" s="76"/>
      <c r="AP833" s="76"/>
      <c r="AV833" s="76"/>
      <c r="BB833" s="76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</row>
    <row r="834">
      <c r="L834" s="76"/>
      <c r="R834" s="76"/>
      <c r="X834" s="76"/>
      <c r="AD834" s="76"/>
      <c r="AJ834" s="76"/>
      <c r="AP834" s="76"/>
      <c r="AV834" s="76"/>
      <c r="BB834" s="76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</row>
    <row r="835">
      <c r="L835" s="76"/>
      <c r="R835" s="76"/>
      <c r="X835" s="76"/>
      <c r="AD835" s="76"/>
      <c r="AJ835" s="76"/>
      <c r="AP835" s="76"/>
      <c r="AV835" s="76"/>
      <c r="BB835" s="76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</row>
    <row r="836">
      <c r="L836" s="76"/>
      <c r="R836" s="76"/>
      <c r="X836" s="76"/>
      <c r="AD836" s="76"/>
      <c r="AJ836" s="76"/>
      <c r="AP836" s="76"/>
      <c r="AV836" s="76"/>
      <c r="BB836" s="76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</row>
    <row r="837">
      <c r="L837" s="76"/>
      <c r="R837" s="76"/>
      <c r="X837" s="76"/>
      <c r="AD837" s="76"/>
      <c r="AJ837" s="76"/>
      <c r="AP837" s="76"/>
      <c r="AV837" s="76"/>
      <c r="BB837" s="76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</row>
    <row r="838">
      <c r="L838" s="76"/>
      <c r="R838" s="76"/>
      <c r="X838" s="76"/>
      <c r="AD838" s="76"/>
      <c r="AJ838" s="76"/>
      <c r="AP838" s="76"/>
      <c r="AV838" s="76"/>
      <c r="BB838" s="76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</row>
    <row r="839">
      <c r="L839" s="76"/>
      <c r="R839" s="76"/>
      <c r="X839" s="76"/>
      <c r="AD839" s="76"/>
      <c r="AJ839" s="76"/>
      <c r="AP839" s="76"/>
      <c r="AV839" s="76"/>
      <c r="BB839" s="76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</row>
    <row r="840">
      <c r="L840" s="76"/>
      <c r="R840" s="76"/>
      <c r="X840" s="76"/>
      <c r="AD840" s="76"/>
      <c r="AJ840" s="76"/>
      <c r="AP840" s="76"/>
      <c r="AV840" s="76"/>
      <c r="BB840" s="76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</row>
    <row r="841">
      <c r="L841" s="76"/>
      <c r="R841" s="76"/>
      <c r="X841" s="76"/>
      <c r="AD841" s="76"/>
      <c r="AJ841" s="76"/>
      <c r="AP841" s="76"/>
      <c r="AV841" s="76"/>
      <c r="BB841" s="76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</row>
    <row r="842">
      <c r="L842" s="76"/>
      <c r="R842" s="76"/>
      <c r="X842" s="76"/>
      <c r="AD842" s="76"/>
      <c r="AJ842" s="76"/>
      <c r="AP842" s="76"/>
      <c r="AV842" s="76"/>
      <c r="BB842" s="76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</row>
    <row r="843">
      <c r="L843" s="76"/>
      <c r="R843" s="76"/>
      <c r="X843" s="76"/>
      <c r="AD843" s="76"/>
      <c r="AJ843" s="76"/>
      <c r="AP843" s="76"/>
      <c r="AV843" s="76"/>
      <c r="BB843" s="76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</row>
    <row r="844">
      <c r="L844" s="76"/>
      <c r="R844" s="76"/>
      <c r="X844" s="76"/>
      <c r="AD844" s="76"/>
      <c r="AJ844" s="76"/>
      <c r="AP844" s="76"/>
      <c r="AV844" s="76"/>
      <c r="BB844" s="76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</row>
    <row r="845">
      <c r="L845" s="76"/>
      <c r="R845" s="76"/>
      <c r="X845" s="76"/>
      <c r="AD845" s="76"/>
      <c r="AJ845" s="76"/>
      <c r="AP845" s="76"/>
      <c r="AV845" s="76"/>
      <c r="BB845" s="76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</row>
    <row r="846">
      <c r="L846" s="76"/>
      <c r="R846" s="76"/>
      <c r="X846" s="76"/>
      <c r="AD846" s="76"/>
      <c r="AJ846" s="76"/>
      <c r="AP846" s="76"/>
      <c r="AV846" s="76"/>
      <c r="BB846" s="76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</row>
    <row r="847">
      <c r="L847" s="76"/>
      <c r="R847" s="76"/>
      <c r="X847" s="76"/>
      <c r="AD847" s="76"/>
      <c r="AJ847" s="76"/>
      <c r="AP847" s="76"/>
      <c r="AV847" s="76"/>
      <c r="BB847" s="76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</row>
    <row r="848">
      <c r="L848" s="76"/>
      <c r="R848" s="76"/>
      <c r="X848" s="76"/>
      <c r="AD848" s="76"/>
      <c r="AJ848" s="76"/>
      <c r="AP848" s="76"/>
      <c r="AV848" s="76"/>
      <c r="BB848" s="76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</row>
    <row r="849">
      <c r="L849" s="76"/>
      <c r="R849" s="76"/>
      <c r="X849" s="76"/>
      <c r="AD849" s="76"/>
      <c r="AJ849" s="76"/>
      <c r="AP849" s="76"/>
      <c r="AV849" s="76"/>
      <c r="BB849" s="76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</row>
    <row r="850">
      <c r="L850" s="76"/>
      <c r="R850" s="76"/>
      <c r="X850" s="76"/>
      <c r="AD850" s="76"/>
      <c r="AJ850" s="76"/>
      <c r="AP850" s="76"/>
      <c r="AV850" s="76"/>
      <c r="BB850" s="76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</row>
    <row r="851">
      <c r="L851" s="76"/>
      <c r="R851" s="76"/>
      <c r="X851" s="76"/>
      <c r="AD851" s="76"/>
      <c r="AJ851" s="76"/>
      <c r="AP851" s="76"/>
      <c r="AV851" s="76"/>
      <c r="BB851" s="76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</row>
    <row r="852">
      <c r="L852" s="76"/>
      <c r="R852" s="76"/>
      <c r="X852" s="76"/>
      <c r="AD852" s="76"/>
      <c r="AJ852" s="76"/>
      <c r="AP852" s="76"/>
      <c r="AV852" s="76"/>
      <c r="BB852" s="76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</row>
    <row r="853">
      <c r="L853" s="76"/>
      <c r="R853" s="76"/>
      <c r="X853" s="76"/>
      <c r="AD853" s="76"/>
      <c r="AJ853" s="76"/>
      <c r="AP853" s="76"/>
      <c r="AV853" s="76"/>
      <c r="BB853" s="76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</row>
    <row r="854">
      <c r="L854" s="76"/>
      <c r="R854" s="76"/>
      <c r="X854" s="76"/>
      <c r="AD854" s="76"/>
      <c r="AJ854" s="76"/>
      <c r="AP854" s="76"/>
      <c r="AV854" s="76"/>
      <c r="BB854" s="76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</row>
    <row r="855">
      <c r="L855" s="76"/>
      <c r="R855" s="76"/>
      <c r="X855" s="76"/>
      <c r="AD855" s="76"/>
      <c r="AJ855" s="76"/>
      <c r="AP855" s="76"/>
      <c r="AV855" s="76"/>
      <c r="BB855" s="76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</row>
    <row r="856">
      <c r="L856" s="76"/>
      <c r="R856" s="76"/>
      <c r="X856" s="76"/>
      <c r="AD856" s="76"/>
      <c r="AJ856" s="76"/>
      <c r="AP856" s="76"/>
      <c r="AV856" s="76"/>
      <c r="BB856" s="76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</row>
    <row r="857">
      <c r="L857" s="76"/>
      <c r="R857" s="76"/>
      <c r="X857" s="76"/>
      <c r="AD857" s="76"/>
      <c r="AJ857" s="76"/>
      <c r="AP857" s="76"/>
      <c r="AV857" s="76"/>
      <c r="BB857" s="76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</row>
    <row r="858">
      <c r="L858" s="76"/>
      <c r="R858" s="76"/>
      <c r="X858" s="76"/>
      <c r="AD858" s="76"/>
      <c r="AJ858" s="76"/>
      <c r="AP858" s="76"/>
      <c r="AV858" s="76"/>
      <c r="BB858" s="76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</row>
    <row r="859">
      <c r="L859" s="76"/>
      <c r="R859" s="76"/>
      <c r="X859" s="76"/>
      <c r="AD859" s="76"/>
      <c r="AJ859" s="76"/>
      <c r="AP859" s="76"/>
      <c r="AV859" s="76"/>
      <c r="BB859" s="76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</row>
    <row r="860">
      <c r="L860" s="76"/>
      <c r="R860" s="76"/>
      <c r="X860" s="76"/>
      <c r="AD860" s="76"/>
      <c r="AJ860" s="76"/>
      <c r="AP860" s="76"/>
      <c r="AV860" s="76"/>
      <c r="BB860" s="76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</row>
    <row r="861">
      <c r="L861" s="76"/>
      <c r="R861" s="76"/>
      <c r="X861" s="76"/>
      <c r="AD861" s="76"/>
      <c r="AJ861" s="76"/>
      <c r="AP861" s="76"/>
      <c r="AV861" s="76"/>
      <c r="BB861" s="76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</row>
    <row r="862">
      <c r="L862" s="76"/>
      <c r="R862" s="76"/>
      <c r="X862" s="76"/>
      <c r="AD862" s="76"/>
      <c r="AJ862" s="76"/>
      <c r="AP862" s="76"/>
      <c r="AV862" s="76"/>
      <c r="BB862" s="76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</row>
    <row r="863">
      <c r="L863" s="76"/>
      <c r="R863" s="76"/>
      <c r="X863" s="76"/>
      <c r="AD863" s="76"/>
      <c r="AJ863" s="76"/>
      <c r="AP863" s="76"/>
      <c r="AV863" s="76"/>
      <c r="BB863" s="76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</row>
    <row r="864">
      <c r="L864" s="76"/>
      <c r="R864" s="76"/>
      <c r="X864" s="76"/>
      <c r="AD864" s="76"/>
      <c r="AJ864" s="76"/>
      <c r="AP864" s="76"/>
      <c r="AV864" s="76"/>
      <c r="BB864" s="76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</row>
    <row r="865">
      <c r="L865" s="76"/>
      <c r="R865" s="76"/>
      <c r="X865" s="76"/>
      <c r="AD865" s="76"/>
      <c r="AJ865" s="76"/>
      <c r="AP865" s="76"/>
      <c r="AV865" s="76"/>
      <c r="BB865" s="76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</row>
    <row r="866">
      <c r="L866" s="76"/>
      <c r="R866" s="76"/>
      <c r="X866" s="76"/>
      <c r="AD866" s="76"/>
      <c r="AJ866" s="76"/>
      <c r="AP866" s="76"/>
      <c r="AV866" s="76"/>
      <c r="BB866" s="76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</row>
    <row r="867">
      <c r="L867" s="76"/>
      <c r="R867" s="76"/>
      <c r="X867" s="76"/>
      <c r="AD867" s="76"/>
      <c r="AJ867" s="76"/>
      <c r="AP867" s="76"/>
      <c r="AV867" s="76"/>
      <c r="BB867" s="76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</row>
    <row r="868">
      <c r="L868" s="76"/>
      <c r="R868" s="76"/>
      <c r="X868" s="76"/>
      <c r="AD868" s="76"/>
      <c r="AJ868" s="76"/>
      <c r="AP868" s="76"/>
      <c r="AV868" s="76"/>
      <c r="BB868" s="76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</row>
    <row r="869">
      <c r="L869" s="76"/>
      <c r="R869" s="76"/>
      <c r="X869" s="76"/>
      <c r="AD869" s="76"/>
      <c r="AJ869" s="76"/>
      <c r="AP869" s="76"/>
      <c r="AV869" s="76"/>
      <c r="BB869" s="76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</row>
    <row r="870">
      <c r="L870" s="76"/>
      <c r="R870" s="76"/>
      <c r="X870" s="76"/>
      <c r="AD870" s="76"/>
      <c r="AJ870" s="76"/>
      <c r="AP870" s="76"/>
      <c r="AV870" s="76"/>
      <c r="BB870" s="76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</row>
    <row r="871">
      <c r="L871" s="76"/>
      <c r="R871" s="76"/>
      <c r="X871" s="76"/>
      <c r="AD871" s="76"/>
      <c r="AJ871" s="76"/>
      <c r="AP871" s="76"/>
      <c r="AV871" s="76"/>
      <c r="BB871" s="76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</row>
    <row r="872">
      <c r="L872" s="76"/>
      <c r="R872" s="76"/>
      <c r="X872" s="76"/>
      <c r="AD872" s="76"/>
      <c r="AJ872" s="76"/>
      <c r="AP872" s="76"/>
      <c r="AV872" s="76"/>
      <c r="BB872" s="76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</row>
    <row r="873">
      <c r="L873" s="76"/>
      <c r="R873" s="76"/>
      <c r="X873" s="76"/>
      <c r="AD873" s="76"/>
      <c r="AJ873" s="76"/>
      <c r="AP873" s="76"/>
      <c r="AV873" s="76"/>
      <c r="BB873" s="76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</row>
    <row r="874">
      <c r="L874" s="76"/>
      <c r="R874" s="76"/>
      <c r="X874" s="76"/>
      <c r="AD874" s="76"/>
      <c r="AJ874" s="76"/>
      <c r="AP874" s="76"/>
      <c r="AV874" s="76"/>
      <c r="BB874" s="76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</row>
    <row r="875">
      <c r="L875" s="76"/>
      <c r="R875" s="76"/>
      <c r="X875" s="76"/>
      <c r="AD875" s="76"/>
      <c r="AJ875" s="76"/>
      <c r="AP875" s="76"/>
      <c r="AV875" s="76"/>
      <c r="BB875" s="76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</row>
    <row r="876">
      <c r="L876" s="76"/>
      <c r="R876" s="76"/>
      <c r="X876" s="76"/>
      <c r="AD876" s="76"/>
      <c r="AJ876" s="76"/>
      <c r="AP876" s="76"/>
      <c r="AV876" s="76"/>
      <c r="BB876" s="76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</row>
    <row r="877">
      <c r="L877" s="76"/>
      <c r="R877" s="76"/>
      <c r="X877" s="76"/>
      <c r="AD877" s="76"/>
      <c r="AJ877" s="76"/>
      <c r="AP877" s="76"/>
      <c r="AV877" s="76"/>
      <c r="BB877" s="76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</row>
    <row r="878">
      <c r="L878" s="76"/>
      <c r="R878" s="76"/>
      <c r="X878" s="76"/>
      <c r="AD878" s="76"/>
      <c r="AJ878" s="76"/>
      <c r="AP878" s="76"/>
      <c r="AV878" s="76"/>
      <c r="BB878" s="76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</row>
    <row r="879">
      <c r="L879" s="76"/>
      <c r="R879" s="76"/>
      <c r="X879" s="76"/>
      <c r="AD879" s="76"/>
      <c r="AJ879" s="76"/>
      <c r="AP879" s="76"/>
      <c r="AV879" s="76"/>
      <c r="BB879" s="76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</row>
    <row r="880">
      <c r="L880" s="76"/>
      <c r="R880" s="76"/>
      <c r="X880" s="76"/>
      <c r="AD880" s="76"/>
      <c r="AJ880" s="76"/>
      <c r="AP880" s="76"/>
      <c r="AV880" s="76"/>
      <c r="BB880" s="76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</row>
    <row r="881">
      <c r="L881" s="76"/>
      <c r="R881" s="76"/>
      <c r="X881" s="76"/>
      <c r="AD881" s="76"/>
      <c r="AJ881" s="76"/>
      <c r="AP881" s="76"/>
      <c r="AV881" s="76"/>
      <c r="BB881" s="76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</row>
    <row r="882">
      <c r="L882" s="76"/>
      <c r="R882" s="76"/>
      <c r="X882" s="76"/>
      <c r="AD882" s="76"/>
      <c r="AJ882" s="76"/>
      <c r="AP882" s="76"/>
      <c r="AV882" s="76"/>
      <c r="BB882" s="76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</row>
    <row r="883">
      <c r="L883" s="76"/>
      <c r="R883" s="76"/>
      <c r="X883" s="76"/>
      <c r="AD883" s="76"/>
      <c r="AJ883" s="76"/>
      <c r="AP883" s="76"/>
      <c r="AV883" s="76"/>
      <c r="BB883" s="76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</row>
    <row r="884">
      <c r="L884" s="76"/>
      <c r="R884" s="76"/>
      <c r="X884" s="76"/>
      <c r="AD884" s="76"/>
      <c r="AJ884" s="76"/>
      <c r="AP884" s="76"/>
      <c r="AV884" s="76"/>
      <c r="BB884" s="76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</row>
    <row r="885">
      <c r="L885" s="76"/>
      <c r="R885" s="76"/>
      <c r="X885" s="76"/>
      <c r="AD885" s="76"/>
      <c r="AJ885" s="76"/>
      <c r="AP885" s="76"/>
      <c r="AV885" s="76"/>
      <c r="BB885" s="76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</row>
    <row r="886">
      <c r="L886" s="76"/>
      <c r="R886" s="76"/>
      <c r="X886" s="76"/>
      <c r="AD886" s="76"/>
      <c r="AJ886" s="76"/>
      <c r="AP886" s="76"/>
      <c r="AV886" s="76"/>
      <c r="BB886" s="76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</row>
    <row r="887">
      <c r="L887" s="76"/>
      <c r="R887" s="76"/>
      <c r="X887" s="76"/>
      <c r="AD887" s="76"/>
      <c r="AJ887" s="76"/>
      <c r="AP887" s="76"/>
      <c r="AV887" s="76"/>
      <c r="BB887" s="76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</row>
    <row r="888">
      <c r="L888" s="76"/>
      <c r="R888" s="76"/>
      <c r="X888" s="76"/>
      <c r="AD888" s="76"/>
      <c r="AJ888" s="76"/>
      <c r="AP888" s="76"/>
      <c r="AV888" s="76"/>
      <c r="BB888" s="76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</row>
    <row r="889">
      <c r="L889" s="76"/>
      <c r="R889" s="76"/>
      <c r="X889" s="76"/>
      <c r="AD889" s="76"/>
      <c r="AJ889" s="76"/>
      <c r="AP889" s="76"/>
      <c r="AV889" s="76"/>
      <c r="BB889" s="76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</row>
    <row r="890">
      <c r="L890" s="76"/>
      <c r="R890" s="76"/>
      <c r="X890" s="76"/>
      <c r="AD890" s="76"/>
      <c r="AJ890" s="76"/>
      <c r="AP890" s="76"/>
      <c r="AV890" s="76"/>
      <c r="BB890" s="76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</row>
    <row r="891">
      <c r="L891" s="76"/>
      <c r="R891" s="76"/>
      <c r="X891" s="76"/>
      <c r="AD891" s="76"/>
      <c r="AJ891" s="76"/>
      <c r="AP891" s="76"/>
      <c r="AV891" s="76"/>
      <c r="BB891" s="76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</row>
    <row r="892">
      <c r="L892" s="76"/>
      <c r="R892" s="76"/>
      <c r="X892" s="76"/>
      <c r="AD892" s="76"/>
      <c r="AJ892" s="76"/>
      <c r="AP892" s="76"/>
      <c r="AV892" s="76"/>
      <c r="BB892" s="76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</row>
    <row r="893">
      <c r="L893" s="76"/>
      <c r="R893" s="76"/>
      <c r="X893" s="76"/>
      <c r="AD893" s="76"/>
      <c r="AJ893" s="76"/>
      <c r="AP893" s="76"/>
      <c r="AV893" s="76"/>
      <c r="BB893" s="76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</row>
    <row r="894">
      <c r="L894" s="76"/>
      <c r="R894" s="76"/>
      <c r="X894" s="76"/>
      <c r="AD894" s="76"/>
      <c r="AJ894" s="76"/>
      <c r="AP894" s="76"/>
      <c r="AV894" s="76"/>
      <c r="BB894" s="76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</row>
    <row r="895">
      <c r="L895" s="76"/>
      <c r="R895" s="76"/>
      <c r="X895" s="76"/>
      <c r="AD895" s="76"/>
      <c r="AJ895" s="76"/>
      <c r="AP895" s="76"/>
      <c r="AV895" s="76"/>
      <c r="BB895" s="76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</row>
    <row r="896">
      <c r="L896" s="76"/>
      <c r="R896" s="76"/>
      <c r="X896" s="76"/>
      <c r="AD896" s="76"/>
      <c r="AJ896" s="76"/>
      <c r="AP896" s="76"/>
      <c r="AV896" s="76"/>
      <c r="BB896" s="76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</row>
    <row r="897">
      <c r="L897" s="76"/>
      <c r="R897" s="76"/>
      <c r="X897" s="76"/>
      <c r="AD897" s="76"/>
      <c r="AJ897" s="76"/>
      <c r="AP897" s="76"/>
      <c r="AV897" s="76"/>
      <c r="BB897" s="76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</row>
    <row r="898">
      <c r="L898" s="76"/>
      <c r="R898" s="76"/>
      <c r="X898" s="76"/>
      <c r="AD898" s="76"/>
      <c r="AJ898" s="76"/>
      <c r="AP898" s="76"/>
      <c r="AV898" s="76"/>
      <c r="BB898" s="76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</row>
    <row r="899">
      <c r="L899" s="76"/>
      <c r="R899" s="76"/>
      <c r="X899" s="76"/>
      <c r="AD899" s="76"/>
      <c r="AJ899" s="76"/>
      <c r="AP899" s="76"/>
      <c r="AV899" s="76"/>
      <c r="BB899" s="76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</row>
    <row r="900">
      <c r="L900" s="76"/>
      <c r="R900" s="76"/>
      <c r="X900" s="76"/>
      <c r="AD900" s="76"/>
      <c r="AJ900" s="76"/>
      <c r="AP900" s="76"/>
      <c r="AV900" s="76"/>
      <c r="BB900" s="76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</row>
    <row r="901">
      <c r="L901" s="76"/>
      <c r="R901" s="76"/>
      <c r="X901" s="76"/>
      <c r="AD901" s="76"/>
      <c r="AJ901" s="76"/>
      <c r="AP901" s="76"/>
      <c r="AV901" s="76"/>
      <c r="BB901" s="76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</row>
    <row r="902">
      <c r="L902" s="76"/>
      <c r="R902" s="76"/>
      <c r="X902" s="76"/>
      <c r="AD902" s="76"/>
      <c r="AJ902" s="76"/>
      <c r="AP902" s="76"/>
      <c r="AV902" s="76"/>
      <c r="BB902" s="76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</row>
    <row r="903">
      <c r="L903" s="76"/>
      <c r="R903" s="76"/>
      <c r="X903" s="76"/>
      <c r="AD903" s="76"/>
      <c r="AJ903" s="76"/>
      <c r="AP903" s="76"/>
      <c r="AV903" s="76"/>
      <c r="BB903" s="76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</row>
    <row r="904">
      <c r="L904" s="76"/>
      <c r="R904" s="76"/>
      <c r="X904" s="76"/>
      <c r="AD904" s="76"/>
      <c r="AJ904" s="76"/>
      <c r="AP904" s="76"/>
      <c r="AV904" s="76"/>
      <c r="BB904" s="76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</row>
    <row r="905">
      <c r="L905" s="76"/>
      <c r="R905" s="76"/>
      <c r="X905" s="76"/>
      <c r="AD905" s="76"/>
      <c r="AJ905" s="76"/>
      <c r="AP905" s="76"/>
      <c r="AV905" s="76"/>
      <c r="BB905" s="76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</row>
    <row r="906">
      <c r="L906" s="76"/>
      <c r="R906" s="76"/>
      <c r="X906" s="76"/>
      <c r="AD906" s="76"/>
      <c r="AJ906" s="76"/>
      <c r="AP906" s="76"/>
      <c r="AV906" s="76"/>
      <c r="BB906" s="76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</row>
    <row r="907">
      <c r="L907" s="76"/>
      <c r="R907" s="76"/>
      <c r="X907" s="76"/>
      <c r="AD907" s="76"/>
      <c r="AJ907" s="76"/>
      <c r="AP907" s="76"/>
      <c r="AV907" s="76"/>
      <c r="BB907" s="76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</row>
    <row r="908">
      <c r="L908" s="76"/>
      <c r="R908" s="76"/>
      <c r="X908" s="76"/>
      <c r="AD908" s="76"/>
      <c r="AJ908" s="76"/>
      <c r="AP908" s="76"/>
      <c r="AV908" s="76"/>
      <c r="BB908" s="76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</row>
    <row r="909">
      <c r="L909" s="76"/>
      <c r="R909" s="76"/>
      <c r="X909" s="76"/>
      <c r="AD909" s="76"/>
      <c r="AJ909" s="76"/>
      <c r="AP909" s="76"/>
      <c r="AV909" s="76"/>
      <c r="BB909" s="76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</row>
    <row r="910">
      <c r="L910" s="76"/>
      <c r="R910" s="76"/>
      <c r="X910" s="76"/>
      <c r="AD910" s="76"/>
      <c r="AJ910" s="76"/>
      <c r="AP910" s="76"/>
      <c r="AV910" s="76"/>
      <c r="BB910" s="76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</row>
    <row r="911">
      <c r="L911" s="76"/>
      <c r="R911" s="76"/>
      <c r="X911" s="76"/>
      <c r="AD911" s="76"/>
      <c r="AJ911" s="76"/>
      <c r="AP911" s="76"/>
      <c r="AV911" s="76"/>
      <c r="BB911" s="76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</row>
    <row r="912">
      <c r="L912" s="76"/>
      <c r="R912" s="76"/>
      <c r="X912" s="76"/>
      <c r="AD912" s="76"/>
      <c r="AJ912" s="76"/>
      <c r="AP912" s="76"/>
      <c r="AV912" s="76"/>
      <c r="BB912" s="76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</row>
    <row r="913">
      <c r="L913" s="76"/>
      <c r="R913" s="76"/>
      <c r="X913" s="76"/>
      <c r="AD913" s="76"/>
      <c r="AJ913" s="76"/>
      <c r="AP913" s="76"/>
      <c r="AV913" s="76"/>
      <c r="BB913" s="76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</row>
    <row r="914">
      <c r="L914" s="76"/>
      <c r="R914" s="76"/>
      <c r="X914" s="76"/>
      <c r="AD914" s="76"/>
      <c r="AJ914" s="76"/>
      <c r="AP914" s="76"/>
      <c r="AV914" s="76"/>
      <c r="BB914" s="76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</row>
    <row r="915">
      <c r="L915" s="76"/>
      <c r="R915" s="76"/>
      <c r="X915" s="76"/>
      <c r="AD915" s="76"/>
      <c r="AJ915" s="76"/>
      <c r="AP915" s="76"/>
      <c r="AV915" s="76"/>
      <c r="BB915" s="76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</row>
    <row r="916">
      <c r="L916" s="76"/>
      <c r="R916" s="76"/>
      <c r="X916" s="76"/>
      <c r="AD916" s="76"/>
      <c r="AJ916" s="76"/>
      <c r="AP916" s="76"/>
      <c r="AV916" s="76"/>
      <c r="BB916" s="76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</row>
    <row r="917">
      <c r="L917" s="76"/>
      <c r="R917" s="76"/>
      <c r="X917" s="76"/>
      <c r="AD917" s="76"/>
      <c r="AJ917" s="76"/>
      <c r="AP917" s="76"/>
      <c r="AV917" s="76"/>
      <c r="BB917" s="76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</row>
    <row r="918">
      <c r="L918" s="76"/>
      <c r="R918" s="76"/>
      <c r="X918" s="76"/>
      <c r="AD918" s="76"/>
      <c r="AJ918" s="76"/>
      <c r="AP918" s="76"/>
      <c r="AV918" s="76"/>
      <c r="BB918" s="76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</row>
    <row r="919">
      <c r="L919" s="76"/>
      <c r="R919" s="76"/>
      <c r="X919" s="76"/>
      <c r="AD919" s="76"/>
      <c r="AJ919" s="76"/>
      <c r="AP919" s="76"/>
      <c r="AV919" s="76"/>
      <c r="BB919" s="76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</row>
    <row r="920">
      <c r="L920" s="76"/>
      <c r="R920" s="76"/>
      <c r="X920" s="76"/>
      <c r="AD920" s="76"/>
      <c r="AJ920" s="76"/>
      <c r="AP920" s="76"/>
      <c r="AV920" s="76"/>
      <c r="BB920" s="76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</row>
    <row r="921">
      <c r="L921" s="76"/>
      <c r="R921" s="76"/>
      <c r="X921" s="76"/>
      <c r="AD921" s="76"/>
      <c r="AJ921" s="76"/>
      <c r="AP921" s="76"/>
      <c r="AV921" s="76"/>
      <c r="BB921" s="76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</row>
    <row r="922">
      <c r="L922" s="76"/>
      <c r="R922" s="76"/>
      <c r="X922" s="76"/>
      <c r="AD922" s="76"/>
      <c r="AJ922" s="76"/>
      <c r="AP922" s="76"/>
      <c r="AV922" s="76"/>
      <c r="BB922" s="76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</row>
    <row r="923">
      <c r="L923" s="76"/>
      <c r="R923" s="76"/>
      <c r="X923" s="76"/>
      <c r="AD923" s="76"/>
      <c r="AJ923" s="76"/>
      <c r="AP923" s="76"/>
      <c r="AV923" s="76"/>
      <c r="BB923" s="76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</row>
    <row r="924">
      <c r="L924" s="76"/>
      <c r="R924" s="76"/>
      <c r="X924" s="76"/>
      <c r="AD924" s="76"/>
      <c r="AJ924" s="76"/>
      <c r="AP924" s="76"/>
      <c r="AV924" s="76"/>
      <c r="BB924" s="76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</row>
    <row r="925">
      <c r="L925" s="76"/>
      <c r="R925" s="76"/>
      <c r="X925" s="76"/>
      <c r="AD925" s="76"/>
      <c r="AJ925" s="76"/>
      <c r="AP925" s="76"/>
      <c r="AV925" s="76"/>
      <c r="BB925" s="76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</row>
    <row r="926">
      <c r="L926" s="76"/>
      <c r="R926" s="76"/>
      <c r="X926" s="76"/>
      <c r="AD926" s="76"/>
      <c r="AJ926" s="76"/>
      <c r="AP926" s="76"/>
      <c r="AV926" s="76"/>
      <c r="BB926" s="76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</row>
    <row r="927">
      <c r="L927" s="76"/>
      <c r="R927" s="76"/>
      <c r="X927" s="76"/>
      <c r="AD927" s="76"/>
      <c r="AJ927" s="76"/>
      <c r="AP927" s="76"/>
      <c r="AV927" s="76"/>
      <c r="BB927" s="76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</row>
    <row r="928">
      <c r="L928" s="76"/>
      <c r="R928" s="76"/>
      <c r="X928" s="76"/>
      <c r="AD928" s="76"/>
      <c r="AJ928" s="76"/>
      <c r="AP928" s="76"/>
      <c r="AV928" s="76"/>
      <c r="BB928" s="76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</row>
    <row r="929">
      <c r="L929" s="76"/>
      <c r="R929" s="76"/>
      <c r="X929" s="76"/>
      <c r="AD929" s="76"/>
      <c r="AJ929" s="76"/>
      <c r="AP929" s="76"/>
      <c r="AV929" s="76"/>
      <c r="BB929" s="76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</row>
    <row r="930">
      <c r="L930" s="76"/>
      <c r="R930" s="76"/>
      <c r="X930" s="76"/>
      <c r="AD930" s="76"/>
      <c r="AJ930" s="76"/>
      <c r="AP930" s="76"/>
      <c r="AV930" s="76"/>
      <c r="BB930" s="76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</row>
    <row r="931">
      <c r="L931" s="76"/>
      <c r="R931" s="76"/>
      <c r="X931" s="76"/>
      <c r="AD931" s="76"/>
      <c r="AJ931" s="76"/>
      <c r="AP931" s="76"/>
      <c r="AV931" s="76"/>
      <c r="BB931" s="76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</row>
    <row r="932">
      <c r="L932" s="76"/>
      <c r="R932" s="76"/>
      <c r="X932" s="76"/>
      <c r="AD932" s="76"/>
      <c r="AJ932" s="76"/>
      <c r="AP932" s="76"/>
      <c r="AV932" s="76"/>
      <c r="BB932" s="76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</row>
    <row r="933">
      <c r="L933" s="76"/>
      <c r="R933" s="76"/>
      <c r="X933" s="76"/>
      <c r="AD933" s="76"/>
      <c r="AJ933" s="76"/>
      <c r="AP933" s="76"/>
      <c r="AV933" s="76"/>
      <c r="BB933" s="76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</row>
    <row r="934">
      <c r="L934" s="76"/>
      <c r="R934" s="76"/>
      <c r="X934" s="76"/>
      <c r="AD934" s="76"/>
      <c r="AJ934" s="76"/>
      <c r="AP934" s="76"/>
      <c r="AV934" s="76"/>
      <c r="BB934" s="76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</row>
    <row r="935">
      <c r="L935" s="76"/>
      <c r="R935" s="76"/>
      <c r="X935" s="76"/>
      <c r="AD935" s="76"/>
      <c r="AJ935" s="76"/>
      <c r="AP935" s="76"/>
      <c r="AV935" s="76"/>
      <c r="BB935" s="76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</row>
    <row r="936">
      <c r="L936" s="76"/>
      <c r="R936" s="76"/>
      <c r="X936" s="76"/>
      <c r="AD936" s="76"/>
      <c r="AJ936" s="76"/>
      <c r="AP936" s="76"/>
      <c r="AV936" s="76"/>
      <c r="BB936" s="76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</row>
    <row r="937">
      <c r="L937" s="76"/>
      <c r="R937" s="76"/>
      <c r="X937" s="76"/>
      <c r="AD937" s="76"/>
      <c r="AJ937" s="76"/>
      <c r="AP937" s="76"/>
      <c r="AV937" s="76"/>
      <c r="BB937" s="76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</row>
    <row r="938">
      <c r="L938" s="76"/>
      <c r="R938" s="76"/>
      <c r="X938" s="76"/>
      <c r="AD938" s="76"/>
      <c r="AJ938" s="76"/>
      <c r="AP938" s="76"/>
      <c r="AV938" s="76"/>
      <c r="BB938" s="76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</row>
    <row r="939">
      <c r="L939" s="76"/>
      <c r="R939" s="76"/>
      <c r="X939" s="76"/>
      <c r="AD939" s="76"/>
      <c r="AJ939" s="76"/>
      <c r="AP939" s="76"/>
      <c r="AV939" s="76"/>
      <c r="BB939" s="76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</row>
    <row r="940">
      <c r="L940" s="76"/>
      <c r="R940" s="76"/>
      <c r="X940" s="76"/>
      <c r="AD940" s="76"/>
      <c r="AJ940" s="76"/>
      <c r="AP940" s="76"/>
      <c r="AV940" s="76"/>
      <c r="BB940" s="76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</row>
    <row r="941">
      <c r="L941" s="76"/>
      <c r="R941" s="76"/>
      <c r="X941" s="76"/>
      <c r="AD941" s="76"/>
      <c r="AJ941" s="76"/>
      <c r="AP941" s="76"/>
      <c r="AV941" s="76"/>
      <c r="BB941" s="76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</row>
    <row r="942">
      <c r="L942" s="76"/>
      <c r="R942" s="76"/>
      <c r="X942" s="76"/>
      <c r="AD942" s="76"/>
      <c r="AJ942" s="76"/>
      <c r="AP942" s="76"/>
      <c r="AV942" s="76"/>
      <c r="BB942" s="76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</row>
    <row r="943">
      <c r="L943" s="76"/>
      <c r="R943" s="76"/>
      <c r="X943" s="76"/>
      <c r="AD943" s="76"/>
      <c r="AJ943" s="76"/>
      <c r="AP943" s="76"/>
      <c r="AV943" s="76"/>
      <c r="BB943" s="76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</row>
    <row r="944">
      <c r="L944" s="76"/>
      <c r="R944" s="76"/>
      <c r="X944" s="76"/>
      <c r="AD944" s="76"/>
      <c r="AJ944" s="76"/>
      <c r="AP944" s="76"/>
      <c r="AV944" s="76"/>
      <c r="BB944" s="76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</row>
    <row r="945">
      <c r="L945" s="76"/>
      <c r="R945" s="76"/>
      <c r="X945" s="76"/>
      <c r="AD945" s="76"/>
      <c r="AJ945" s="76"/>
      <c r="AP945" s="76"/>
      <c r="AV945" s="76"/>
      <c r="BB945" s="76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</row>
    <row r="946">
      <c r="L946" s="76"/>
      <c r="R946" s="76"/>
      <c r="X946" s="76"/>
      <c r="AD946" s="76"/>
      <c r="AJ946" s="76"/>
      <c r="AP946" s="76"/>
      <c r="AV946" s="76"/>
      <c r="BB946" s="76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</row>
    <row r="947">
      <c r="L947" s="76"/>
      <c r="R947" s="76"/>
      <c r="X947" s="76"/>
      <c r="AD947" s="76"/>
      <c r="AJ947" s="76"/>
      <c r="AP947" s="76"/>
      <c r="AV947" s="76"/>
      <c r="BB947" s="76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</row>
    <row r="948">
      <c r="L948" s="76"/>
      <c r="R948" s="76"/>
      <c r="X948" s="76"/>
      <c r="AD948" s="76"/>
      <c r="AJ948" s="76"/>
      <c r="AP948" s="76"/>
      <c r="AV948" s="76"/>
      <c r="BB948" s="76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</row>
    <row r="949">
      <c r="L949" s="76"/>
      <c r="R949" s="76"/>
      <c r="X949" s="76"/>
      <c r="AD949" s="76"/>
      <c r="AJ949" s="76"/>
      <c r="AP949" s="76"/>
      <c r="AV949" s="76"/>
      <c r="BB949" s="76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</row>
    <row r="950">
      <c r="L950" s="76"/>
      <c r="R950" s="76"/>
      <c r="X950" s="76"/>
      <c r="AD950" s="76"/>
      <c r="AJ950" s="76"/>
      <c r="AP950" s="76"/>
      <c r="AV950" s="76"/>
      <c r="BB950" s="76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</row>
    <row r="951">
      <c r="L951" s="76"/>
      <c r="R951" s="76"/>
      <c r="X951" s="76"/>
      <c r="AD951" s="76"/>
      <c r="AJ951" s="76"/>
      <c r="AP951" s="76"/>
      <c r="AV951" s="76"/>
      <c r="BB951" s="76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</row>
    <row r="952">
      <c r="L952" s="76"/>
      <c r="R952" s="76"/>
      <c r="X952" s="76"/>
      <c r="AD952" s="76"/>
      <c r="AJ952" s="76"/>
      <c r="AP952" s="76"/>
      <c r="AV952" s="76"/>
      <c r="BB952" s="76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</row>
    <row r="953">
      <c r="L953" s="76"/>
      <c r="R953" s="76"/>
      <c r="X953" s="76"/>
      <c r="AD953" s="76"/>
      <c r="AJ953" s="76"/>
      <c r="AP953" s="76"/>
      <c r="AV953" s="76"/>
      <c r="BB953" s="76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</row>
    <row r="954">
      <c r="L954" s="76"/>
      <c r="R954" s="76"/>
      <c r="X954" s="76"/>
      <c r="AD954" s="76"/>
      <c r="AJ954" s="76"/>
      <c r="AP954" s="76"/>
      <c r="AV954" s="76"/>
      <c r="BB954" s="76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</row>
    <row r="955">
      <c r="L955" s="76"/>
      <c r="R955" s="76"/>
      <c r="X955" s="76"/>
      <c r="AD955" s="76"/>
      <c r="AJ955" s="76"/>
      <c r="AP955" s="76"/>
      <c r="AV955" s="76"/>
      <c r="BB955" s="76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</row>
    <row r="956">
      <c r="L956" s="76"/>
      <c r="R956" s="76"/>
      <c r="X956" s="76"/>
      <c r="AD956" s="76"/>
      <c r="AJ956" s="76"/>
      <c r="AP956" s="76"/>
      <c r="AV956" s="76"/>
      <c r="BB956" s="76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</row>
    <row r="957">
      <c r="L957" s="76"/>
      <c r="R957" s="76"/>
      <c r="X957" s="76"/>
      <c r="AD957" s="76"/>
      <c r="AJ957" s="76"/>
      <c r="AP957" s="76"/>
      <c r="AV957" s="76"/>
      <c r="BB957" s="76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</row>
    <row r="958">
      <c r="L958" s="76"/>
      <c r="R958" s="76"/>
      <c r="X958" s="76"/>
      <c r="AD958" s="76"/>
      <c r="AJ958" s="76"/>
      <c r="AP958" s="76"/>
      <c r="AV958" s="76"/>
      <c r="BB958" s="76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</row>
    <row r="959">
      <c r="L959" s="76"/>
      <c r="R959" s="76"/>
      <c r="X959" s="76"/>
      <c r="AD959" s="76"/>
      <c r="AJ959" s="76"/>
      <c r="AP959" s="76"/>
      <c r="AV959" s="76"/>
      <c r="BB959" s="76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</row>
    <row r="960">
      <c r="L960" s="76"/>
      <c r="R960" s="76"/>
      <c r="X960" s="76"/>
      <c r="AD960" s="76"/>
      <c r="AJ960" s="76"/>
      <c r="AP960" s="76"/>
      <c r="AV960" s="76"/>
      <c r="BB960" s="76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</row>
    <row r="961">
      <c r="L961" s="76"/>
      <c r="R961" s="76"/>
      <c r="X961" s="76"/>
      <c r="AD961" s="76"/>
      <c r="AJ961" s="76"/>
      <c r="AP961" s="76"/>
      <c r="AV961" s="76"/>
      <c r="BB961" s="76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</row>
    <row r="962">
      <c r="L962" s="76"/>
      <c r="R962" s="76"/>
      <c r="X962" s="76"/>
      <c r="AD962" s="76"/>
      <c r="AJ962" s="76"/>
      <c r="AP962" s="76"/>
      <c r="AV962" s="76"/>
      <c r="BB962" s="76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</row>
    <row r="963">
      <c r="L963" s="76"/>
      <c r="R963" s="76"/>
      <c r="X963" s="76"/>
      <c r="AD963" s="76"/>
      <c r="AJ963" s="76"/>
      <c r="AP963" s="76"/>
      <c r="AV963" s="76"/>
      <c r="BB963" s="76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</row>
    <row r="964">
      <c r="L964" s="76"/>
      <c r="R964" s="76"/>
      <c r="X964" s="76"/>
      <c r="AD964" s="76"/>
      <c r="AJ964" s="76"/>
      <c r="AP964" s="76"/>
      <c r="AV964" s="76"/>
      <c r="BB964" s="76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</row>
    <row r="965">
      <c r="L965" s="76"/>
      <c r="R965" s="76"/>
      <c r="X965" s="76"/>
      <c r="AD965" s="76"/>
      <c r="AJ965" s="76"/>
      <c r="AP965" s="76"/>
      <c r="AV965" s="76"/>
      <c r="BB965" s="76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</row>
    <row r="966">
      <c r="L966" s="76"/>
      <c r="R966" s="76"/>
      <c r="X966" s="76"/>
      <c r="AD966" s="76"/>
      <c r="AJ966" s="76"/>
      <c r="AP966" s="76"/>
      <c r="AV966" s="76"/>
      <c r="BB966" s="76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</row>
    <row r="967">
      <c r="L967" s="76"/>
      <c r="R967" s="76"/>
      <c r="X967" s="76"/>
      <c r="AD967" s="76"/>
      <c r="AJ967" s="76"/>
      <c r="AP967" s="76"/>
      <c r="AV967" s="76"/>
      <c r="BB967" s="76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</row>
    <row r="968">
      <c r="L968" s="76"/>
      <c r="R968" s="76"/>
      <c r="X968" s="76"/>
      <c r="AD968" s="76"/>
      <c r="AJ968" s="76"/>
      <c r="AP968" s="76"/>
      <c r="AV968" s="76"/>
      <c r="BB968" s="76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</row>
    <row r="969">
      <c r="L969" s="76"/>
      <c r="R969" s="76"/>
      <c r="X969" s="76"/>
      <c r="AD969" s="76"/>
      <c r="AJ969" s="76"/>
      <c r="AP969" s="76"/>
      <c r="AV969" s="76"/>
      <c r="BB969" s="76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</row>
    <row r="970">
      <c r="L970" s="76"/>
      <c r="R970" s="76"/>
      <c r="X970" s="76"/>
      <c r="AD970" s="76"/>
      <c r="AJ970" s="76"/>
      <c r="AP970" s="76"/>
      <c r="AV970" s="76"/>
      <c r="BB970" s="76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</row>
    <row r="971">
      <c r="L971" s="76"/>
      <c r="R971" s="76"/>
      <c r="X971" s="76"/>
      <c r="AD971" s="76"/>
      <c r="AJ971" s="76"/>
      <c r="AP971" s="76"/>
      <c r="AV971" s="76"/>
      <c r="BB971" s="76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</row>
    <row r="972">
      <c r="L972" s="76"/>
      <c r="R972" s="76"/>
      <c r="X972" s="76"/>
      <c r="AD972" s="76"/>
      <c r="AJ972" s="76"/>
      <c r="AP972" s="76"/>
      <c r="AV972" s="76"/>
      <c r="BB972" s="76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</row>
    <row r="973">
      <c r="L973" s="76"/>
      <c r="R973" s="76"/>
      <c r="X973" s="76"/>
      <c r="AD973" s="76"/>
      <c r="AJ973" s="76"/>
      <c r="AP973" s="76"/>
      <c r="AV973" s="76"/>
      <c r="BB973" s="76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</row>
    <row r="974">
      <c r="L974" s="76"/>
      <c r="R974" s="76"/>
      <c r="X974" s="76"/>
      <c r="AD974" s="76"/>
      <c r="AJ974" s="76"/>
      <c r="AP974" s="76"/>
      <c r="AV974" s="76"/>
      <c r="BB974" s="76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</row>
    <row r="975">
      <c r="L975" s="76"/>
      <c r="R975" s="76"/>
      <c r="X975" s="76"/>
      <c r="AD975" s="76"/>
      <c r="AJ975" s="76"/>
      <c r="AP975" s="76"/>
      <c r="AV975" s="76"/>
      <c r="BB975" s="76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</row>
    <row r="976">
      <c r="L976" s="76"/>
      <c r="R976" s="76"/>
      <c r="X976" s="76"/>
      <c r="AD976" s="76"/>
      <c r="AJ976" s="76"/>
      <c r="AP976" s="76"/>
      <c r="AV976" s="76"/>
      <c r="BB976" s="76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</row>
    <row r="977">
      <c r="L977" s="76"/>
      <c r="R977" s="76"/>
      <c r="X977" s="76"/>
      <c r="AD977" s="76"/>
      <c r="AJ977" s="76"/>
      <c r="AP977" s="76"/>
      <c r="AV977" s="76"/>
      <c r="BB977" s="76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</row>
    <row r="978">
      <c r="L978" s="76"/>
      <c r="R978" s="76"/>
      <c r="X978" s="76"/>
      <c r="AD978" s="76"/>
      <c r="AJ978" s="76"/>
      <c r="AP978" s="76"/>
      <c r="AV978" s="76"/>
      <c r="BB978" s="76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</row>
    <row r="979">
      <c r="L979" s="76"/>
      <c r="R979" s="76"/>
      <c r="X979" s="76"/>
      <c r="AD979" s="76"/>
      <c r="AJ979" s="76"/>
      <c r="AP979" s="76"/>
      <c r="AV979" s="76"/>
      <c r="BB979" s="76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</row>
    <row r="980">
      <c r="L980" s="76"/>
      <c r="R980" s="76"/>
      <c r="X980" s="76"/>
      <c r="AD980" s="76"/>
      <c r="AJ980" s="76"/>
      <c r="AP980" s="76"/>
      <c r="AV980" s="76"/>
      <c r="BB980" s="76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</row>
    <row r="981">
      <c r="L981" s="76"/>
      <c r="R981" s="76"/>
      <c r="X981" s="76"/>
      <c r="AD981" s="76"/>
      <c r="AJ981" s="76"/>
      <c r="AP981" s="76"/>
      <c r="AV981" s="76"/>
      <c r="BB981" s="76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</row>
    <row r="982">
      <c r="L982" s="76"/>
      <c r="R982" s="76"/>
      <c r="X982" s="76"/>
      <c r="AD982" s="76"/>
      <c r="AJ982" s="76"/>
      <c r="AP982" s="76"/>
      <c r="AV982" s="76"/>
      <c r="BB982" s="76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</row>
    <row r="983">
      <c r="L983" s="76"/>
      <c r="R983" s="76"/>
      <c r="X983" s="76"/>
      <c r="AD983" s="76"/>
      <c r="AJ983" s="76"/>
      <c r="AP983" s="76"/>
      <c r="AV983" s="76"/>
      <c r="BB983" s="76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</row>
    <row r="984">
      <c r="L984" s="76"/>
      <c r="R984" s="76"/>
      <c r="X984" s="76"/>
      <c r="AD984" s="76"/>
      <c r="AJ984" s="76"/>
      <c r="AP984" s="76"/>
      <c r="AV984" s="76"/>
      <c r="BB984" s="76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</row>
    <row r="985">
      <c r="L985" s="76"/>
      <c r="R985" s="76"/>
      <c r="X985" s="76"/>
      <c r="AD985" s="76"/>
      <c r="AJ985" s="76"/>
      <c r="AP985" s="76"/>
      <c r="AV985" s="76"/>
      <c r="BB985" s="76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</row>
    <row r="986">
      <c r="L986" s="76"/>
      <c r="R986" s="76"/>
      <c r="X986" s="76"/>
      <c r="AD986" s="76"/>
      <c r="AJ986" s="76"/>
      <c r="AP986" s="76"/>
      <c r="AV986" s="76"/>
      <c r="BB986" s="76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</row>
    <row r="987">
      <c r="L987" s="76"/>
      <c r="R987" s="76"/>
      <c r="X987" s="76"/>
      <c r="AD987" s="76"/>
      <c r="AJ987" s="76"/>
      <c r="AP987" s="76"/>
      <c r="AV987" s="76"/>
      <c r="BB987" s="76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</row>
    <row r="988">
      <c r="L988" s="76"/>
      <c r="R988" s="76"/>
      <c r="X988" s="76"/>
      <c r="AD988" s="76"/>
      <c r="AJ988" s="76"/>
      <c r="AP988" s="76"/>
      <c r="AV988" s="76"/>
      <c r="BB988" s="76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</row>
    <row r="989">
      <c r="L989" s="76"/>
      <c r="R989" s="76"/>
      <c r="X989" s="76"/>
      <c r="AD989" s="76"/>
      <c r="AJ989" s="76"/>
      <c r="AP989" s="76"/>
      <c r="AV989" s="76"/>
      <c r="BB989" s="76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</row>
    <row r="990">
      <c r="L990" s="76"/>
      <c r="R990" s="76"/>
      <c r="X990" s="76"/>
      <c r="AD990" s="76"/>
      <c r="AJ990" s="76"/>
      <c r="AP990" s="76"/>
      <c r="AV990" s="76"/>
      <c r="BB990" s="76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</row>
  </sheetData>
  <dataValidations>
    <dataValidation type="list" allowBlank="1" sqref="G3:G27 M3:M27 S3:S27 H36:H53 N36:N53 T36:T53 H62:H78 N62:N78 T62:T78 H81:H86">
      <formula1>"Found,Carried but zero stock,Couldn't find by search,Not carried,Not checked"</formula1>
    </dataValidation>
    <dataValidation type="list" allowBlank="1" sqref="BD3:BD27 BE36:BE53 BK62:BK78">
      <formula1>"Daily,Weekly,Monthly"</formula1>
    </dataValidation>
    <dataValidation type="list" allowBlank="1" sqref="BA3:BB27 BB36:BC53 BH62:BI78">
      <formula1>"Yes,No"</formula1>
    </dataValidation>
  </dataValidations>
  <hyperlinks>
    <hyperlink r:id="rId1" ref="K3"/>
    <hyperlink r:id="rId2" ref="K4"/>
    <hyperlink r:id="rId3" ref="Q4"/>
    <hyperlink r:id="rId4" ref="K6"/>
    <hyperlink r:id="rId5" ref="K7"/>
    <hyperlink r:id="rId6" ref="Q7"/>
    <hyperlink r:id="rId7" ref="Q8"/>
    <hyperlink r:id="rId8" ref="K12"/>
    <hyperlink r:id="rId9" ref="Q12"/>
    <hyperlink r:id="rId10" ref="K13"/>
    <hyperlink r:id="rId11" ref="Q13"/>
    <hyperlink r:id="rId12" ref="K15"/>
    <hyperlink r:id="rId13" ref="Q15"/>
    <hyperlink r:id="rId14" ref="K16"/>
    <hyperlink r:id="rId15" ref="Q16"/>
    <hyperlink r:id="rId16" ref="K17"/>
    <hyperlink r:id="rId17" ref="K18"/>
    <hyperlink r:id="rId18" ref="K19"/>
    <hyperlink r:id="rId19" ref="Q19"/>
    <hyperlink r:id="rId20" ref="K20"/>
    <hyperlink r:id="rId21" ref="Q20"/>
    <hyperlink r:id="rId22" ref="Q24"/>
    <hyperlink r:id="rId23" ref="Q26"/>
    <hyperlink r:id="rId24" ref="L62"/>
    <hyperlink r:id="rId25" ref="R62"/>
    <hyperlink r:id="rId26" ref="X62"/>
    <hyperlink r:id="rId27" ref="AJ62"/>
    <hyperlink r:id="rId28" ref="AP62"/>
    <hyperlink r:id="rId29" ref="AV62"/>
    <hyperlink r:id="rId30" ref="BB62"/>
    <hyperlink r:id="rId31" ref="L63"/>
    <hyperlink r:id="rId32" ref="R63"/>
    <hyperlink r:id="rId33" ref="X63"/>
    <hyperlink r:id="rId34" ref="AJ63"/>
    <hyperlink r:id="rId35" ref="AP63"/>
    <hyperlink r:id="rId36" ref="AV63"/>
    <hyperlink r:id="rId37" ref="BB63"/>
    <hyperlink r:id="rId38" ref="L64"/>
    <hyperlink r:id="rId39" ref="R64"/>
    <hyperlink r:id="rId40" ref="X64"/>
    <hyperlink r:id="rId41" ref="AJ64"/>
    <hyperlink r:id="rId42" ref="AP64"/>
    <hyperlink r:id="rId43" ref="AV64"/>
    <hyperlink r:id="rId44" ref="BB64"/>
    <hyperlink r:id="rId45" ref="L65"/>
    <hyperlink r:id="rId46" ref="R65"/>
    <hyperlink r:id="rId47" ref="X65"/>
    <hyperlink r:id="rId48" ref="AJ65"/>
    <hyperlink r:id="rId49" ref="AP65"/>
    <hyperlink r:id="rId50" ref="AV65"/>
    <hyperlink r:id="rId51" ref="BB65"/>
    <hyperlink r:id="rId52" ref="L66"/>
    <hyperlink r:id="rId53" ref="R66"/>
    <hyperlink r:id="rId54" ref="X66"/>
    <hyperlink r:id="rId55" ref="AJ66"/>
    <hyperlink r:id="rId56" ref="AP66"/>
    <hyperlink r:id="rId57" ref="AV66"/>
    <hyperlink r:id="rId58" ref="BB66"/>
    <hyperlink r:id="rId59" ref="L67"/>
    <hyperlink r:id="rId60" ref="R67"/>
    <hyperlink r:id="rId61" ref="X67"/>
    <hyperlink r:id="rId62" ref="AJ67"/>
    <hyperlink r:id="rId63" ref="AP67"/>
    <hyperlink r:id="rId64" ref="AV67"/>
    <hyperlink r:id="rId65" ref="BB67"/>
    <hyperlink r:id="rId66" ref="L68"/>
    <hyperlink r:id="rId67" ref="R68"/>
    <hyperlink r:id="rId68" ref="X68"/>
    <hyperlink r:id="rId69" ref="AJ68"/>
    <hyperlink r:id="rId70" ref="AP68"/>
    <hyperlink r:id="rId71" ref="AV68"/>
    <hyperlink r:id="rId72" ref="BB68"/>
    <hyperlink r:id="rId73" ref="L69"/>
    <hyperlink r:id="rId74" ref="R69"/>
    <hyperlink r:id="rId75" ref="X69"/>
    <hyperlink r:id="rId76" ref="AJ69"/>
    <hyperlink r:id="rId77" ref="AP69"/>
    <hyperlink r:id="rId78" ref="AV69"/>
    <hyperlink r:id="rId79" ref="BB69"/>
    <hyperlink r:id="rId80" ref="L70"/>
    <hyperlink r:id="rId81" ref="R70"/>
    <hyperlink r:id="rId82" ref="X70"/>
    <hyperlink r:id="rId83" ref="AJ70"/>
    <hyperlink r:id="rId84" ref="AP70"/>
    <hyperlink r:id="rId85" ref="AV70"/>
    <hyperlink r:id="rId86" ref="BB70"/>
    <hyperlink r:id="rId87" ref="L71"/>
    <hyperlink r:id="rId88" ref="R71"/>
    <hyperlink r:id="rId89" ref="X71"/>
    <hyperlink r:id="rId90" ref="AJ71"/>
    <hyperlink r:id="rId91" ref="AP71"/>
    <hyperlink r:id="rId92" ref="AV71"/>
    <hyperlink r:id="rId93" ref="BB71"/>
    <hyperlink r:id="rId94" ref="L72"/>
    <hyperlink r:id="rId95" ref="R72"/>
    <hyperlink r:id="rId96" ref="X72"/>
    <hyperlink r:id="rId97" ref="AJ72"/>
    <hyperlink r:id="rId98" ref="AP72"/>
    <hyperlink r:id="rId99" ref="AV72"/>
    <hyperlink r:id="rId100" ref="BB72"/>
    <hyperlink r:id="rId101" ref="L73"/>
    <hyperlink r:id="rId102" ref="R73"/>
    <hyperlink r:id="rId103" ref="X73"/>
    <hyperlink r:id="rId104" ref="AJ73"/>
    <hyperlink r:id="rId105" ref="AP73"/>
    <hyperlink r:id="rId106" ref="AV73"/>
    <hyperlink r:id="rId107" ref="BB73"/>
    <hyperlink r:id="rId108" ref="L74"/>
    <hyperlink r:id="rId109" ref="R74"/>
    <hyperlink r:id="rId110" ref="X74"/>
    <hyperlink r:id="rId111" ref="AJ74"/>
    <hyperlink r:id="rId112" ref="AP74"/>
    <hyperlink r:id="rId113" ref="AV74"/>
    <hyperlink r:id="rId114" ref="BB74"/>
    <hyperlink r:id="rId115" ref="L75"/>
    <hyperlink r:id="rId116" ref="R75"/>
    <hyperlink r:id="rId117" ref="X75"/>
    <hyperlink r:id="rId118" ref="AV75"/>
    <hyperlink r:id="rId119" ref="L76"/>
    <hyperlink r:id="rId120" ref="R76"/>
    <hyperlink r:id="rId121" ref="X76"/>
    <hyperlink r:id="rId122" ref="AJ76"/>
    <hyperlink r:id="rId123" ref="AP76"/>
    <hyperlink r:id="rId124" ref="AV76"/>
    <hyperlink r:id="rId125" ref="BB76"/>
    <hyperlink r:id="rId126" ref="R77"/>
    <hyperlink r:id="rId127" ref="X77"/>
    <hyperlink r:id="rId128" ref="AJ77"/>
    <hyperlink r:id="rId129" ref="AP77"/>
    <hyperlink r:id="rId130" ref="AV77"/>
    <hyperlink r:id="rId131" ref="BB77"/>
    <hyperlink r:id="rId132" ref="R78"/>
    <hyperlink r:id="rId133" ref="X78"/>
    <hyperlink r:id="rId134" ref="AV78"/>
    <hyperlink r:id="rId135" ref="L83"/>
    <hyperlink r:id="rId136" ref="L85"/>
    <hyperlink r:id="rId137" ref="L86"/>
  </hyperlinks>
  <drawing r:id="rId13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5.0"/>
    <col customWidth="1" min="2" max="2" width="9.0"/>
    <col customWidth="1" min="3" max="3" width="24.0"/>
    <col customWidth="1" min="4" max="4" width="40.0"/>
    <col customWidth="1" min="5" max="5" width="34.0"/>
    <col customWidth="1" min="6" max="6" width="7.0"/>
    <col customWidth="1" min="7" max="7" width="16.0"/>
    <col customWidth="1" min="8" max="8" width="10.0"/>
    <col customWidth="1" min="9" max="9" width="8.0"/>
    <col customWidth="1" min="10" max="10" width="34.0"/>
    <col customWidth="1" min="11" max="11" width="30.0"/>
    <col customWidth="1" min="12" max="12" width="8.0"/>
    <col customWidth="1" min="13" max="13" width="16.0"/>
    <col customWidth="1" min="14" max="14" width="10.0"/>
    <col customWidth="1" min="15" max="15" width="8.0"/>
    <col customWidth="1" min="16" max="16" width="34.0"/>
    <col customWidth="1" min="17" max="17" width="30.0"/>
    <col customWidth="1" min="18" max="18" width="8.0"/>
    <col customWidth="1" min="19" max="19" width="16.0"/>
    <col customWidth="1" min="20" max="20" width="10.0"/>
    <col customWidth="1" min="21" max="21" width="8.0"/>
    <col customWidth="1" min="22" max="22" width="34.0"/>
    <col customWidth="1" min="23" max="23" width="30.0"/>
    <col customWidth="1" min="24" max="24" width="8.0"/>
    <col customWidth="1" min="25" max="25" width="16.0"/>
    <col customWidth="1" min="26" max="30" width="19.14"/>
    <col customWidth="1" min="31" max="31" width="33.14"/>
    <col customWidth="1" min="32" max="32" width="31.29"/>
    <col customWidth="1" min="33" max="33" width="26.0"/>
    <col customWidth="1" min="34" max="34" width="16.0"/>
    <col customWidth="1" min="35" max="35" width="14.0"/>
    <col customWidth="1" min="36" max="36" width="26.0"/>
    <col customWidth="1" min="37" max="37" width="20.0"/>
    <col customWidth="1" min="38" max="38" width="40.0"/>
  </cols>
  <sheetData>
    <row r="1" ht="75.0" customHeight="1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7" t="s">
        <v>40</v>
      </c>
      <c r="H1" s="17" t="s">
        <v>41</v>
      </c>
      <c r="I1" s="17" t="s">
        <v>42</v>
      </c>
      <c r="J1" s="17" t="s">
        <v>43</v>
      </c>
      <c r="K1" s="17" t="s">
        <v>44</v>
      </c>
      <c r="L1" s="17" t="s">
        <v>45</v>
      </c>
      <c r="M1" s="19" t="s">
        <v>46</v>
      </c>
      <c r="N1" s="19" t="s">
        <v>47</v>
      </c>
      <c r="O1" s="19" t="s">
        <v>48</v>
      </c>
      <c r="P1" s="19" t="s">
        <v>49</v>
      </c>
      <c r="Q1" s="19" t="s">
        <v>50</v>
      </c>
      <c r="R1" s="19" t="s">
        <v>51</v>
      </c>
      <c r="S1" s="17" t="s">
        <v>52</v>
      </c>
      <c r="T1" s="17" t="s">
        <v>53</v>
      </c>
      <c r="U1" s="17" t="s">
        <v>54</v>
      </c>
      <c r="V1" s="17" t="s">
        <v>55</v>
      </c>
      <c r="W1" s="17" t="s">
        <v>56</v>
      </c>
      <c r="X1" s="17" t="s">
        <v>57</v>
      </c>
      <c r="Y1" s="24" t="s">
        <v>61</v>
      </c>
      <c r="Z1" s="24" t="s">
        <v>63</v>
      </c>
      <c r="AA1" s="24" t="s">
        <v>65</v>
      </c>
      <c r="AB1" s="24" t="s">
        <v>66</v>
      </c>
      <c r="AC1" s="24" t="s">
        <v>67</v>
      </c>
      <c r="AD1" s="24" t="s">
        <v>69</v>
      </c>
      <c r="AE1" s="11" t="s">
        <v>79</v>
      </c>
      <c r="AF1" s="30" t="s">
        <v>72</v>
      </c>
      <c r="AG1" s="11" t="s">
        <v>73</v>
      </c>
      <c r="AH1" s="11" t="s">
        <v>74</v>
      </c>
      <c r="AI1" s="11" t="s">
        <v>75</v>
      </c>
      <c r="AJ1" s="11" t="s">
        <v>76</v>
      </c>
      <c r="AK1" s="11" t="s">
        <v>77</v>
      </c>
      <c r="AL1" s="11" t="s">
        <v>78</v>
      </c>
    </row>
    <row r="2">
      <c r="A2" s="31">
        <v>1.0</v>
      </c>
      <c r="B2" s="31">
        <v>1.0</v>
      </c>
      <c r="C2" s="31" t="s">
        <v>80</v>
      </c>
      <c r="D2" s="31" t="s">
        <v>81</v>
      </c>
      <c r="E2" s="31" t="s">
        <v>82</v>
      </c>
      <c r="F2" s="31">
        <v>1.0</v>
      </c>
      <c r="G2" s="34" t="s">
        <v>86</v>
      </c>
      <c r="H2" s="36"/>
      <c r="I2" s="36"/>
      <c r="J2" s="36"/>
      <c r="K2" s="41" t="s">
        <v>88</v>
      </c>
      <c r="L2" s="34">
        <v>0.0</v>
      </c>
      <c r="M2" s="42" t="s">
        <v>86</v>
      </c>
      <c r="N2" s="44"/>
      <c r="O2" s="44"/>
      <c r="P2" s="44"/>
      <c r="Q2" s="45" t="s">
        <v>100</v>
      </c>
      <c r="R2" s="42">
        <v>0.0</v>
      </c>
      <c r="S2" s="34" t="s">
        <v>86</v>
      </c>
      <c r="T2" s="36"/>
      <c r="U2" s="36"/>
      <c r="V2" s="36"/>
      <c r="W2" s="41" t="s">
        <v>102</v>
      </c>
      <c r="X2" s="34">
        <v>0.0</v>
      </c>
      <c r="Y2" s="46" t="s">
        <v>86</v>
      </c>
      <c r="Z2" s="46"/>
      <c r="AA2" s="46"/>
      <c r="AB2" s="46"/>
      <c r="AC2" s="47" t="s">
        <v>106</v>
      </c>
      <c r="AD2" s="46">
        <v>0.0</v>
      </c>
      <c r="AE2" s="48" t="str">
        <f>IF(COUNTIF(G2,"Found")+COUNTIF(M2,"Found")+COUNTIF(S2,"Found")&gt;0,"Yes","No")</f>
        <v>No</v>
      </c>
      <c r="AF2" s="48"/>
      <c r="AG2" s="49"/>
      <c r="AH2" s="49"/>
      <c r="AI2" s="49"/>
      <c r="AJ2" s="50" t="str">
        <f t="shared" ref="AJ2:AJ4" si="1">IF(AE2="Yes","Found at our houses",IF(COUNTIF(G2,"Carried but zero stock")+COUNTIF(M2,"Carried but zero stock")+COUNTIF(S2,"Carried but zero stock")&gt;0,"Carried but zero stock today",IF(AG2="","Pending",IF(AND(AH2="Yes",AI2="Yes"),"Reachable, adapter needed","No value add"))))</f>
        <v>Pending</v>
      </c>
      <c r="AK2" s="49"/>
      <c r="AL2" s="49"/>
    </row>
    <row r="3">
      <c r="A3" s="31">
        <v>2.0</v>
      </c>
      <c r="B3" s="31"/>
      <c r="C3" s="31" t="s">
        <v>80</v>
      </c>
      <c r="D3" s="31" t="s">
        <v>89</v>
      </c>
      <c r="E3" s="31" t="s">
        <v>90</v>
      </c>
      <c r="F3" s="31">
        <v>1.0</v>
      </c>
      <c r="G3" s="34" t="s">
        <v>86</v>
      </c>
      <c r="H3" s="36"/>
      <c r="I3" s="36"/>
      <c r="J3" s="36"/>
      <c r="K3" s="41" t="s">
        <v>129</v>
      </c>
      <c r="L3" s="34">
        <v>0.0</v>
      </c>
      <c r="M3" s="42" t="s">
        <v>86</v>
      </c>
      <c r="N3" s="44"/>
      <c r="O3" s="44"/>
      <c r="P3" s="44"/>
      <c r="Q3" s="45" t="s">
        <v>134</v>
      </c>
      <c r="R3" s="42">
        <v>0.0</v>
      </c>
      <c r="S3" s="34" t="s">
        <v>86</v>
      </c>
      <c r="T3" s="36"/>
      <c r="U3" s="36"/>
      <c r="V3" s="36"/>
      <c r="W3" s="41" t="s">
        <v>144</v>
      </c>
      <c r="X3" s="34">
        <v>0.0</v>
      </c>
      <c r="Y3" s="46" t="s">
        <v>83</v>
      </c>
      <c r="Z3" s="51">
        <v>296.01</v>
      </c>
      <c r="AA3" s="46" t="s">
        <v>84</v>
      </c>
      <c r="AB3" s="46" t="s">
        <v>149</v>
      </c>
      <c r="AC3" s="47" t="s">
        <v>150</v>
      </c>
      <c r="AD3" s="46">
        <v>0.5</v>
      </c>
      <c r="AE3" s="52" t="s">
        <v>160</v>
      </c>
      <c r="AF3" s="52" t="s">
        <v>162</v>
      </c>
      <c r="AG3" s="49"/>
      <c r="AH3" s="49"/>
      <c r="AI3" s="49"/>
      <c r="AJ3" s="50" t="str">
        <f t="shared" si="1"/>
        <v>Found at our houses</v>
      </c>
      <c r="AK3" s="49"/>
      <c r="AL3" s="49"/>
    </row>
    <row r="4">
      <c r="A4" s="31">
        <v>3.0</v>
      </c>
      <c r="B4" s="31"/>
      <c r="C4" s="31" t="s">
        <v>80</v>
      </c>
      <c r="D4" s="31" t="s">
        <v>97</v>
      </c>
      <c r="E4" s="33" t="s">
        <v>99</v>
      </c>
      <c r="F4" s="31">
        <v>1.0</v>
      </c>
      <c r="G4" s="34" t="s">
        <v>86</v>
      </c>
      <c r="H4" s="36"/>
      <c r="I4" s="36"/>
      <c r="J4" s="36"/>
      <c r="K4" s="41" t="s">
        <v>174</v>
      </c>
      <c r="L4" s="34">
        <v>0.0</v>
      </c>
      <c r="M4" s="42" t="s">
        <v>86</v>
      </c>
      <c r="N4" s="44"/>
      <c r="O4" s="44"/>
      <c r="P4" s="44"/>
      <c r="Q4" s="45" t="s">
        <v>181</v>
      </c>
      <c r="R4" s="42">
        <v>0.0</v>
      </c>
      <c r="S4" s="34" t="s">
        <v>86</v>
      </c>
      <c r="T4" s="36"/>
      <c r="U4" s="36"/>
      <c r="V4" s="36"/>
      <c r="W4" s="41" t="s">
        <v>188</v>
      </c>
      <c r="X4" s="34">
        <v>0.0</v>
      </c>
      <c r="Y4" s="46" t="s">
        <v>86</v>
      </c>
      <c r="Z4" s="54"/>
      <c r="AA4" s="54"/>
      <c r="AB4" s="54"/>
      <c r="AC4" s="47" t="s">
        <v>194</v>
      </c>
      <c r="AD4" s="46">
        <v>0.0</v>
      </c>
      <c r="AE4" s="48" t="str">
        <f>IF(COUNTIF(G4,"Found")+COUNTIF(M4,"Found")+COUNTIF(S4,"Found")&gt;0,"Yes","No")</f>
        <v>No</v>
      </c>
      <c r="AF4" s="52" t="s">
        <v>206</v>
      </c>
      <c r="AG4" s="49"/>
      <c r="AH4" s="49"/>
      <c r="AI4" s="49"/>
      <c r="AJ4" s="50" t="str">
        <f t="shared" si="1"/>
        <v>Pending</v>
      </c>
      <c r="AK4" s="49"/>
      <c r="AL4" s="49"/>
    </row>
    <row r="5">
      <c r="A5" s="31">
        <v>4.0</v>
      </c>
      <c r="B5" s="31"/>
      <c r="C5" s="31" t="s">
        <v>80</v>
      </c>
      <c r="D5" s="31" t="s">
        <v>97</v>
      </c>
      <c r="E5" s="33" t="s">
        <v>101</v>
      </c>
      <c r="F5" s="33">
        <v>1.0</v>
      </c>
      <c r="G5" s="34" t="s">
        <v>86</v>
      </c>
      <c r="H5" s="36"/>
      <c r="I5" s="36"/>
      <c r="J5" s="36"/>
      <c r="K5" s="41" t="s">
        <v>208</v>
      </c>
      <c r="L5" s="34">
        <v>0.0</v>
      </c>
      <c r="M5" s="42" t="s">
        <v>86</v>
      </c>
      <c r="N5" s="44"/>
      <c r="O5" s="44"/>
      <c r="P5" s="44"/>
      <c r="Q5" s="45" t="s">
        <v>210</v>
      </c>
      <c r="R5" s="42">
        <v>0.0</v>
      </c>
      <c r="S5" s="34" t="s">
        <v>86</v>
      </c>
      <c r="T5" s="36"/>
      <c r="U5" s="36"/>
      <c r="V5" s="36"/>
      <c r="W5" s="41" t="s">
        <v>225</v>
      </c>
      <c r="X5" s="34">
        <v>0.0</v>
      </c>
      <c r="Y5" s="46" t="s">
        <v>83</v>
      </c>
      <c r="Z5" s="51">
        <v>190.03</v>
      </c>
      <c r="AA5" s="46" t="s">
        <v>84</v>
      </c>
      <c r="AB5" s="46" t="s">
        <v>241</v>
      </c>
      <c r="AC5" s="47" t="s">
        <v>242</v>
      </c>
      <c r="AD5" s="46">
        <v>0.0</v>
      </c>
      <c r="AE5" s="52" t="s">
        <v>244</v>
      </c>
      <c r="AF5" s="52" t="s">
        <v>245</v>
      </c>
      <c r="AG5" s="49"/>
      <c r="AH5" s="49"/>
      <c r="AI5" s="49"/>
      <c r="AJ5" s="50"/>
      <c r="AK5" s="49"/>
      <c r="AL5" s="49"/>
    </row>
    <row r="6">
      <c r="A6" s="31">
        <v>5.0</v>
      </c>
      <c r="B6" s="31"/>
      <c r="C6" s="31" t="s">
        <v>80</v>
      </c>
      <c r="D6" s="31" t="s">
        <v>97</v>
      </c>
      <c r="E6" s="33" t="s">
        <v>103</v>
      </c>
      <c r="F6" s="33">
        <v>1.0</v>
      </c>
      <c r="G6" s="34" t="s">
        <v>86</v>
      </c>
      <c r="H6" s="36"/>
      <c r="I6" s="36"/>
      <c r="J6" s="36"/>
      <c r="K6" s="41" t="s">
        <v>246</v>
      </c>
      <c r="L6" s="34">
        <v>0.0</v>
      </c>
      <c r="M6" s="42" t="s">
        <v>86</v>
      </c>
      <c r="N6" s="44"/>
      <c r="O6" s="44"/>
      <c r="P6" s="44"/>
      <c r="Q6" s="45" t="s">
        <v>250</v>
      </c>
      <c r="R6" s="42">
        <v>0.0</v>
      </c>
      <c r="S6" s="34" t="s">
        <v>86</v>
      </c>
      <c r="T6" s="36"/>
      <c r="U6" s="36"/>
      <c r="V6" s="36"/>
      <c r="W6" s="41" t="s">
        <v>257</v>
      </c>
      <c r="X6" s="34">
        <v>0.0</v>
      </c>
      <c r="Y6" s="46" t="s">
        <v>233</v>
      </c>
      <c r="Z6" s="51">
        <v>155.21</v>
      </c>
      <c r="AA6" s="46" t="s">
        <v>84</v>
      </c>
      <c r="AB6" s="46" t="s">
        <v>261</v>
      </c>
      <c r="AC6" s="47" t="s">
        <v>262</v>
      </c>
      <c r="AD6" s="46">
        <v>0.0</v>
      </c>
      <c r="AE6" s="52" t="s">
        <v>264</v>
      </c>
      <c r="AF6" s="48"/>
      <c r="AG6" s="49"/>
      <c r="AH6" s="49"/>
      <c r="AI6" s="49"/>
      <c r="AJ6" s="50"/>
      <c r="AK6" s="49"/>
      <c r="AL6" s="49"/>
    </row>
    <row r="7">
      <c r="A7" s="31">
        <v>6.0</v>
      </c>
      <c r="B7" s="31"/>
      <c r="C7" s="31" t="s">
        <v>80</v>
      </c>
      <c r="D7" s="31" t="s">
        <v>105</v>
      </c>
      <c r="E7" s="31"/>
      <c r="F7" s="31">
        <v>1.0</v>
      </c>
      <c r="G7" s="34" t="s">
        <v>83</v>
      </c>
      <c r="H7" s="55">
        <v>9.6</v>
      </c>
      <c r="I7" s="34" t="s">
        <v>84</v>
      </c>
      <c r="J7" s="34" t="s">
        <v>268</v>
      </c>
      <c r="K7" s="41" t="s">
        <v>269</v>
      </c>
      <c r="L7" s="34">
        <v>0.5</v>
      </c>
      <c r="M7" s="42" t="s">
        <v>83</v>
      </c>
      <c r="N7" s="56">
        <v>26.47</v>
      </c>
      <c r="O7" s="42" t="s">
        <v>84</v>
      </c>
      <c r="P7" s="42" t="s">
        <v>271</v>
      </c>
      <c r="Q7" s="45" t="s">
        <v>272</v>
      </c>
      <c r="R7" s="42">
        <v>0.5</v>
      </c>
      <c r="S7" s="34" t="s">
        <v>83</v>
      </c>
      <c r="T7" s="55">
        <v>22.99</v>
      </c>
      <c r="U7" s="34" t="s">
        <v>84</v>
      </c>
      <c r="V7" s="34" t="s">
        <v>276</v>
      </c>
      <c r="W7" s="41" t="s">
        <v>277</v>
      </c>
      <c r="X7" s="34">
        <v>0.0</v>
      </c>
      <c r="Y7" s="46" t="s">
        <v>233</v>
      </c>
      <c r="Z7" s="51">
        <v>18.53</v>
      </c>
      <c r="AA7" s="46" t="s">
        <v>84</v>
      </c>
      <c r="AB7" s="46" t="s">
        <v>149</v>
      </c>
      <c r="AC7" s="47" t="s">
        <v>286</v>
      </c>
      <c r="AD7" s="46">
        <v>0.5</v>
      </c>
      <c r="AE7" s="48" t="str">
        <f>IF(COUNTIF(G7,"Found")+COUNTIF(M7,"Found")+COUNTIF(S7,"Found")&gt;0,"Yes","No")</f>
        <v>Yes</v>
      </c>
      <c r="AF7" s="52" t="s">
        <v>291</v>
      </c>
      <c r="AG7" s="49"/>
      <c r="AH7" s="49"/>
      <c r="AI7" s="49"/>
      <c r="AJ7" s="50" t="str">
        <f t="shared" ref="AJ7:AJ52" si="2">IF(AE7="Yes","Found at our houses",IF(COUNTIF(G7,"Carried but zero stock")+COUNTIF(M7,"Carried but zero stock")+COUNTIF(S7,"Carried but zero stock")&gt;0,"Carried but zero stock today",IF(AG7="","Pending",IF(AND(AH7="Yes",AI7="Yes"),"Reachable, adapter needed","No value add"))))</f>
        <v>Found at our houses</v>
      </c>
      <c r="AK7" s="49"/>
      <c r="AL7" s="49"/>
    </row>
    <row r="8">
      <c r="A8" s="31">
        <v>7.0</v>
      </c>
      <c r="B8" s="31">
        <v>2.0</v>
      </c>
      <c r="C8" s="31" t="s">
        <v>107</v>
      </c>
      <c r="D8" s="31" t="s">
        <v>108</v>
      </c>
      <c r="E8" s="31" t="s">
        <v>109</v>
      </c>
      <c r="F8" s="31">
        <v>1.0</v>
      </c>
      <c r="G8" s="34" t="s">
        <v>86</v>
      </c>
      <c r="H8" s="36"/>
      <c r="I8" s="36"/>
      <c r="J8" s="36"/>
      <c r="K8" s="41" t="s">
        <v>304</v>
      </c>
      <c r="L8" s="34">
        <v>0.0</v>
      </c>
      <c r="M8" s="42" t="s">
        <v>86</v>
      </c>
      <c r="N8" s="44"/>
      <c r="O8" s="44"/>
      <c r="P8" s="44"/>
      <c r="Q8" s="45" t="s">
        <v>306</v>
      </c>
      <c r="R8" s="42">
        <v>0.0</v>
      </c>
      <c r="S8" s="34" t="s">
        <v>86</v>
      </c>
      <c r="T8" s="36"/>
      <c r="U8" s="36"/>
      <c r="V8" s="36"/>
      <c r="W8" s="41" t="s">
        <v>308</v>
      </c>
      <c r="X8" s="34">
        <v>0.0</v>
      </c>
      <c r="Y8" s="46" t="s">
        <v>233</v>
      </c>
      <c r="Z8" s="51">
        <v>406.22</v>
      </c>
      <c r="AA8" s="46" t="s">
        <v>84</v>
      </c>
      <c r="AB8" s="46" t="s">
        <v>149</v>
      </c>
      <c r="AC8" s="47" t="s">
        <v>310</v>
      </c>
      <c r="AD8" s="46">
        <v>0.0</v>
      </c>
      <c r="AE8" s="52" t="s">
        <v>312</v>
      </c>
      <c r="AF8" s="48"/>
      <c r="AG8" s="49"/>
      <c r="AH8" s="49"/>
      <c r="AI8" s="49"/>
      <c r="AJ8" s="50" t="str">
        <f t="shared" si="2"/>
        <v>Pending</v>
      </c>
      <c r="AK8" s="49"/>
      <c r="AL8" s="49"/>
    </row>
    <row r="9">
      <c r="A9" s="31">
        <v>8.0</v>
      </c>
      <c r="B9" s="31"/>
      <c r="C9" s="31" t="s">
        <v>107</v>
      </c>
      <c r="D9" s="31" t="s">
        <v>112</v>
      </c>
      <c r="E9" s="31"/>
      <c r="F9" s="31">
        <v>1.0</v>
      </c>
      <c r="G9" s="36"/>
      <c r="H9" s="36"/>
      <c r="I9" s="36"/>
      <c r="J9" s="36"/>
      <c r="K9" s="36"/>
      <c r="L9" s="36"/>
      <c r="M9" s="44"/>
      <c r="N9" s="44"/>
      <c r="O9" s="44"/>
      <c r="P9" s="44"/>
      <c r="Q9" s="44"/>
      <c r="R9" s="44"/>
      <c r="S9" s="36"/>
      <c r="T9" s="36"/>
      <c r="U9" s="36"/>
      <c r="V9" s="36"/>
      <c r="W9" s="36"/>
      <c r="X9" s="36"/>
      <c r="Y9" s="54"/>
      <c r="Z9" s="54"/>
      <c r="AA9" s="54"/>
      <c r="AB9" s="54"/>
      <c r="AC9" s="54"/>
      <c r="AD9" s="54"/>
      <c r="AE9" s="52" t="s">
        <v>314</v>
      </c>
      <c r="AF9" s="48"/>
      <c r="AG9" s="49"/>
      <c r="AH9" s="49"/>
      <c r="AI9" s="49"/>
      <c r="AJ9" s="50" t="str">
        <f t="shared" si="2"/>
        <v>Pending</v>
      </c>
      <c r="AK9" s="49"/>
      <c r="AL9" s="49"/>
    </row>
    <row r="10">
      <c r="A10" s="31">
        <v>9.0</v>
      </c>
      <c r="B10" s="31"/>
      <c r="C10" s="31" t="s">
        <v>107</v>
      </c>
      <c r="D10" s="31" t="s">
        <v>113</v>
      </c>
      <c r="E10" s="31"/>
      <c r="F10" s="31">
        <v>1.0</v>
      </c>
      <c r="G10" s="36"/>
      <c r="H10" s="36"/>
      <c r="I10" s="36"/>
      <c r="J10" s="36"/>
      <c r="K10" s="36"/>
      <c r="L10" s="36"/>
      <c r="M10" s="44"/>
      <c r="N10" s="44"/>
      <c r="O10" s="44"/>
      <c r="P10" s="44"/>
      <c r="Q10" s="44"/>
      <c r="R10" s="44"/>
      <c r="S10" s="36"/>
      <c r="T10" s="36"/>
      <c r="U10" s="36"/>
      <c r="V10" s="36"/>
      <c r="W10" s="36"/>
      <c r="X10" s="36"/>
      <c r="Y10" s="54"/>
      <c r="Z10" s="54"/>
      <c r="AA10" s="54"/>
      <c r="AB10" s="54"/>
      <c r="AC10" s="54"/>
      <c r="AD10" s="54"/>
      <c r="AE10" s="52" t="s">
        <v>314</v>
      </c>
      <c r="AF10" s="48"/>
      <c r="AG10" s="49"/>
      <c r="AH10" s="49"/>
      <c r="AI10" s="49"/>
      <c r="AJ10" s="50" t="str">
        <f t="shared" si="2"/>
        <v>Pending</v>
      </c>
      <c r="AK10" s="49"/>
      <c r="AL10" s="49"/>
    </row>
    <row r="11">
      <c r="A11" s="31">
        <v>10.0</v>
      </c>
      <c r="B11" s="31">
        <v>3.0</v>
      </c>
      <c r="C11" s="31" t="s">
        <v>116</v>
      </c>
      <c r="D11" s="31" t="s">
        <v>117</v>
      </c>
      <c r="E11" s="31" t="s">
        <v>118</v>
      </c>
      <c r="F11" s="31">
        <v>1.0</v>
      </c>
      <c r="G11" s="34" t="s">
        <v>86</v>
      </c>
      <c r="H11" s="36"/>
      <c r="I11" s="36"/>
      <c r="J11" s="36"/>
      <c r="K11" s="41" t="s">
        <v>317</v>
      </c>
      <c r="L11" s="34">
        <v>0.0</v>
      </c>
      <c r="M11" s="42" t="s">
        <v>233</v>
      </c>
      <c r="N11" s="56">
        <v>279.64</v>
      </c>
      <c r="O11" s="42" t="s">
        <v>84</v>
      </c>
      <c r="P11" s="42" t="s">
        <v>320</v>
      </c>
      <c r="Q11" s="45" t="s">
        <v>321</v>
      </c>
      <c r="R11" s="42">
        <v>0.0</v>
      </c>
      <c r="S11" s="34" t="s">
        <v>86</v>
      </c>
      <c r="T11" s="36"/>
      <c r="U11" s="36"/>
      <c r="V11" s="36"/>
      <c r="W11" s="41" t="s">
        <v>326</v>
      </c>
      <c r="X11" s="34">
        <v>0.0</v>
      </c>
      <c r="Y11" s="46" t="s">
        <v>233</v>
      </c>
      <c r="Z11" s="51">
        <v>89.34</v>
      </c>
      <c r="AA11" s="46" t="s">
        <v>84</v>
      </c>
      <c r="AB11" s="46" t="s">
        <v>149</v>
      </c>
      <c r="AC11" s="47" t="s">
        <v>332</v>
      </c>
      <c r="AD11" s="46" t="s">
        <v>338</v>
      </c>
      <c r="AE11" s="52" t="s">
        <v>339</v>
      </c>
      <c r="AF11" s="48"/>
      <c r="AG11" s="49"/>
      <c r="AH11" s="49"/>
      <c r="AI11" s="49"/>
      <c r="AJ11" s="50" t="str">
        <f t="shared" si="2"/>
        <v>Carried but zero stock today</v>
      </c>
      <c r="AK11" s="49"/>
      <c r="AL11" s="49"/>
    </row>
    <row r="12">
      <c r="A12" s="31">
        <v>11.0</v>
      </c>
      <c r="B12" s="31"/>
      <c r="C12" s="31" t="s">
        <v>116</v>
      </c>
      <c r="D12" s="31" t="s">
        <v>119</v>
      </c>
      <c r="E12" s="31" t="s">
        <v>120</v>
      </c>
      <c r="F12" s="31">
        <v>1.0</v>
      </c>
      <c r="G12" s="34" t="s">
        <v>86</v>
      </c>
      <c r="H12" s="36"/>
      <c r="I12" s="36"/>
      <c r="J12" s="36"/>
      <c r="K12" s="41" t="s">
        <v>343</v>
      </c>
      <c r="L12" s="34">
        <v>0.0</v>
      </c>
      <c r="M12" s="42" t="s">
        <v>233</v>
      </c>
      <c r="N12" s="56">
        <v>102.43</v>
      </c>
      <c r="O12" s="42" t="s">
        <v>84</v>
      </c>
      <c r="P12" s="42" t="s">
        <v>320</v>
      </c>
      <c r="Q12" s="45" t="s">
        <v>348</v>
      </c>
      <c r="R12" s="42">
        <v>0.5</v>
      </c>
      <c r="S12" s="34" t="s">
        <v>86</v>
      </c>
      <c r="T12" s="36"/>
      <c r="U12" s="36"/>
      <c r="V12" s="36"/>
      <c r="W12" s="41" t="s">
        <v>352</v>
      </c>
      <c r="X12" s="34">
        <v>0.0</v>
      </c>
      <c r="Y12" s="46" t="s">
        <v>233</v>
      </c>
      <c r="Z12" s="51">
        <v>234.35</v>
      </c>
      <c r="AA12" s="46" t="s">
        <v>84</v>
      </c>
      <c r="AB12" s="46" t="s">
        <v>355</v>
      </c>
      <c r="AC12" s="47" t="s">
        <v>357</v>
      </c>
      <c r="AD12" s="46">
        <v>0.5</v>
      </c>
      <c r="AE12" s="52" t="s">
        <v>365</v>
      </c>
      <c r="AF12" s="48"/>
      <c r="AG12" s="49"/>
      <c r="AH12" s="49"/>
      <c r="AI12" s="49"/>
      <c r="AJ12" s="50" t="str">
        <f t="shared" si="2"/>
        <v>Carried but zero stock today</v>
      </c>
      <c r="AK12" s="49"/>
      <c r="AL12" s="49"/>
    </row>
    <row r="13">
      <c r="A13" s="31">
        <v>12.0</v>
      </c>
      <c r="B13" s="31"/>
      <c r="C13" s="31" t="s">
        <v>116</v>
      </c>
      <c r="D13" s="31" t="s">
        <v>130</v>
      </c>
      <c r="E13" s="31" t="s">
        <v>131</v>
      </c>
      <c r="F13" s="31">
        <v>1.0</v>
      </c>
      <c r="G13" s="36"/>
      <c r="H13" s="36"/>
      <c r="I13" s="36"/>
      <c r="J13" s="36"/>
      <c r="K13" s="36"/>
      <c r="L13" s="36"/>
      <c r="M13" s="44"/>
      <c r="N13" s="44"/>
      <c r="O13" s="44"/>
      <c r="P13" s="44"/>
      <c r="Q13" s="44"/>
      <c r="R13" s="44"/>
      <c r="S13" s="36"/>
      <c r="T13" s="36"/>
      <c r="U13" s="36"/>
      <c r="V13" s="36"/>
      <c r="W13" s="36"/>
      <c r="X13" s="36"/>
      <c r="Y13" s="54"/>
      <c r="Z13" s="54"/>
      <c r="AA13" s="54"/>
      <c r="AB13" s="54"/>
      <c r="AC13" s="54"/>
      <c r="AD13" s="54"/>
      <c r="AE13" s="52" t="s">
        <v>373</v>
      </c>
      <c r="AF13" s="48"/>
      <c r="AG13" s="49"/>
      <c r="AH13" s="49"/>
      <c r="AI13" s="49"/>
      <c r="AJ13" s="50" t="str">
        <f t="shared" si="2"/>
        <v>Pending</v>
      </c>
      <c r="AK13" s="49"/>
      <c r="AL13" s="49"/>
    </row>
    <row r="14">
      <c r="A14" s="31">
        <v>13.0</v>
      </c>
      <c r="B14" s="31">
        <v>4.0</v>
      </c>
      <c r="C14" s="31" t="s">
        <v>136</v>
      </c>
      <c r="D14" s="31" t="s">
        <v>138</v>
      </c>
      <c r="E14" s="31" t="s">
        <v>139</v>
      </c>
      <c r="F14" s="31">
        <v>1.0</v>
      </c>
      <c r="G14" s="34" t="s">
        <v>86</v>
      </c>
      <c r="H14" s="36"/>
      <c r="I14" s="36"/>
      <c r="J14" s="36"/>
      <c r="K14" s="41" t="s">
        <v>379</v>
      </c>
      <c r="L14" s="34">
        <v>0.0</v>
      </c>
      <c r="M14" s="42" t="s">
        <v>86</v>
      </c>
      <c r="N14" s="44"/>
      <c r="O14" s="44"/>
      <c r="P14" s="44"/>
      <c r="Q14" s="45" t="s">
        <v>382</v>
      </c>
      <c r="R14" s="42">
        <v>0.0</v>
      </c>
      <c r="S14" s="34" t="s">
        <v>86</v>
      </c>
      <c r="T14" s="36"/>
      <c r="U14" s="36"/>
      <c r="V14" s="36"/>
      <c r="W14" s="41" t="s">
        <v>387</v>
      </c>
      <c r="X14" s="34">
        <v>0.0</v>
      </c>
      <c r="Y14" s="46" t="s">
        <v>233</v>
      </c>
      <c r="Z14" s="51">
        <v>1562.6</v>
      </c>
      <c r="AA14" s="46" t="s">
        <v>84</v>
      </c>
      <c r="AB14" s="46" t="s">
        <v>149</v>
      </c>
      <c r="AC14" s="47" t="s">
        <v>400</v>
      </c>
      <c r="AD14" s="46">
        <v>0.0</v>
      </c>
      <c r="AE14" s="52" t="s">
        <v>405</v>
      </c>
      <c r="AF14" s="48"/>
      <c r="AG14" s="49"/>
      <c r="AH14" s="49"/>
      <c r="AI14" s="49"/>
      <c r="AJ14" s="50" t="str">
        <f t="shared" si="2"/>
        <v>Pending</v>
      </c>
      <c r="AK14" s="49"/>
      <c r="AL14" s="49"/>
    </row>
    <row r="15">
      <c r="A15" s="31">
        <v>14.0</v>
      </c>
      <c r="B15" s="31">
        <v>5.0</v>
      </c>
      <c r="C15" s="31" t="s">
        <v>145</v>
      </c>
      <c r="D15" s="31" t="s">
        <v>81</v>
      </c>
      <c r="E15" s="31" t="s">
        <v>146</v>
      </c>
      <c r="F15" s="31">
        <v>1.0</v>
      </c>
      <c r="G15" s="34" t="s">
        <v>86</v>
      </c>
      <c r="H15" s="36"/>
      <c r="I15" s="36"/>
      <c r="J15" s="36"/>
      <c r="K15" s="41" t="s">
        <v>410</v>
      </c>
      <c r="L15" s="34">
        <v>0.0</v>
      </c>
      <c r="M15" s="42" t="s">
        <v>86</v>
      </c>
      <c r="N15" s="44"/>
      <c r="O15" s="44"/>
      <c r="P15" s="44"/>
      <c r="Q15" s="45" t="s">
        <v>417</v>
      </c>
      <c r="R15" s="42">
        <v>0.0</v>
      </c>
      <c r="S15" s="34" t="s">
        <v>86</v>
      </c>
      <c r="T15" s="36"/>
      <c r="U15" s="36"/>
      <c r="V15" s="36"/>
      <c r="W15" s="41" t="s">
        <v>426</v>
      </c>
      <c r="X15" s="34">
        <v>0.0</v>
      </c>
      <c r="Y15" s="46" t="s">
        <v>86</v>
      </c>
      <c r="Z15" s="54"/>
      <c r="AA15" s="54"/>
      <c r="AB15" s="54"/>
      <c r="AC15" s="47" t="s">
        <v>444</v>
      </c>
      <c r="AD15" s="46">
        <v>0.0</v>
      </c>
      <c r="AE15" s="52" t="s">
        <v>447</v>
      </c>
      <c r="AF15" s="48"/>
      <c r="AG15" s="49"/>
      <c r="AH15" s="49"/>
      <c r="AI15" s="49"/>
      <c r="AJ15" s="50" t="str">
        <f t="shared" si="2"/>
        <v>Pending</v>
      </c>
      <c r="AK15" s="49"/>
      <c r="AL15" s="49"/>
    </row>
    <row r="16">
      <c r="A16" s="31">
        <v>15.0</v>
      </c>
      <c r="B16" s="31"/>
      <c r="C16" s="31" t="s">
        <v>145</v>
      </c>
      <c r="D16" s="31" t="s">
        <v>151</v>
      </c>
      <c r="E16" s="31" t="s">
        <v>152</v>
      </c>
      <c r="F16" s="31">
        <v>1.0</v>
      </c>
      <c r="G16" s="34" t="s">
        <v>86</v>
      </c>
      <c r="H16" s="36"/>
      <c r="I16" s="36"/>
      <c r="J16" s="36"/>
      <c r="K16" s="41" t="s">
        <v>450</v>
      </c>
      <c r="L16" s="34">
        <v>0.0</v>
      </c>
      <c r="M16" s="42" t="s">
        <v>86</v>
      </c>
      <c r="N16" s="44"/>
      <c r="O16" s="44"/>
      <c r="P16" s="44"/>
      <c r="Q16" s="45" t="s">
        <v>456</v>
      </c>
      <c r="R16" s="42">
        <v>0.0</v>
      </c>
      <c r="S16" s="34" t="s">
        <v>86</v>
      </c>
      <c r="T16" s="36"/>
      <c r="U16" s="36"/>
      <c r="V16" s="36"/>
      <c r="W16" s="41" t="s">
        <v>460</v>
      </c>
      <c r="X16" s="34">
        <v>0.0</v>
      </c>
      <c r="Y16" s="46" t="s">
        <v>86</v>
      </c>
      <c r="Z16" s="54"/>
      <c r="AA16" s="54"/>
      <c r="AB16" s="54"/>
      <c r="AC16" s="47" t="s">
        <v>468</v>
      </c>
      <c r="AD16" s="46">
        <v>0.0</v>
      </c>
      <c r="AE16" s="52" t="s">
        <v>447</v>
      </c>
      <c r="AF16" s="48"/>
      <c r="AG16" s="49"/>
      <c r="AH16" s="49"/>
      <c r="AI16" s="49"/>
      <c r="AJ16" s="50" t="str">
        <f t="shared" si="2"/>
        <v>Pending</v>
      </c>
      <c r="AK16" s="49"/>
      <c r="AL16" s="49"/>
    </row>
    <row r="17">
      <c r="A17" s="31">
        <v>16.0</v>
      </c>
      <c r="B17" s="31">
        <v>6.0</v>
      </c>
      <c r="C17" s="31" t="s">
        <v>165</v>
      </c>
      <c r="D17" s="31" t="s">
        <v>166</v>
      </c>
      <c r="E17" s="31" t="s">
        <v>167</v>
      </c>
      <c r="F17" s="31">
        <v>1.0</v>
      </c>
      <c r="G17" s="36" t="s">
        <v>233</v>
      </c>
      <c r="H17" s="36">
        <v>623.39</v>
      </c>
      <c r="I17" s="36" t="s">
        <v>472</v>
      </c>
      <c r="J17" s="36" t="s">
        <v>473</v>
      </c>
      <c r="K17" s="36" t="s">
        <v>474</v>
      </c>
      <c r="L17" s="36">
        <v>3.0</v>
      </c>
      <c r="M17" s="44" t="s">
        <v>367</v>
      </c>
      <c r="N17" s="44"/>
      <c r="O17" s="44"/>
      <c r="P17" s="44"/>
      <c r="Q17" s="44" t="s">
        <v>475</v>
      </c>
      <c r="R17" s="44">
        <v>2.0</v>
      </c>
      <c r="S17" s="36" t="s">
        <v>367</v>
      </c>
      <c r="T17" s="36"/>
      <c r="U17" s="36"/>
      <c r="V17" s="36"/>
      <c r="W17" s="36" t="s">
        <v>478</v>
      </c>
      <c r="X17" s="36">
        <v>2.0</v>
      </c>
      <c r="Y17" s="46" t="s">
        <v>86</v>
      </c>
      <c r="Z17" s="54"/>
      <c r="AA17" s="54"/>
      <c r="AB17" s="54"/>
      <c r="AC17" s="54"/>
      <c r="AD17" s="54"/>
      <c r="AE17" s="52" t="s">
        <v>481</v>
      </c>
      <c r="AF17" s="48"/>
      <c r="AG17" s="49"/>
      <c r="AH17" s="49"/>
      <c r="AI17" s="49"/>
      <c r="AJ17" s="50" t="str">
        <f t="shared" si="2"/>
        <v>Carried but zero stock today</v>
      </c>
      <c r="AK17" s="49"/>
      <c r="AL17" s="49" t="s">
        <v>485</v>
      </c>
    </row>
    <row r="18">
      <c r="A18" s="31">
        <v>17.0</v>
      </c>
      <c r="B18" s="31"/>
      <c r="C18" s="31" t="s">
        <v>165</v>
      </c>
      <c r="D18" s="31" t="s">
        <v>170</v>
      </c>
      <c r="E18" s="31" t="s">
        <v>171</v>
      </c>
      <c r="F18" s="31">
        <v>1.0</v>
      </c>
      <c r="G18" s="34" t="s">
        <v>233</v>
      </c>
      <c r="H18" s="55">
        <v>257.65</v>
      </c>
      <c r="I18" s="34" t="s">
        <v>84</v>
      </c>
      <c r="J18" s="36" t="s">
        <v>473</v>
      </c>
      <c r="K18" s="41" t="s">
        <v>486</v>
      </c>
      <c r="L18" s="34">
        <v>0.0</v>
      </c>
      <c r="M18" s="42" t="s">
        <v>86</v>
      </c>
      <c r="N18" s="44"/>
      <c r="O18" s="44"/>
      <c r="P18" s="44"/>
      <c r="Q18" s="45" t="s">
        <v>494</v>
      </c>
      <c r="R18" s="42">
        <v>0.0</v>
      </c>
      <c r="S18" s="34" t="s">
        <v>86</v>
      </c>
      <c r="T18" s="36"/>
      <c r="U18" s="36"/>
      <c r="V18" s="36"/>
      <c r="W18" s="41" t="s">
        <v>502</v>
      </c>
      <c r="X18" s="34">
        <v>0.0</v>
      </c>
      <c r="Y18" s="46" t="s">
        <v>233</v>
      </c>
      <c r="Z18" s="51">
        <v>466.7</v>
      </c>
      <c r="AA18" s="46" t="s">
        <v>84</v>
      </c>
      <c r="AB18" s="46" t="s">
        <v>512</v>
      </c>
      <c r="AC18" s="47" t="s">
        <v>514</v>
      </c>
      <c r="AD18" s="46">
        <v>0.0</v>
      </c>
      <c r="AE18" s="52" t="s">
        <v>528</v>
      </c>
      <c r="AF18" s="48"/>
      <c r="AG18" s="49"/>
      <c r="AH18" s="49"/>
      <c r="AI18" s="49"/>
      <c r="AJ18" s="50" t="str">
        <f t="shared" si="2"/>
        <v>Carried but zero stock today</v>
      </c>
      <c r="AK18" s="49"/>
      <c r="AL18" s="49"/>
    </row>
    <row r="19">
      <c r="A19" s="31">
        <v>18.0</v>
      </c>
      <c r="B19" s="31"/>
      <c r="C19" s="31" t="s">
        <v>165</v>
      </c>
      <c r="D19" s="31" t="s">
        <v>175</v>
      </c>
      <c r="E19" s="31" t="s">
        <v>176</v>
      </c>
      <c r="F19" s="31">
        <v>1.0</v>
      </c>
      <c r="G19" s="34" t="s">
        <v>233</v>
      </c>
      <c r="H19" s="55">
        <v>138.96</v>
      </c>
      <c r="I19" s="36"/>
      <c r="J19" s="36" t="s">
        <v>473</v>
      </c>
      <c r="K19" s="41" t="s">
        <v>535</v>
      </c>
      <c r="L19" s="34">
        <v>0.0</v>
      </c>
      <c r="M19" s="42" t="s">
        <v>86</v>
      </c>
      <c r="N19" s="44"/>
      <c r="O19" s="44"/>
      <c r="P19" s="44"/>
      <c r="Q19" s="45" t="s">
        <v>547</v>
      </c>
      <c r="R19" s="42">
        <v>0.0</v>
      </c>
      <c r="S19" s="34" t="s">
        <v>86</v>
      </c>
      <c r="T19" s="36"/>
      <c r="U19" s="36"/>
      <c r="V19" s="36"/>
      <c r="W19" s="41" t="s">
        <v>555</v>
      </c>
      <c r="X19" s="34">
        <v>0.0</v>
      </c>
      <c r="Y19" s="46" t="s">
        <v>86</v>
      </c>
      <c r="Z19" s="54"/>
      <c r="AA19" s="54"/>
      <c r="AB19" s="54"/>
      <c r="AC19" s="47" t="s">
        <v>556</v>
      </c>
      <c r="AD19" s="46">
        <v>0.0</v>
      </c>
      <c r="AE19" s="52" t="s">
        <v>528</v>
      </c>
      <c r="AF19" s="48"/>
      <c r="AG19" s="49"/>
      <c r="AH19" s="49"/>
      <c r="AI19" s="49"/>
      <c r="AJ19" s="50" t="str">
        <f t="shared" si="2"/>
        <v>Carried but zero stock today</v>
      </c>
      <c r="AK19" s="49"/>
      <c r="AL19" s="49"/>
    </row>
    <row r="20">
      <c r="A20" s="31">
        <v>19.0</v>
      </c>
      <c r="B20" s="31">
        <v>7.0</v>
      </c>
      <c r="C20" s="31"/>
      <c r="D20" s="31" t="s">
        <v>177</v>
      </c>
      <c r="E20" s="31"/>
      <c r="F20" s="31" t="s">
        <v>178</v>
      </c>
      <c r="G20" s="34" t="s">
        <v>367</v>
      </c>
      <c r="H20" s="36"/>
      <c r="I20" s="36"/>
      <c r="J20" s="34" t="s">
        <v>559</v>
      </c>
      <c r="K20" s="41" t="s">
        <v>560</v>
      </c>
      <c r="L20" s="34">
        <v>0.0</v>
      </c>
      <c r="M20" s="42" t="s">
        <v>367</v>
      </c>
      <c r="N20" s="44"/>
      <c r="O20" s="44"/>
      <c r="P20" s="44"/>
      <c r="Q20" s="45" t="s">
        <v>563</v>
      </c>
      <c r="R20" s="42">
        <v>0.0</v>
      </c>
      <c r="S20" s="34" t="s">
        <v>86</v>
      </c>
      <c r="T20" s="36"/>
      <c r="U20" s="36"/>
      <c r="V20" s="36"/>
      <c r="W20" s="41" t="s">
        <v>565</v>
      </c>
      <c r="X20" s="34">
        <v>0.0</v>
      </c>
      <c r="Y20" s="46" t="s">
        <v>233</v>
      </c>
      <c r="Z20" s="51">
        <v>833.15</v>
      </c>
      <c r="AA20" s="46" t="s">
        <v>84</v>
      </c>
      <c r="AB20" s="46" t="s">
        <v>571</v>
      </c>
      <c r="AC20" s="47" t="s">
        <v>572</v>
      </c>
      <c r="AD20" s="46">
        <v>0.0</v>
      </c>
      <c r="AE20" s="52" t="s">
        <v>160</v>
      </c>
      <c r="AF20" s="52" t="s">
        <v>579</v>
      </c>
      <c r="AG20" s="49"/>
      <c r="AH20" s="49"/>
      <c r="AI20" s="49"/>
      <c r="AJ20" s="50" t="str">
        <f t="shared" si="2"/>
        <v>Found at our houses</v>
      </c>
      <c r="AK20" s="49"/>
      <c r="AL20" s="49"/>
    </row>
    <row r="21">
      <c r="A21" s="31">
        <v>20.0</v>
      </c>
      <c r="B21" s="31">
        <v>8.0</v>
      </c>
      <c r="C21" s="31"/>
      <c r="D21" s="31" t="s">
        <v>187</v>
      </c>
      <c r="E21" s="31"/>
      <c r="F21" s="31" t="s">
        <v>178</v>
      </c>
      <c r="G21" s="34" t="s">
        <v>367</v>
      </c>
      <c r="H21" s="36"/>
      <c r="I21" s="36"/>
      <c r="J21" s="34" t="s">
        <v>559</v>
      </c>
      <c r="K21" s="79" t="s">
        <v>583</v>
      </c>
      <c r="L21" s="34">
        <v>0.0</v>
      </c>
      <c r="M21" s="42" t="s">
        <v>367</v>
      </c>
      <c r="N21" s="44"/>
      <c r="O21" s="44"/>
      <c r="P21" s="42" t="s">
        <v>584</v>
      </c>
      <c r="Q21" s="45" t="s">
        <v>585</v>
      </c>
      <c r="R21" s="42">
        <v>0.0</v>
      </c>
      <c r="S21" s="34" t="s">
        <v>86</v>
      </c>
      <c r="T21" s="36"/>
      <c r="U21" s="36"/>
      <c r="V21" s="36"/>
      <c r="W21" s="41" t="s">
        <v>586</v>
      </c>
      <c r="X21" s="34">
        <v>0.0</v>
      </c>
      <c r="Y21" s="46" t="s">
        <v>233</v>
      </c>
      <c r="Z21" s="51">
        <v>154.6</v>
      </c>
      <c r="AA21" s="46" t="s">
        <v>84</v>
      </c>
      <c r="AB21" s="46" t="s">
        <v>587</v>
      </c>
      <c r="AC21" s="47" t="s">
        <v>588</v>
      </c>
      <c r="AD21" s="46">
        <v>0.0</v>
      </c>
      <c r="AE21" s="52" t="s">
        <v>589</v>
      </c>
      <c r="AF21" s="48"/>
      <c r="AG21" s="49"/>
      <c r="AH21" s="49"/>
      <c r="AI21" s="49"/>
      <c r="AJ21" s="50" t="str">
        <f t="shared" si="2"/>
        <v>Pending</v>
      </c>
      <c r="AK21" s="49"/>
      <c r="AL21" s="49"/>
    </row>
    <row r="22">
      <c r="A22" s="31">
        <v>21.0</v>
      </c>
      <c r="B22" s="31">
        <v>9.0</v>
      </c>
      <c r="C22" s="31"/>
      <c r="D22" s="31" t="s">
        <v>192</v>
      </c>
      <c r="E22" s="31"/>
      <c r="F22" s="31" t="s">
        <v>193</v>
      </c>
      <c r="G22" s="34" t="s">
        <v>83</v>
      </c>
      <c r="H22" s="55">
        <v>29.07</v>
      </c>
      <c r="I22" s="34" t="s">
        <v>590</v>
      </c>
      <c r="J22" s="36"/>
      <c r="K22" s="41" t="s">
        <v>591</v>
      </c>
      <c r="L22" s="34">
        <v>0.0</v>
      </c>
      <c r="M22" s="42" t="s">
        <v>367</v>
      </c>
      <c r="N22" s="44"/>
      <c r="O22" s="44"/>
      <c r="P22" s="44"/>
      <c r="Q22" s="45" t="s">
        <v>601</v>
      </c>
      <c r="R22" s="42">
        <v>0.0</v>
      </c>
      <c r="S22" s="34" t="s">
        <v>86</v>
      </c>
      <c r="T22" s="36"/>
      <c r="U22" s="36"/>
      <c r="V22" s="36"/>
      <c r="W22" s="41" t="s">
        <v>608</v>
      </c>
      <c r="X22" s="34">
        <v>0.0</v>
      </c>
      <c r="Y22" s="46" t="s">
        <v>83</v>
      </c>
      <c r="Z22" s="51">
        <v>285.05</v>
      </c>
      <c r="AA22" s="46" t="s">
        <v>84</v>
      </c>
      <c r="AB22" s="46" t="s">
        <v>612</v>
      </c>
      <c r="AC22" s="47" t="s">
        <v>613</v>
      </c>
      <c r="AD22" s="46">
        <v>0.0</v>
      </c>
      <c r="AE22" s="52" t="s">
        <v>160</v>
      </c>
      <c r="AF22" s="52" t="s">
        <v>614</v>
      </c>
      <c r="AG22" s="49"/>
      <c r="AH22" s="49"/>
      <c r="AI22" s="49"/>
      <c r="AJ22" s="50" t="str">
        <f t="shared" si="2"/>
        <v>Found at our houses</v>
      </c>
      <c r="AK22" s="49"/>
      <c r="AL22" s="49"/>
    </row>
    <row r="23" ht="15.75" customHeight="1">
      <c r="A23" s="31">
        <v>22.0</v>
      </c>
      <c r="B23" s="31">
        <v>10.0</v>
      </c>
      <c r="C23" s="31"/>
      <c r="D23" s="31" t="s">
        <v>205</v>
      </c>
      <c r="E23" s="31"/>
      <c r="F23" s="31">
        <v>3.0</v>
      </c>
      <c r="G23" s="34" t="s">
        <v>367</v>
      </c>
      <c r="H23" s="36"/>
      <c r="I23" s="36"/>
      <c r="J23" s="34" t="s">
        <v>559</v>
      </c>
      <c r="K23" s="41" t="s">
        <v>615</v>
      </c>
      <c r="L23" s="34">
        <v>0.0</v>
      </c>
      <c r="M23" s="42" t="s">
        <v>367</v>
      </c>
      <c r="N23" s="44"/>
      <c r="O23" s="44"/>
      <c r="P23" s="44"/>
      <c r="Q23" s="45" t="s">
        <v>618</v>
      </c>
      <c r="R23" s="42">
        <v>0.0</v>
      </c>
      <c r="S23" s="34" t="s">
        <v>86</v>
      </c>
      <c r="T23" s="36"/>
      <c r="U23" s="36"/>
      <c r="V23" s="36"/>
      <c r="W23" s="41" t="s">
        <v>624</v>
      </c>
      <c r="X23" s="34">
        <v>0.0</v>
      </c>
      <c r="Y23" s="46" t="s">
        <v>83</v>
      </c>
      <c r="Z23" s="54"/>
      <c r="AA23" s="54"/>
      <c r="AB23" s="54"/>
      <c r="AC23" s="47" t="s">
        <v>630</v>
      </c>
      <c r="AD23" s="46">
        <v>5.0</v>
      </c>
      <c r="AE23" s="52" t="s">
        <v>638</v>
      </c>
      <c r="AF23" s="48"/>
      <c r="AG23" s="49"/>
      <c r="AH23" s="49"/>
      <c r="AI23" s="49"/>
      <c r="AJ23" s="50" t="str">
        <f t="shared" si="2"/>
        <v>Pending</v>
      </c>
      <c r="AK23" s="49"/>
      <c r="AL23" s="49"/>
    </row>
    <row r="24" ht="15.75" customHeight="1">
      <c r="A24" s="31">
        <v>23.0</v>
      </c>
      <c r="B24" s="31">
        <v>11.0</v>
      </c>
      <c r="C24" s="31"/>
      <c r="D24" s="31" t="s">
        <v>207</v>
      </c>
      <c r="E24" s="31"/>
      <c r="F24" s="31">
        <v>6.0</v>
      </c>
      <c r="G24" s="34" t="s">
        <v>83</v>
      </c>
      <c r="H24" s="55">
        <v>16.92</v>
      </c>
      <c r="I24" s="34" t="s">
        <v>84</v>
      </c>
      <c r="J24" s="34" t="s">
        <v>644</v>
      </c>
      <c r="K24" s="41" t="s">
        <v>645</v>
      </c>
      <c r="L24" s="34">
        <v>0.0</v>
      </c>
      <c r="M24" s="42" t="s">
        <v>367</v>
      </c>
      <c r="N24" s="44"/>
      <c r="O24" s="44"/>
      <c r="P24" s="44"/>
      <c r="Q24" s="45" t="s">
        <v>656</v>
      </c>
      <c r="R24" s="42">
        <v>0.0</v>
      </c>
      <c r="S24" s="34" t="s">
        <v>86</v>
      </c>
      <c r="T24" s="36"/>
      <c r="U24" s="36"/>
      <c r="V24" s="36"/>
      <c r="W24" s="41" t="s">
        <v>671</v>
      </c>
      <c r="X24" s="34">
        <v>0.0</v>
      </c>
      <c r="Y24" s="46" t="s">
        <v>233</v>
      </c>
      <c r="Z24" s="80">
        <v>162.0</v>
      </c>
      <c r="AA24" s="46" t="s">
        <v>84</v>
      </c>
      <c r="AB24" s="46" t="s">
        <v>149</v>
      </c>
      <c r="AC24" s="47" t="s">
        <v>687</v>
      </c>
      <c r="AD24" s="46">
        <v>0.0</v>
      </c>
      <c r="AE24" s="48" t="str">
        <f t="shared" ref="AE24:AE52" si="3">IF(COUNTIF(G24,"Found")+COUNTIF(M24,"Found")+COUNTIF(S24,"Found")&gt;0,"Yes","No")</f>
        <v>Yes</v>
      </c>
      <c r="AF24" s="52" t="s">
        <v>712</v>
      </c>
      <c r="AG24" s="49"/>
      <c r="AH24" s="49"/>
      <c r="AI24" s="49"/>
      <c r="AJ24" s="50" t="str">
        <f t="shared" si="2"/>
        <v>Found at our houses</v>
      </c>
      <c r="AK24" s="49"/>
      <c r="AL24" s="49"/>
    </row>
    <row r="25" ht="15.75" customHeight="1">
      <c r="A25" s="31">
        <v>24.0</v>
      </c>
      <c r="B25" s="31">
        <v>12.0</v>
      </c>
      <c r="C25" s="31"/>
      <c r="D25" s="31" t="s">
        <v>209</v>
      </c>
      <c r="E25" s="31"/>
      <c r="F25" s="31">
        <v>1.0</v>
      </c>
      <c r="G25" s="34" t="s">
        <v>83</v>
      </c>
      <c r="H25" s="81">
        <v>91.0</v>
      </c>
      <c r="I25" s="34" t="s">
        <v>84</v>
      </c>
      <c r="J25" s="34" t="s">
        <v>715</v>
      </c>
      <c r="K25" s="41" t="s">
        <v>717</v>
      </c>
      <c r="L25" s="34">
        <v>0.0</v>
      </c>
      <c r="M25" s="42" t="s">
        <v>367</v>
      </c>
      <c r="N25" s="44"/>
      <c r="O25" s="44"/>
      <c r="P25" s="44"/>
      <c r="Q25" s="45" t="s">
        <v>727</v>
      </c>
      <c r="R25" s="42">
        <v>0.0</v>
      </c>
      <c r="S25" s="34" t="s">
        <v>86</v>
      </c>
      <c r="T25" s="36"/>
      <c r="U25" s="36"/>
      <c r="V25" s="36"/>
      <c r="W25" s="41" t="s">
        <v>741</v>
      </c>
      <c r="X25" s="34">
        <v>0.0</v>
      </c>
      <c r="Y25" s="46" t="s">
        <v>233</v>
      </c>
      <c r="Z25" s="51">
        <v>271.43</v>
      </c>
      <c r="AA25" s="46" t="s">
        <v>84</v>
      </c>
      <c r="AB25" s="46" t="s">
        <v>612</v>
      </c>
      <c r="AC25" s="47" t="s">
        <v>752</v>
      </c>
      <c r="AD25" s="46">
        <v>0.5</v>
      </c>
      <c r="AE25" s="48" t="str">
        <f t="shared" si="3"/>
        <v>Yes</v>
      </c>
      <c r="AF25" s="52" t="s">
        <v>761</v>
      </c>
      <c r="AG25" s="49"/>
      <c r="AH25" s="49"/>
      <c r="AI25" s="49"/>
      <c r="AJ25" s="50" t="str">
        <f t="shared" si="2"/>
        <v>Found at our houses</v>
      </c>
      <c r="AK25" s="49"/>
      <c r="AL25" s="49"/>
    </row>
    <row r="26" ht="15.75" customHeight="1">
      <c r="A26" s="31">
        <v>25.0</v>
      </c>
      <c r="B26" s="31">
        <v>13.0</v>
      </c>
      <c r="C26" s="31"/>
      <c r="D26" s="31" t="s">
        <v>226</v>
      </c>
      <c r="E26" s="31"/>
      <c r="F26" s="31">
        <v>1.0</v>
      </c>
      <c r="G26" s="34" t="s">
        <v>367</v>
      </c>
      <c r="H26" s="36"/>
      <c r="I26" s="36"/>
      <c r="J26" s="36"/>
      <c r="K26" s="41" t="s">
        <v>765</v>
      </c>
      <c r="L26" s="34">
        <v>0.0</v>
      </c>
      <c r="M26" s="42" t="s">
        <v>367</v>
      </c>
      <c r="N26" s="44"/>
      <c r="O26" s="44"/>
      <c r="P26" s="44"/>
      <c r="Q26" s="45" t="s">
        <v>769</v>
      </c>
      <c r="R26" s="42">
        <v>0.0</v>
      </c>
      <c r="S26" s="34" t="s">
        <v>86</v>
      </c>
      <c r="T26" s="36"/>
      <c r="U26" s="36"/>
      <c r="V26" s="36"/>
      <c r="W26" s="41" t="s">
        <v>783</v>
      </c>
      <c r="X26" s="34">
        <v>0.0</v>
      </c>
      <c r="Y26" s="46" t="s">
        <v>367</v>
      </c>
      <c r="Z26" s="54"/>
      <c r="AA26" s="54"/>
      <c r="AB26" s="54"/>
      <c r="AC26" s="47" t="s">
        <v>793</v>
      </c>
      <c r="AD26" s="54"/>
      <c r="AE26" s="48" t="str">
        <f t="shared" si="3"/>
        <v>No</v>
      </c>
      <c r="AF26" s="52" t="s">
        <v>806</v>
      </c>
      <c r="AG26" s="49"/>
      <c r="AH26" s="49"/>
      <c r="AI26" s="49"/>
      <c r="AJ26" s="50" t="str">
        <f t="shared" si="2"/>
        <v>Pending</v>
      </c>
      <c r="AK26" s="49"/>
      <c r="AL26" s="49"/>
    </row>
    <row r="27" ht="15.75" customHeight="1">
      <c r="A27" s="31">
        <v>26.0</v>
      </c>
      <c r="B27" s="31">
        <v>14.0</v>
      </c>
      <c r="C27" s="31"/>
      <c r="D27" s="31" t="s">
        <v>240</v>
      </c>
      <c r="E27" s="31"/>
      <c r="F27" s="31">
        <v>6.0</v>
      </c>
      <c r="G27" s="36"/>
      <c r="H27" s="36"/>
      <c r="I27" s="36"/>
      <c r="J27" s="36"/>
      <c r="K27" s="36"/>
      <c r="L27" s="36"/>
      <c r="M27" s="44"/>
      <c r="N27" s="44"/>
      <c r="O27" s="44"/>
      <c r="P27" s="44"/>
      <c r="Q27" s="44"/>
      <c r="R27" s="44"/>
      <c r="S27" s="36"/>
      <c r="T27" s="36"/>
      <c r="U27" s="36"/>
      <c r="V27" s="36"/>
      <c r="W27" s="36"/>
      <c r="X27" s="36"/>
      <c r="Y27" s="54"/>
      <c r="Z27" s="54"/>
      <c r="AA27" s="54"/>
      <c r="AB27" s="54"/>
      <c r="AC27" s="54"/>
      <c r="AD27" s="54"/>
      <c r="AE27" s="48" t="str">
        <f t="shared" si="3"/>
        <v>No</v>
      </c>
      <c r="AF27" s="48"/>
      <c r="AG27" s="49"/>
      <c r="AH27" s="49"/>
      <c r="AI27" s="49"/>
      <c r="AJ27" s="50" t="str">
        <f t="shared" si="2"/>
        <v>Pending</v>
      </c>
      <c r="AK27" s="49"/>
      <c r="AL27" s="49"/>
    </row>
    <row r="28" ht="15.75" customHeight="1">
      <c r="A28" s="31">
        <v>27.0</v>
      </c>
      <c r="B28" s="31">
        <v>15.0</v>
      </c>
      <c r="C28" s="31"/>
      <c r="D28" s="31" t="s">
        <v>243</v>
      </c>
      <c r="E28" s="31"/>
      <c r="F28" s="31">
        <v>3.0</v>
      </c>
      <c r="G28" s="36"/>
      <c r="H28" s="36"/>
      <c r="I28" s="36"/>
      <c r="J28" s="36"/>
      <c r="K28" s="36"/>
      <c r="L28" s="36"/>
      <c r="M28" s="44"/>
      <c r="N28" s="44"/>
      <c r="O28" s="44"/>
      <c r="P28" s="44"/>
      <c r="Q28" s="44"/>
      <c r="R28" s="44"/>
      <c r="S28" s="36"/>
      <c r="T28" s="36"/>
      <c r="U28" s="36"/>
      <c r="V28" s="36"/>
      <c r="W28" s="36"/>
      <c r="X28" s="36"/>
      <c r="Y28" s="54"/>
      <c r="Z28" s="54"/>
      <c r="AA28" s="54"/>
      <c r="AB28" s="54"/>
      <c r="AC28" s="54"/>
      <c r="AD28" s="54"/>
      <c r="AE28" s="48" t="str">
        <f t="shared" si="3"/>
        <v>No</v>
      </c>
      <c r="AF28" s="48"/>
      <c r="AG28" s="49"/>
      <c r="AH28" s="49"/>
      <c r="AI28" s="49"/>
      <c r="AJ28" s="50" t="str">
        <f t="shared" si="2"/>
        <v>Pending</v>
      </c>
      <c r="AK28" s="49"/>
      <c r="AL28" s="49"/>
    </row>
    <row r="29" ht="15.75" customHeight="1">
      <c r="A29" s="31">
        <v>28.0</v>
      </c>
      <c r="B29" s="31">
        <v>16.0</v>
      </c>
      <c r="C29" s="31"/>
      <c r="D29" s="31" t="s">
        <v>247</v>
      </c>
      <c r="E29" s="31"/>
      <c r="F29" s="31">
        <v>3.0</v>
      </c>
      <c r="G29" s="36"/>
      <c r="H29" s="36"/>
      <c r="I29" s="36"/>
      <c r="J29" s="36"/>
      <c r="K29" s="36"/>
      <c r="L29" s="36"/>
      <c r="M29" s="44"/>
      <c r="N29" s="44"/>
      <c r="O29" s="44"/>
      <c r="P29" s="44"/>
      <c r="Q29" s="44"/>
      <c r="R29" s="44"/>
      <c r="S29" s="36"/>
      <c r="T29" s="36"/>
      <c r="U29" s="36"/>
      <c r="V29" s="36"/>
      <c r="W29" s="36"/>
      <c r="X29" s="36"/>
      <c r="Y29" s="54"/>
      <c r="Z29" s="54"/>
      <c r="AA29" s="54"/>
      <c r="AB29" s="54"/>
      <c r="AC29" s="54"/>
      <c r="AD29" s="54"/>
      <c r="AE29" s="48" t="str">
        <f t="shared" si="3"/>
        <v>No</v>
      </c>
      <c r="AF29" s="48"/>
      <c r="AG29" s="49"/>
      <c r="AH29" s="49"/>
      <c r="AI29" s="49"/>
      <c r="AJ29" s="50" t="str">
        <f t="shared" si="2"/>
        <v>Pending</v>
      </c>
      <c r="AK29" s="49"/>
      <c r="AL29" s="49"/>
    </row>
    <row r="30" ht="15.75" customHeight="1">
      <c r="A30" s="31">
        <v>29.0</v>
      </c>
      <c r="B30" s="31">
        <v>17.0</v>
      </c>
      <c r="C30" s="31"/>
      <c r="D30" s="31" t="s">
        <v>253</v>
      </c>
      <c r="E30" s="31"/>
      <c r="F30" s="31">
        <v>4.0</v>
      </c>
      <c r="G30" s="36"/>
      <c r="H30" s="36"/>
      <c r="I30" s="36"/>
      <c r="J30" s="36"/>
      <c r="K30" s="36"/>
      <c r="L30" s="36"/>
      <c r="M30" s="44"/>
      <c r="N30" s="44"/>
      <c r="O30" s="44"/>
      <c r="P30" s="44"/>
      <c r="Q30" s="44"/>
      <c r="R30" s="44"/>
      <c r="S30" s="36"/>
      <c r="T30" s="36"/>
      <c r="U30" s="36"/>
      <c r="V30" s="36"/>
      <c r="W30" s="36"/>
      <c r="X30" s="36"/>
      <c r="Y30" s="54"/>
      <c r="Z30" s="54"/>
      <c r="AA30" s="54"/>
      <c r="AB30" s="54"/>
      <c r="AC30" s="54"/>
      <c r="AD30" s="54"/>
      <c r="AE30" s="48" t="str">
        <f t="shared" si="3"/>
        <v>No</v>
      </c>
      <c r="AF30" s="48"/>
      <c r="AG30" s="49"/>
      <c r="AH30" s="49"/>
      <c r="AI30" s="49"/>
      <c r="AJ30" s="50" t="str">
        <f t="shared" si="2"/>
        <v>Pending</v>
      </c>
      <c r="AK30" s="49"/>
      <c r="AL30" s="49"/>
    </row>
    <row r="31" ht="15.75" customHeight="1">
      <c r="A31" s="31">
        <v>30.0</v>
      </c>
      <c r="B31" s="31">
        <v>18.0</v>
      </c>
      <c r="C31" s="31"/>
      <c r="D31" s="31" t="s">
        <v>259</v>
      </c>
      <c r="E31" s="31"/>
      <c r="F31" s="31">
        <v>10.0</v>
      </c>
      <c r="G31" s="36"/>
      <c r="H31" s="36"/>
      <c r="I31" s="36"/>
      <c r="J31" s="36"/>
      <c r="K31" s="36"/>
      <c r="L31" s="36"/>
      <c r="M31" s="44"/>
      <c r="N31" s="44"/>
      <c r="O31" s="44"/>
      <c r="P31" s="44"/>
      <c r="Q31" s="44"/>
      <c r="R31" s="44"/>
      <c r="S31" s="36"/>
      <c r="T31" s="36"/>
      <c r="U31" s="36"/>
      <c r="V31" s="36"/>
      <c r="W31" s="36"/>
      <c r="X31" s="36"/>
      <c r="Y31" s="54"/>
      <c r="Z31" s="54"/>
      <c r="AA31" s="54"/>
      <c r="AB31" s="54"/>
      <c r="AC31" s="54"/>
      <c r="AD31" s="54"/>
      <c r="AE31" s="48" t="str">
        <f t="shared" si="3"/>
        <v>No</v>
      </c>
      <c r="AF31" s="48"/>
      <c r="AG31" s="49"/>
      <c r="AH31" s="49"/>
      <c r="AI31" s="49"/>
      <c r="AJ31" s="50" t="str">
        <f t="shared" si="2"/>
        <v>Pending</v>
      </c>
      <c r="AK31" s="49"/>
      <c r="AL31" s="49"/>
    </row>
    <row r="32" ht="15.75" customHeight="1">
      <c r="A32" s="31">
        <v>31.0</v>
      </c>
      <c r="B32" s="31">
        <v>19.0</v>
      </c>
      <c r="C32" s="31"/>
      <c r="D32" s="31" t="s">
        <v>263</v>
      </c>
      <c r="E32" s="31"/>
      <c r="F32" s="31">
        <v>4.0</v>
      </c>
      <c r="G32" s="36"/>
      <c r="H32" s="36"/>
      <c r="I32" s="36"/>
      <c r="J32" s="36"/>
      <c r="K32" s="36"/>
      <c r="L32" s="36"/>
      <c r="M32" s="44"/>
      <c r="N32" s="44"/>
      <c r="O32" s="44"/>
      <c r="P32" s="44"/>
      <c r="Q32" s="44"/>
      <c r="R32" s="44"/>
      <c r="S32" s="36"/>
      <c r="T32" s="36"/>
      <c r="U32" s="36"/>
      <c r="V32" s="36"/>
      <c r="W32" s="36"/>
      <c r="X32" s="36"/>
      <c r="Y32" s="54"/>
      <c r="Z32" s="54"/>
      <c r="AA32" s="54"/>
      <c r="AB32" s="54"/>
      <c r="AC32" s="54"/>
      <c r="AD32" s="54"/>
      <c r="AE32" s="48" t="str">
        <f t="shared" si="3"/>
        <v>No</v>
      </c>
      <c r="AF32" s="48"/>
      <c r="AG32" s="49"/>
      <c r="AH32" s="49"/>
      <c r="AI32" s="49"/>
      <c r="AJ32" s="50" t="str">
        <f t="shared" si="2"/>
        <v>Pending</v>
      </c>
      <c r="AK32" s="49"/>
      <c r="AL32" s="49"/>
    </row>
    <row r="33" ht="15.75" customHeight="1">
      <c r="A33" s="31">
        <v>32.0</v>
      </c>
      <c r="B33" s="31">
        <v>20.0</v>
      </c>
      <c r="C33" s="31"/>
      <c r="D33" s="31" t="s">
        <v>265</v>
      </c>
      <c r="E33" s="31"/>
      <c r="F33" s="31">
        <v>4.0</v>
      </c>
      <c r="G33" s="36"/>
      <c r="H33" s="36"/>
      <c r="I33" s="36"/>
      <c r="J33" s="36"/>
      <c r="K33" s="36"/>
      <c r="L33" s="36"/>
      <c r="M33" s="44"/>
      <c r="N33" s="44"/>
      <c r="O33" s="44"/>
      <c r="P33" s="44"/>
      <c r="Q33" s="44"/>
      <c r="R33" s="44"/>
      <c r="S33" s="36"/>
      <c r="T33" s="36"/>
      <c r="U33" s="36"/>
      <c r="V33" s="36"/>
      <c r="W33" s="36"/>
      <c r="X33" s="36"/>
      <c r="Y33" s="54"/>
      <c r="Z33" s="54"/>
      <c r="AA33" s="54"/>
      <c r="AB33" s="54"/>
      <c r="AC33" s="54"/>
      <c r="AD33" s="54"/>
      <c r="AE33" s="48" t="str">
        <f t="shared" si="3"/>
        <v>No</v>
      </c>
      <c r="AF33" s="48"/>
      <c r="AG33" s="49"/>
      <c r="AH33" s="49"/>
      <c r="AI33" s="49"/>
      <c r="AJ33" s="50" t="str">
        <f t="shared" si="2"/>
        <v>Pending</v>
      </c>
      <c r="AK33" s="49"/>
      <c r="AL33" s="49"/>
    </row>
    <row r="34" ht="15.75" customHeight="1">
      <c r="A34" s="31">
        <v>33.0</v>
      </c>
      <c r="B34" s="31">
        <v>21.0</v>
      </c>
      <c r="C34" s="31"/>
      <c r="D34" s="31" t="s">
        <v>270</v>
      </c>
      <c r="E34" s="31"/>
      <c r="F34" s="31">
        <v>2.0</v>
      </c>
      <c r="G34" s="36"/>
      <c r="H34" s="36"/>
      <c r="I34" s="36"/>
      <c r="J34" s="36"/>
      <c r="K34" s="36"/>
      <c r="L34" s="36"/>
      <c r="M34" s="44"/>
      <c r="N34" s="44"/>
      <c r="O34" s="44"/>
      <c r="P34" s="44"/>
      <c r="Q34" s="44"/>
      <c r="R34" s="44"/>
      <c r="S34" s="36"/>
      <c r="T34" s="36"/>
      <c r="U34" s="36"/>
      <c r="V34" s="36"/>
      <c r="W34" s="36"/>
      <c r="X34" s="36"/>
      <c r="Y34" s="54"/>
      <c r="Z34" s="54"/>
      <c r="AA34" s="54"/>
      <c r="AB34" s="54"/>
      <c r="AC34" s="54"/>
      <c r="AD34" s="54"/>
      <c r="AE34" s="48" t="str">
        <f t="shared" si="3"/>
        <v>No</v>
      </c>
      <c r="AF34" s="48"/>
      <c r="AG34" s="49"/>
      <c r="AH34" s="49"/>
      <c r="AI34" s="49"/>
      <c r="AJ34" s="50" t="str">
        <f t="shared" si="2"/>
        <v>Pending</v>
      </c>
      <c r="AK34" s="49"/>
      <c r="AL34" s="49"/>
    </row>
    <row r="35" ht="15.75" customHeight="1">
      <c r="A35" s="31">
        <v>34.0</v>
      </c>
      <c r="B35" s="31">
        <v>22.0</v>
      </c>
      <c r="C35" s="31"/>
      <c r="D35" s="31" t="s">
        <v>274</v>
      </c>
      <c r="E35" s="31"/>
      <c r="F35" s="31">
        <v>6.0</v>
      </c>
      <c r="G35" s="36"/>
      <c r="H35" s="36"/>
      <c r="I35" s="36"/>
      <c r="J35" s="36"/>
      <c r="K35" s="36"/>
      <c r="L35" s="36"/>
      <c r="M35" s="44"/>
      <c r="N35" s="44"/>
      <c r="O35" s="44"/>
      <c r="P35" s="44"/>
      <c r="Q35" s="44"/>
      <c r="R35" s="44"/>
      <c r="S35" s="36"/>
      <c r="T35" s="36"/>
      <c r="U35" s="36"/>
      <c r="V35" s="36"/>
      <c r="W35" s="36"/>
      <c r="X35" s="36"/>
      <c r="Y35" s="54"/>
      <c r="Z35" s="54"/>
      <c r="AA35" s="54"/>
      <c r="AB35" s="54"/>
      <c r="AC35" s="54"/>
      <c r="AD35" s="54"/>
      <c r="AE35" s="48" t="str">
        <f t="shared" si="3"/>
        <v>No</v>
      </c>
      <c r="AF35" s="48"/>
      <c r="AG35" s="49"/>
      <c r="AH35" s="49"/>
      <c r="AI35" s="49"/>
      <c r="AJ35" s="50" t="str">
        <f t="shared" si="2"/>
        <v>Pending</v>
      </c>
      <c r="AK35" s="49"/>
      <c r="AL35" s="49"/>
    </row>
    <row r="36" ht="15.75" customHeight="1">
      <c r="A36" s="31">
        <v>35.0</v>
      </c>
      <c r="B36" s="31">
        <v>23.0</v>
      </c>
      <c r="C36" s="31"/>
      <c r="D36" s="31" t="s">
        <v>278</v>
      </c>
      <c r="E36" s="31"/>
      <c r="F36" s="31">
        <v>1.0</v>
      </c>
      <c r="G36" s="36"/>
      <c r="H36" s="36"/>
      <c r="I36" s="36"/>
      <c r="J36" s="36"/>
      <c r="K36" s="36"/>
      <c r="L36" s="36"/>
      <c r="M36" s="44"/>
      <c r="N36" s="44"/>
      <c r="O36" s="44"/>
      <c r="P36" s="44"/>
      <c r="Q36" s="44"/>
      <c r="R36" s="44"/>
      <c r="S36" s="36"/>
      <c r="T36" s="36"/>
      <c r="U36" s="36"/>
      <c r="V36" s="36"/>
      <c r="W36" s="36"/>
      <c r="X36" s="36"/>
      <c r="Y36" s="54"/>
      <c r="Z36" s="54"/>
      <c r="AA36" s="54"/>
      <c r="AB36" s="54"/>
      <c r="AC36" s="54"/>
      <c r="AD36" s="54"/>
      <c r="AE36" s="48" t="str">
        <f t="shared" si="3"/>
        <v>No</v>
      </c>
      <c r="AF36" s="48"/>
      <c r="AG36" s="49"/>
      <c r="AH36" s="49"/>
      <c r="AI36" s="49"/>
      <c r="AJ36" s="50" t="str">
        <f t="shared" si="2"/>
        <v>Pending</v>
      </c>
      <c r="AK36" s="49"/>
      <c r="AL36" s="49"/>
    </row>
    <row r="37" ht="15.75" customHeight="1">
      <c r="A37" s="31">
        <v>36.0</v>
      </c>
      <c r="B37" s="31">
        <v>24.0</v>
      </c>
      <c r="C37" s="31"/>
      <c r="D37" s="31" t="s">
        <v>287</v>
      </c>
      <c r="E37" s="31"/>
      <c r="F37" s="31">
        <v>1.0</v>
      </c>
      <c r="G37" s="36"/>
      <c r="H37" s="36"/>
      <c r="I37" s="36"/>
      <c r="J37" s="36"/>
      <c r="K37" s="36"/>
      <c r="L37" s="36"/>
      <c r="M37" s="44"/>
      <c r="N37" s="44"/>
      <c r="O37" s="44"/>
      <c r="P37" s="44"/>
      <c r="Q37" s="44"/>
      <c r="R37" s="44"/>
      <c r="S37" s="36"/>
      <c r="T37" s="36"/>
      <c r="U37" s="36"/>
      <c r="V37" s="36"/>
      <c r="W37" s="36"/>
      <c r="X37" s="36"/>
      <c r="Y37" s="54"/>
      <c r="Z37" s="54"/>
      <c r="AA37" s="54"/>
      <c r="AB37" s="54"/>
      <c r="AC37" s="54"/>
      <c r="AD37" s="54"/>
      <c r="AE37" s="48" t="str">
        <f t="shared" si="3"/>
        <v>No</v>
      </c>
      <c r="AF37" s="48"/>
      <c r="AG37" s="49"/>
      <c r="AH37" s="49"/>
      <c r="AI37" s="49"/>
      <c r="AJ37" s="50" t="str">
        <f t="shared" si="2"/>
        <v>Pending</v>
      </c>
      <c r="AK37" s="49"/>
      <c r="AL37" s="49"/>
    </row>
    <row r="38" ht="15.75" customHeight="1">
      <c r="A38" s="31">
        <v>37.0</v>
      </c>
      <c r="B38" s="31">
        <v>25.0</v>
      </c>
      <c r="C38" s="31"/>
      <c r="D38" s="31" t="s">
        <v>290</v>
      </c>
      <c r="E38" s="31"/>
      <c r="F38" s="31">
        <v>6.0</v>
      </c>
      <c r="G38" s="36"/>
      <c r="H38" s="36"/>
      <c r="I38" s="36"/>
      <c r="J38" s="36"/>
      <c r="K38" s="36"/>
      <c r="L38" s="36"/>
      <c r="M38" s="44"/>
      <c r="N38" s="44"/>
      <c r="O38" s="44"/>
      <c r="P38" s="44"/>
      <c r="Q38" s="44"/>
      <c r="R38" s="44"/>
      <c r="S38" s="36"/>
      <c r="T38" s="36"/>
      <c r="U38" s="36"/>
      <c r="V38" s="36"/>
      <c r="W38" s="36"/>
      <c r="X38" s="36"/>
      <c r="Y38" s="54"/>
      <c r="Z38" s="54"/>
      <c r="AA38" s="54"/>
      <c r="AB38" s="54"/>
      <c r="AC38" s="54"/>
      <c r="AD38" s="54"/>
      <c r="AE38" s="48" t="str">
        <f t="shared" si="3"/>
        <v>No</v>
      </c>
      <c r="AF38" s="48"/>
      <c r="AG38" s="49"/>
      <c r="AH38" s="49"/>
      <c r="AI38" s="49"/>
      <c r="AJ38" s="50" t="str">
        <f t="shared" si="2"/>
        <v>Pending</v>
      </c>
      <c r="AK38" s="49"/>
      <c r="AL38" s="49"/>
    </row>
    <row r="39" ht="15.75" customHeight="1">
      <c r="A39" s="31">
        <v>38.0</v>
      </c>
      <c r="B39" s="31">
        <v>26.0</v>
      </c>
      <c r="C39" s="31"/>
      <c r="D39" s="31" t="s">
        <v>294</v>
      </c>
      <c r="E39" s="31"/>
      <c r="F39" s="31">
        <v>3.0</v>
      </c>
      <c r="G39" s="36"/>
      <c r="H39" s="36"/>
      <c r="I39" s="36"/>
      <c r="J39" s="36"/>
      <c r="K39" s="36"/>
      <c r="L39" s="36"/>
      <c r="M39" s="44"/>
      <c r="N39" s="44"/>
      <c r="O39" s="44"/>
      <c r="P39" s="44"/>
      <c r="Q39" s="44"/>
      <c r="R39" s="44"/>
      <c r="S39" s="36"/>
      <c r="T39" s="36"/>
      <c r="U39" s="36"/>
      <c r="V39" s="36"/>
      <c r="W39" s="36"/>
      <c r="X39" s="36"/>
      <c r="Y39" s="54"/>
      <c r="Z39" s="54"/>
      <c r="AA39" s="54"/>
      <c r="AB39" s="54"/>
      <c r="AC39" s="54"/>
      <c r="AD39" s="54"/>
      <c r="AE39" s="48" t="str">
        <f t="shared" si="3"/>
        <v>No</v>
      </c>
      <c r="AF39" s="48"/>
      <c r="AG39" s="49"/>
      <c r="AH39" s="49"/>
      <c r="AI39" s="49"/>
      <c r="AJ39" s="50" t="str">
        <f t="shared" si="2"/>
        <v>Pending</v>
      </c>
      <c r="AK39" s="49"/>
      <c r="AL39" s="49"/>
    </row>
    <row r="40" ht="15.75" customHeight="1">
      <c r="A40" s="31">
        <v>39.0</v>
      </c>
      <c r="B40" s="31">
        <v>27.0</v>
      </c>
      <c r="C40" s="31"/>
      <c r="D40" s="31" t="s">
        <v>299</v>
      </c>
      <c r="E40" s="31"/>
      <c r="F40" s="31">
        <v>1.0</v>
      </c>
      <c r="G40" s="36"/>
      <c r="H40" s="36"/>
      <c r="I40" s="36"/>
      <c r="J40" s="36"/>
      <c r="K40" s="36"/>
      <c r="L40" s="36"/>
      <c r="M40" s="44"/>
      <c r="N40" s="44"/>
      <c r="O40" s="44"/>
      <c r="P40" s="44"/>
      <c r="Q40" s="44"/>
      <c r="R40" s="44"/>
      <c r="S40" s="36"/>
      <c r="T40" s="36"/>
      <c r="U40" s="36"/>
      <c r="V40" s="36"/>
      <c r="W40" s="36"/>
      <c r="X40" s="36"/>
      <c r="Y40" s="54"/>
      <c r="Z40" s="54"/>
      <c r="AA40" s="54"/>
      <c r="AB40" s="54"/>
      <c r="AC40" s="54"/>
      <c r="AD40" s="54"/>
      <c r="AE40" s="48" t="str">
        <f t="shared" si="3"/>
        <v>No</v>
      </c>
      <c r="AF40" s="48"/>
      <c r="AG40" s="49"/>
      <c r="AH40" s="49"/>
      <c r="AI40" s="49"/>
      <c r="AJ40" s="50" t="str">
        <f t="shared" si="2"/>
        <v>Pending</v>
      </c>
      <c r="AK40" s="49"/>
      <c r="AL40" s="49"/>
    </row>
    <row r="41" ht="15.75" customHeight="1">
      <c r="A41" s="31">
        <v>40.0</v>
      </c>
      <c r="B41" s="31">
        <v>28.0</v>
      </c>
      <c r="C41" s="31"/>
      <c r="D41" s="31" t="s">
        <v>305</v>
      </c>
      <c r="E41" s="31"/>
      <c r="F41" s="31">
        <v>1.0</v>
      </c>
      <c r="G41" s="36"/>
      <c r="H41" s="36"/>
      <c r="I41" s="36"/>
      <c r="J41" s="36"/>
      <c r="K41" s="36"/>
      <c r="L41" s="36"/>
      <c r="M41" s="44"/>
      <c r="N41" s="44"/>
      <c r="O41" s="44"/>
      <c r="P41" s="44"/>
      <c r="Q41" s="44"/>
      <c r="R41" s="44"/>
      <c r="S41" s="36"/>
      <c r="T41" s="36"/>
      <c r="U41" s="36"/>
      <c r="V41" s="36"/>
      <c r="W41" s="36"/>
      <c r="X41" s="36"/>
      <c r="Y41" s="54"/>
      <c r="Z41" s="54"/>
      <c r="AA41" s="54"/>
      <c r="AB41" s="54"/>
      <c r="AC41" s="54"/>
      <c r="AD41" s="54"/>
      <c r="AE41" s="48" t="str">
        <f t="shared" si="3"/>
        <v>No</v>
      </c>
      <c r="AF41" s="48"/>
      <c r="AG41" s="49"/>
      <c r="AH41" s="49"/>
      <c r="AI41" s="49"/>
      <c r="AJ41" s="50" t="str">
        <f t="shared" si="2"/>
        <v>Pending</v>
      </c>
      <c r="AK41" s="49"/>
      <c r="AL41" s="49"/>
    </row>
    <row r="42" ht="15.75" customHeight="1">
      <c r="A42" s="31">
        <v>41.0</v>
      </c>
      <c r="B42" s="31">
        <v>29.0</v>
      </c>
      <c r="C42" s="31"/>
      <c r="D42" s="31" t="s">
        <v>307</v>
      </c>
      <c r="E42" s="31"/>
      <c r="F42" s="31">
        <v>3.0</v>
      </c>
      <c r="G42" s="36"/>
      <c r="H42" s="36"/>
      <c r="I42" s="36"/>
      <c r="J42" s="36"/>
      <c r="K42" s="36"/>
      <c r="L42" s="36"/>
      <c r="M42" s="44"/>
      <c r="N42" s="44"/>
      <c r="O42" s="44"/>
      <c r="P42" s="44"/>
      <c r="Q42" s="44"/>
      <c r="R42" s="44"/>
      <c r="S42" s="36"/>
      <c r="T42" s="36"/>
      <c r="U42" s="36"/>
      <c r="V42" s="36"/>
      <c r="W42" s="36"/>
      <c r="X42" s="36"/>
      <c r="Y42" s="54"/>
      <c r="Z42" s="54"/>
      <c r="AA42" s="54"/>
      <c r="AB42" s="54"/>
      <c r="AC42" s="54"/>
      <c r="AD42" s="54"/>
      <c r="AE42" s="48" t="str">
        <f t="shared" si="3"/>
        <v>No</v>
      </c>
      <c r="AF42" s="48"/>
      <c r="AG42" s="49"/>
      <c r="AH42" s="49"/>
      <c r="AI42" s="49"/>
      <c r="AJ42" s="50" t="str">
        <f t="shared" si="2"/>
        <v>Pending</v>
      </c>
      <c r="AK42" s="49"/>
      <c r="AL42" s="49"/>
    </row>
    <row r="43" ht="15.75" customHeight="1">
      <c r="A43" s="31">
        <v>42.0</v>
      </c>
      <c r="B43" s="31">
        <v>30.0</v>
      </c>
      <c r="C43" s="31"/>
      <c r="D43" s="31" t="s">
        <v>309</v>
      </c>
      <c r="E43" s="31"/>
      <c r="F43" s="31">
        <v>1.0</v>
      </c>
      <c r="G43" s="36"/>
      <c r="H43" s="36"/>
      <c r="I43" s="36"/>
      <c r="J43" s="36"/>
      <c r="K43" s="36"/>
      <c r="L43" s="36"/>
      <c r="M43" s="44"/>
      <c r="N43" s="44"/>
      <c r="O43" s="44"/>
      <c r="P43" s="44"/>
      <c r="Q43" s="44"/>
      <c r="R43" s="44"/>
      <c r="S43" s="36"/>
      <c r="T43" s="36"/>
      <c r="U43" s="36"/>
      <c r="V43" s="36"/>
      <c r="W43" s="36"/>
      <c r="X43" s="36"/>
      <c r="Y43" s="54"/>
      <c r="Z43" s="54"/>
      <c r="AA43" s="54"/>
      <c r="AB43" s="54"/>
      <c r="AC43" s="54"/>
      <c r="AD43" s="54"/>
      <c r="AE43" s="48" t="str">
        <f t="shared" si="3"/>
        <v>No</v>
      </c>
      <c r="AF43" s="48"/>
      <c r="AG43" s="49"/>
      <c r="AH43" s="49"/>
      <c r="AI43" s="49"/>
      <c r="AJ43" s="50" t="str">
        <f t="shared" si="2"/>
        <v>Pending</v>
      </c>
      <c r="AK43" s="49"/>
      <c r="AL43" s="49"/>
    </row>
    <row r="44" ht="15.75" customHeight="1">
      <c r="A44" s="31">
        <v>43.0</v>
      </c>
      <c r="B44" s="31">
        <v>31.0</v>
      </c>
      <c r="C44" s="31"/>
      <c r="D44" s="31" t="s">
        <v>311</v>
      </c>
      <c r="E44" s="31"/>
      <c r="F44" s="31">
        <v>1.0</v>
      </c>
      <c r="G44" s="36"/>
      <c r="H44" s="36"/>
      <c r="I44" s="36"/>
      <c r="J44" s="36"/>
      <c r="K44" s="36"/>
      <c r="L44" s="36"/>
      <c r="M44" s="44"/>
      <c r="N44" s="44"/>
      <c r="O44" s="44"/>
      <c r="P44" s="44"/>
      <c r="Q44" s="44"/>
      <c r="R44" s="44"/>
      <c r="S44" s="36"/>
      <c r="T44" s="36"/>
      <c r="U44" s="36"/>
      <c r="V44" s="36"/>
      <c r="W44" s="36"/>
      <c r="X44" s="36"/>
      <c r="Y44" s="54"/>
      <c r="Z44" s="54"/>
      <c r="AA44" s="54"/>
      <c r="AB44" s="54"/>
      <c r="AC44" s="54"/>
      <c r="AD44" s="54"/>
      <c r="AE44" s="48" t="str">
        <f t="shared" si="3"/>
        <v>No</v>
      </c>
      <c r="AF44" s="48"/>
      <c r="AG44" s="49"/>
      <c r="AH44" s="49"/>
      <c r="AI44" s="49"/>
      <c r="AJ44" s="50" t="str">
        <f t="shared" si="2"/>
        <v>Pending</v>
      </c>
      <c r="AK44" s="49"/>
      <c r="AL44" s="49"/>
    </row>
    <row r="45" ht="15.75" customHeight="1">
      <c r="A45" s="31">
        <v>44.0</v>
      </c>
      <c r="B45" s="31">
        <v>32.0</v>
      </c>
      <c r="C45" s="31"/>
      <c r="D45" s="31" t="s">
        <v>313</v>
      </c>
      <c r="E45" s="31"/>
      <c r="F45" s="31">
        <v>1.0</v>
      </c>
      <c r="G45" s="36"/>
      <c r="H45" s="36"/>
      <c r="I45" s="36"/>
      <c r="J45" s="36"/>
      <c r="K45" s="36"/>
      <c r="L45" s="36"/>
      <c r="M45" s="44"/>
      <c r="N45" s="44"/>
      <c r="O45" s="44"/>
      <c r="P45" s="44"/>
      <c r="Q45" s="44"/>
      <c r="R45" s="44"/>
      <c r="S45" s="36"/>
      <c r="T45" s="36"/>
      <c r="U45" s="36"/>
      <c r="V45" s="36"/>
      <c r="W45" s="36"/>
      <c r="X45" s="36"/>
      <c r="Y45" s="54"/>
      <c r="Z45" s="54"/>
      <c r="AA45" s="54"/>
      <c r="AB45" s="54"/>
      <c r="AC45" s="54"/>
      <c r="AD45" s="54"/>
      <c r="AE45" s="48" t="str">
        <f t="shared" si="3"/>
        <v>No</v>
      </c>
      <c r="AF45" s="48"/>
      <c r="AG45" s="49"/>
      <c r="AH45" s="49"/>
      <c r="AI45" s="49"/>
      <c r="AJ45" s="50" t="str">
        <f t="shared" si="2"/>
        <v>Pending</v>
      </c>
      <c r="AK45" s="49"/>
      <c r="AL45" s="49"/>
    </row>
    <row r="46" ht="15.75" customHeight="1">
      <c r="A46" s="31">
        <v>45.0</v>
      </c>
      <c r="B46" s="31">
        <v>33.0</v>
      </c>
      <c r="C46" s="31"/>
      <c r="D46" s="31" t="s">
        <v>315</v>
      </c>
      <c r="E46" s="31"/>
      <c r="F46" s="31">
        <v>1.0</v>
      </c>
      <c r="G46" s="36"/>
      <c r="H46" s="36"/>
      <c r="I46" s="36"/>
      <c r="J46" s="36"/>
      <c r="K46" s="36"/>
      <c r="L46" s="36"/>
      <c r="M46" s="44"/>
      <c r="N46" s="44"/>
      <c r="O46" s="44"/>
      <c r="P46" s="44"/>
      <c r="Q46" s="44"/>
      <c r="R46" s="44"/>
      <c r="S46" s="36"/>
      <c r="T46" s="36"/>
      <c r="U46" s="36"/>
      <c r="V46" s="36"/>
      <c r="W46" s="36"/>
      <c r="X46" s="36"/>
      <c r="Y46" s="54"/>
      <c r="Z46" s="54"/>
      <c r="AA46" s="54"/>
      <c r="AB46" s="54"/>
      <c r="AC46" s="54"/>
      <c r="AD46" s="54"/>
      <c r="AE46" s="48" t="str">
        <f t="shared" si="3"/>
        <v>No</v>
      </c>
      <c r="AF46" s="48"/>
      <c r="AG46" s="49"/>
      <c r="AH46" s="49"/>
      <c r="AI46" s="49"/>
      <c r="AJ46" s="50" t="str">
        <f t="shared" si="2"/>
        <v>Pending</v>
      </c>
      <c r="AK46" s="49"/>
      <c r="AL46" s="49"/>
    </row>
    <row r="47" ht="15.75" customHeight="1">
      <c r="A47" s="31">
        <v>46.0</v>
      </c>
      <c r="B47" s="31">
        <v>34.0</v>
      </c>
      <c r="C47" s="31"/>
      <c r="D47" s="31" t="s">
        <v>319</v>
      </c>
      <c r="E47" s="31"/>
      <c r="F47" s="31">
        <v>1.0</v>
      </c>
      <c r="G47" s="36"/>
      <c r="H47" s="36"/>
      <c r="I47" s="36"/>
      <c r="J47" s="36"/>
      <c r="K47" s="36"/>
      <c r="L47" s="36"/>
      <c r="M47" s="44"/>
      <c r="N47" s="44"/>
      <c r="O47" s="44"/>
      <c r="P47" s="44"/>
      <c r="Q47" s="44"/>
      <c r="R47" s="44"/>
      <c r="S47" s="36"/>
      <c r="T47" s="36"/>
      <c r="U47" s="36"/>
      <c r="V47" s="36"/>
      <c r="W47" s="36"/>
      <c r="X47" s="36"/>
      <c r="Y47" s="54"/>
      <c r="Z47" s="54"/>
      <c r="AA47" s="54"/>
      <c r="AB47" s="54"/>
      <c r="AC47" s="54"/>
      <c r="AD47" s="54"/>
      <c r="AE47" s="48" t="str">
        <f t="shared" si="3"/>
        <v>No</v>
      </c>
      <c r="AF47" s="48"/>
      <c r="AG47" s="49"/>
      <c r="AH47" s="49"/>
      <c r="AI47" s="49"/>
      <c r="AJ47" s="50" t="str">
        <f t="shared" si="2"/>
        <v>Pending</v>
      </c>
      <c r="AK47" s="49"/>
      <c r="AL47" s="49"/>
    </row>
    <row r="48" ht="15.75" customHeight="1">
      <c r="A48" s="31">
        <v>47.0</v>
      </c>
      <c r="B48" s="31">
        <v>35.0</v>
      </c>
      <c r="C48" s="31"/>
      <c r="D48" s="31" t="s">
        <v>327</v>
      </c>
      <c r="E48" s="31"/>
      <c r="F48" s="31">
        <v>1.0</v>
      </c>
      <c r="G48" s="36"/>
      <c r="H48" s="36"/>
      <c r="I48" s="36"/>
      <c r="J48" s="36"/>
      <c r="K48" s="36"/>
      <c r="L48" s="36"/>
      <c r="M48" s="44"/>
      <c r="N48" s="44"/>
      <c r="O48" s="44"/>
      <c r="P48" s="44"/>
      <c r="Q48" s="44"/>
      <c r="R48" s="44"/>
      <c r="S48" s="36"/>
      <c r="T48" s="36"/>
      <c r="U48" s="36"/>
      <c r="V48" s="36"/>
      <c r="W48" s="36"/>
      <c r="X48" s="36"/>
      <c r="Y48" s="54"/>
      <c r="Z48" s="54"/>
      <c r="AA48" s="54"/>
      <c r="AB48" s="54"/>
      <c r="AC48" s="54"/>
      <c r="AD48" s="54"/>
      <c r="AE48" s="48" t="str">
        <f t="shared" si="3"/>
        <v>No</v>
      </c>
      <c r="AF48" s="48"/>
      <c r="AG48" s="49"/>
      <c r="AH48" s="49"/>
      <c r="AI48" s="49"/>
      <c r="AJ48" s="50" t="str">
        <f t="shared" si="2"/>
        <v>Pending</v>
      </c>
      <c r="AK48" s="49"/>
      <c r="AL48" s="49"/>
    </row>
    <row r="49" ht="15.75" customHeight="1">
      <c r="A49" s="31">
        <v>48.0</v>
      </c>
      <c r="B49" s="31">
        <v>36.0</v>
      </c>
      <c r="C49" s="31"/>
      <c r="D49" s="31" t="s">
        <v>335</v>
      </c>
      <c r="E49" s="31"/>
      <c r="F49" s="31">
        <v>2.0</v>
      </c>
      <c r="G49" s="36"/>
      <c r="H49" s="36"/>
      <c r="I49" s="36"/>
      <c r="J49" s="36"/>
      <c r="K49" s="36"/>
      <c r="L49" s="36"/>
      <c r="M49" s="44"/>
      <c r="N49" s="44"/>
      <c r="O49" s="44"/>
      <c r="P49" s="44"/>
      <c r="Q49" s="44"/>
      <c r="R49" s="44"/>
      <c r="S49" s="36"/>
      <c r="T49" s="36"/>
      <c r="U49" s="36"/>
      <c r="V49" s="36"/>
      <c r="W49" s="36"/>
      <c r="X49" s="36"/>
      <c r="Y49" s="54"/>
      <c r="Z49" s="54"/>
      <c r="AA49" s="54"/>
      <c r="AB49" s="54"/>
      <c r="AC49" s="54"/>
      <c r="AD49" s="54"/>
      <c r="AE49" s="48" t="str">
        <f t="shared" si="3"/>
        <v>No</v>
      </c>
      <c r="AF49" s="48"/>
      <c r="AG49" s="49"/>
      <c r="AH49" s="49"/>
      <c r="AI49" s="49"/>
      <c r="AJ49" s="50" t="str">
        <f t="shared" si="2"/>
        <v>Pending</v>
      </c>
      <c r="AK49" s="49"/>
      <c r="AL49" s="49"/>
    </row>
    <row r="50" ht="15.75" customHeight="1">
      <c r="A50" s="31">
        <v>49.0</v>
      </c>
      <c r="B50" s="31">
        <v>37.0</v>
      </c>
      <c r="C50" s="31"/>
      <c r="D50" s="31" t="s">
        <v>341</v>
      </c>
      <c r="E50" s="31"/>
      <c r="F50" s="31">
        <v>2.0</v>
      </c>
      <c r="G50" s="36"/>
      <c r="H50" s="36"/>
      <c r="I50" s="36"/>
      <c r="J50" s="36"/>
      <c r="K50" s="36"/>
      <c r="L50" s="36"/>
      <c r="M50" s="44"/>
      <c r="N50" s="44"/>
      <c r="O50" s="44"/>
      <c r="P50" s="44"/>
      <c r="Q50" s="44"/>
      <c r="R50" s="44"/>
      <c r="S50" s="36"/>
      <c r="T50" s="36"/>
      <c r="U50" s="36"/>
      <c r="V50" s="36"/>
      <c r="W50" s="36"/>
      <c r="X50" s="36"/>
      <c r="Y50" s="54"/>
      <c r="Z50" s="54"/>
      <c r="AA50" s="54"/>
      <c r="AB50" s="54"/>
      <c r="AC50" s="54"/>
      <c r="AD50" s="54"/>
      <c r="AE50" s="48" t="str">
        <f t="shared" si="3"/>
        <v>No</v>
      </c>
      <c r="AF50" s="48"/>
      <c r="AG50" s="49"/>
      <c r="AH50" s="49"/>
      <c r="AI50" s="49"/>
      <c r="AJ50" s="50" t="str">
        <f t="shared" si="2"/>
        <v>Pending</v>
      </c>
      <c r="AK50" s="49"/>
      <c r="AL50" s="49"/>
    </row>
    <row r="51" ht="15.75" customHeight="1">
      <c r="A51" s="31">
        <v>50.0</v>
      </c>
      <c r="B51" s="31">
        <v>38.0</v>
      </c>
      <c r="C51" s="31"/>
      <c r="D51" s="31" t="s">
        <v>349</v>
      </c>
      <c r="E51" s="31"/>
      <c r="F51" s="31">
        <v>2.0</v>
      </c>
      <c r="G51" s="36"/>
      <c r="H51" s="36"/>
      <c r="I51" s="36"/>
      <c r="J51" s="36"/>
      <c r="K51" s="36"/>
      <c r="L51" s="36"/>
      <c r="M51" s="44"/>
      <c r="N51" s="44"/>
      <c r="O51" s="44"/>
      <c r="P51" s="44"/>
      <c r="Q51" s="44"/>
      <c r="R51" s="44"/>
      <c r="S51" s="36"/>
      <c r="T51" s="36"/>
      <c r="U51" s="36"/>
      <c r="V51" s="36"/>
      <c r="W51" s="36"/>
      <c r="X51" s="36"/>
      <c r="Y51" s="54"/>
      <c r="Z51" s="54"/>
      <c r="AA51" s="54"/>
      <c r="AB51" s="54"/>
      <c r="AC51" s="54"/>
      <c r="AD51" s="54"/>
      <c r="AE51" s="48" t="str">
        <f t="shared" si="3"/>
        <v>No</v>
      </c>
      <c r="AF51" s="48"/>
      <c r="AG51" s="49"/>
      <c r="AH51" s="49"/>
      <c r="AI51" s="49"/>
      <c r="AJ51" s="50" t="str">
        <f t="shared" si="2"/>
        <v>Pending</v>
      </c>
      <c r="AK51" s="49"/>
      <c r="AL51" s="49"/>
    </row>
    <row r="52" ht="15.75" customHeight="1">
      <c r="A52" s="31">
        <v>51.0</v>
      </c>
      <c r="B52" s="31">
        <v>39.0</v>
      </c>
      <c r="C52" s="31"/>
      <c r="D52" s="31" t="s">
        <v>353</v>
      </c>
      <c r="E52" s="31"/>
      <c r="F52" s="31">
        <v>3.0</v>
      </c>
      <c r="G52" s="36"/>
      <c r="H52" s="36"/>
      <c r="I52" s="36"/>
      <c r="J52" s="36"/>
      <c r="K52" s="36"/>
      <c r="L52" s="36"/>
      <c r="M52" s="44"/>
      <c r="N52" s="44"/>
      <c r="O52" s="44"/>
      <c r="P52" s="44"/>
      <c r="Q52" s="44"/>
      <c r="R52" s="44"/>
      <c r="S52" s="36"/>
      <c r="T52" s="36"/>
      <c r="U52" s="36"/>
      <c r="V52" s="36"/>
      <c r="W52" s="36"/>
      <c r="X52" s="36"/>
      <c r="Y52" s="54"/>
      <c r="Z52" s="54"/>
      <c r="AA52" s="54"/>
      <c r="AB52" s="54"/>
      <c r="AC52" s="54"/>
      <c r="AD52" s="54"/>
      <c r="AE52" s="48" t="str">
        <f t="shared" si="3"/>
        <v>No</v>
      </c>
      <c r="AF52" s="48"/>
      <c r="AG52" s="49"/>
      <c r="AH52" s="49"/>
      <c r="AI52" s="49"/>
      <c r="AJ52" s="50" t="str">
        <f t="shared" si="2"/>
        <v>Pending</v>
      </c>
      <c r="AK52" s="49"/>
      <c r="AL52" s="49"/>
    </row>
    <row r="53" ht="15.75" customHeight="1">
      <c r="G53" s="85"/>
      <c r="H53" s="85"/>
      <c r="I53" s="85"/>
      <c r="J53" s="85"/>
      <c r="K53" s="85"/>
      <c r="L53" s="85"/>
      <c r="M53" s="86"/>
      <c r="N53" s="86"/>
      <c r="O53" s="86"/>
      <c r="P53" s="86"/>
      <c r="Q53" s="86"/>
      <c r="R53" s="86"/>
      <c r="S53" s="85"/>
      <c r="T53" s="85"/>
      <c r="U53" s="85"/>
      <c r="V53" s="85"/>
      <c r="W53" s="85"/>
      <c r="X53" s="85"/>
      <c r="Y53" s="87"/>
      <c r="Z53" s="87"/>
      <c r="AA53" s="87"/>
      <c r="AB53" s="87"/>
      <c r="AC53" s="87"/>
      <c r="AD53" s="87"/>
    </row>
    <row r="54" ht="15.75" customHeight="1">
      <c r="G54" s="85"/>
      <c r="H54" s="85"/>
      <c r="I54" s="85"/>
      <c r="J54" s="85"/>
      <c r="K54" s="85"/>
      <c r="L54" s="85"/>
      <c r="M54" s="86"/>
      <c r="N54" s="86"/>
      <c r="O54" s="86"/>
      <c r="P54" s="86"/>
      <c r="Q54" s="86"/>
      <c r="R54" s="86"/>
      <c r="S54" s="85"/>
      <c r="T54" s="85"/>
      <c r="U54" s="85"/>
      <c r="V54" s="85"/>
      <c r="W54" s="85"/>
      <c r="X54" s="85"/>
      <c r="Y54" s="87"/>
      <c r="Z54" s="87"/>
      <c r="AA54" s="87"/>
      <c r="AB54" s="87"/>
      <c r="AC54" s="87"/>
      <c r="AD54" s="87"/>
    </row>
    <row r="55" ht="15.75" customHeight="1">
      <c r="G55" s="85"/>
      <c r="H55" s="85"/>
      <c r="I55" s="85"/>
      <c r="J55" s="85"/>
      <c r="K55" s="85"/>
      <c r="L55" s="85"/>
      <c r="M55" s="86"/>
      <c r="N55" s="86"/>
      <c r="O55" s="86"/>
      <c r="P55" s="86"/>
      <c r="Q55" s="86"/>
      <c r="R55" s="86"/>
      <c r="S55" s="85"/>
      <c r="T55" s="85"/>
      <c r="U55" s="85"/>
      <c r="V55" s="85"/>
      <c r="W55" s="85"/>
      <c r="X55" s="85"/>
      <c r="Y55" s="87"/>
      <c r="Z55" s="87"/>
      <c r="AA55" s="87"/>
      <c r="AB55" s="87"/>
      <c r="AC55" s="87"/>
      <c r="AD55" s="87"/>
    </row>
    <row r="56" ht="15.75" customHeight="1">
      <c r="G56" s="85"/>
      <c r="H56" s="85"/>
      <c r="I56" s="85"/>
      <c r="J56" s="85"/>
      <c r="K56" s="85"/>
      <c r="L56" s="85"/>
      <c r="M56" s="86"/>
      <c r="N56" s="86"/>
      <c r="O56" s="86"/>
      <c r="P56" s="86"/>
      <c r="Q56" s="86"/>
      <c r="R56" s="86"/>
      <c r="S56" s="85"/>
      <c r="T56" s="85"/>
      <c r="U56" s="85"/>
      <c r="V56" s="85"/>
      <c r="W56" s="85"/>
      <c r="X56" s="85"/>
      <c r="Y56" s="87"/>
      <c r="Z56" s="87"/>
      <c r="AA56" s="87"/>
      <c r="AB56" s="87"/>
      <c r="AC56" s="87"/>
      <c r="AD56" s="87"/>
    </row>
    <row r="57" ht="15.75" customHeight="1">
      <c r="G57" s="85"/>
      <c r="H57" s="85"/>
      <c r="I57" s="85"/>
      <c r="J57" s="85"/>
      <c r="K57" s="85"/>
      <c r="L57" s="85"/>
      <c r="M57" s="86"/>
      <c r="N57" s="86"/>
      <c r="O57" s="86"/>
      <c r="P57" s="86"/>
      <c r="Q57" s="86"/>
      <c r="R57" s="86"/>
      <c r="S57" s="85"/>
      <c r="T57" s="85"/>
      <c r="U57" s="85"/>
      <c r="V57" s="85"/>
      <c r="W57" s="85"/>
      <c r="X57" s="85"/>
      <c r="Y57" s="87"/>
      <c r="Z57" s="87"/>
      <c r="AA57" s="87"/>
      <c r="AB57" s="87"/>
      <c r="AC57" s="87"/>
      <c r="AD57" s="87"/>
    </row>
    <row r="58" ht="15.75" customHeight="1">
      <c r="G58" s="85"/>
      <c r="H58" s="85"/>
      <c r="I58" s="85"/>
      <c r="J58" s="85"/>
      <c r="K58" s="85"/>
      <c r="L58" s="85"/>
      <c r="M58" s="86"/>
      <c r="N58" s="86"/>
      <c r="O58" s="86"/>
      <c r="P58" s="86"/>
      <c r="Q58" s="86"/>
      <c r="R58" s="86"/>
      <c r="S58" s="85"/>
      <c r="T58" s="85"/>
      <c r="U58" s="85"/>
      <c r="V58" s="85"/>
      <c r="W58" s="85"/>
      <c r="X58" s="85"/>
      <c r="Y58" s="87"/>
      <c r="Z58" s="87"/>
      <c r="AA58" s="87"/>
      <c r="AB58" s="87"/>
      <c r="AC58" s="87"/>
      <c r="AD58" s="87"/>
    </row>
    <row r="59" ht="15.75" customHeight="1">
      <c r="G59" s="85"/>
      <c r="H59" s="85"/>
      <c r="I59" s="85"/>
      <c r="J59" s="85"/>
      <c r="K59" s="85"/>
      <c r="L59" s="85"/>
      <c r="M59" s="86"/>
      <c r="N59" s="86"/>
      <c r="O59" s="86"/>
      <c r="P59" s="86"/>
      <c r="Q59" s="86"/>
      <c r="R59" s="86"/>
      <c r="S59" s="85"/>
      <c r="T59" s="85"/>
      <c r="U59" s="85"/>
      <c r="V59" s="85"/>
      <c r="W59" s="85"/>
      <c r="X59" s="85"/>
      <c r="Y59" s="87"/>
      <c r="Z59" s="87"/>
      <c r="AA59" s="87"/>
      <c r="AB59" s="87"/>
      <c r="AC59" s="87"/>
      <c r="AD59" s="87"/>
    </row>
    <row r="60" ht="15.75" customHeight="1">
      <c r="G60" s="85"/>
      <c r="H60" s="85"/>
      <c r="I60" s="85"/>
      <c r="J60" s="85"/>
      <c r="K60" s="85"/>
      <c r="L60" s="85"/>
      <c r="M60" s="86"/>
      <c r="N60" s="86"/>
      <c r="O60" s="86"/>
      <c r="P60" s="86"/>
      <c r="Q60" s="86"/>
      <c r="R60" s="86"/>
      <c r="S60" s="85"/>
      <c r="T60" s="85"/>
      <c r="U60" s="85"/>
      <c r="V60" s="85"/>
      <c r="W60" s="85"/>
      <c r="X60" s="85"/>
      <c r="Y60" s="87"/>
      <c r="Z60" s="87"/>
      <c r="AA60" s="87"/>
      <c r="AB60" s="87"/>
      <c r="AC60" s="87"/>
      <c r="AD60" s="87"/>
    </row>
    <row r="61" ht="15.75" customHeight="1">
      <c r="G61" s="85"/>
      <c r="H61" s="85"/>
      <c r="I61" s="85"/>
      <c r="J61" s="85"/>
      <c r="K61" s="85"/>
      <c r="L61" s="85"/>
      <c r="M61" s="86"/>
      <c r="N61" s="86"/>
      <c r="O61" s="86"/>
      <c r="P61" s="86"/>
      <c r="Q61" s="86"/>
      <c r="R61" s="86"/>
      <c r="S61" s="85"/>
      <c r="T61" s="85"/>
      <c r="U61" s="85"/>
      <c r="V61" s="85"/>
      <c r="W61" s="85"/>
      <c r="X61" s="85"/>
      <c r="Y61" s="87"/>
      <c r="Z61" s="87"/>
      <c r="AA61" s="87"/>
      <c r="AB61" s="87"/>
      <c r="AC61" s="87"/>
      <c r="AD61" s="87"/>
    </row>
    <row r="62" ht="15.75" customHeight="1">
      <c r="G62" s="85"/>
      <c r="H62" s="85"/>
      <c r="I62" s="85"/>
      <c r="J62" s="85"/>
      <c r="K62" s="85"/>
      <c r="L62" s="85"/>
      <c r="M62" s="86"/>
      <c r="N62" s="86"/>
      <c r="O62" s="86"/>
      <c r="P62" s="86"/>
      <c r="Q62" s="86"/>
      <c r="R62" s="86"/>
      <c r="S62" s="85"/>
      <c r="T62" s="85"/>
      <c r="U62" s="85"/>
      <c r="V62" s="85"/>
      <c r="W62" s="85"/>
      <c r="X62" s="85"/>
      <c r="Y62" s="87"/>
      <c r="Z62" s="87"/>
      <c r="AA62" s="87"/>
      <c r="AB62" s="87"/>
      <c r="AC62" s="87"/>
      <c r="AD62" s="87"/>
    </row>
    <row r="63" ht="15.75" customHeight="1">
      <c r="G63" s="85"/>
      <c r="H63" s="85"/>
      <c r="I63" s="85"/>
      <c r="J63" s="85"/>
      <c r="K63" s="85"/>
      <c r="L63" s="85"/>
      <c r="M63" s="86"/>
      <c r="N63" s="86"/>
      <c r="O63" s="86"/>
      <c r="P63" s="86"/>
      <c r="Q63" s="86"/>
      <c r="R63" s="86"/>
      <c r="S63" s="85"/>
      <c r="T63" s="85"/>
      <c r="U63" s="85"/>
      <c r="V63" s="85"/>
      <c r="W63" s="85"/>
      <c r="X63" s="85"/>
      <c r="Y63" s="87"/>
      <c r="Z63" s="87"/>
      <c r="AA63" s="87"/>
      <c r="AB63" s="87"/>
      <c r="AC63" s="87"/>
      <c r="AD63" s="87"/>
    </row>
    <row r="64" ht="15.75" customHeight="1">
      <c r="G64" s="85"/>
      <c r="H64" s="85"/>
      <c r="I64" s="85"/>
      <c r="J64" s="85"/>
      <c r="K64" s="85"/>
      <c r="L64" s="85"/>
      <c r="M64" s="86"/>
      <c r="N64" s="86"/>
      <c r="O64" s="86"/>
      <c r="P64" s="86"/>
      <c r="Q64" s="86"/>
      <c r="R64" s="86"/>
      <c r="S64" s="85"/>
      <c r="T64" s="85"/>
      <c r="U64" s="85"/>
      <c r="V64" s="85"/>
      <c r="W64" s="85"/>
      <c r="X64" s="85"/>
      <c r="Y64" s="87"/>
      <c r="Z64" s="87"/>
      <c r="AA64" s="87"/>
      <c r="AB64" s="87"/>
      <c r="AC64" s="87"/>
      <c r="AD64" s="87"/>
    </row>
    <row r="65" ht="15.75" customHeight="1">
      <c r="G65" s="85"/>
      <c r="H65" s="85"/>
      <c r="I65" s="85"/>
      <c r="J65" s="85"/>
      <c r="K65" s="85"/>
      <c r="L65" s="85"/>
      <c r="M65" s="86"/>
      <c r="N65" s="86"/>
      <c r="O65" s="86"/>
      <c r="P65" s="86"/>
      <c r="Q65" s="86"/>
      <c r="R65" s="86"/>
      <c r="S65" s="85"/>
      <c r="T65" s="85"/>
      <c r="U65" s="85"/>
      <c r="V65" s="85"/>
      <c r="W65" s="85"/>
      <c r="X65" s="85"/>
      <c r="Y65" s="87"/>
      <c r="Z65" s="87"/>
      <c r="AA65" s="87"/>
      <c r="AB65" s="87"/>
      <c r="AC65" s="87"/>
      <c r="AD65" s="87"/>
    </row>
    <row r="66" ht="15.75" customHeight="1">
      <c r="G66" s="85"/>
      <c r="H66" s="85"/>
      <c r="I66" s="85"/>
      <c r="J66" s="85"/>
      <c r="K66" s="85"/>
      <c r="L66" s="85"/>
      <c r="M66" s="86"/>
      <c r="N66" s="86"/>
      <c r="O66" s="86"/>
      <c r="P66" s="86"/>
      <c r="Q66" s="86"/>
      <c r="R66" s="86"/>
      <c r="S66" s="85"/>
      <c r="T66" s="85"/>
      <c r="U66" s="85"/>
      <c r="V66" s="85"/>
      <c r="W66" s="85"/>
      <c r="X66" s="85"/>
      <c r="Y66" s="87"/>
      <c r="Z66" s="87"/>
      <c r="AA66" s="87"/>
      <c r="AB66" s="87"/>
      <c r="AC66" s="87"/>
      <c r="AD66" s="87"/>
    </row>
    <row r="67" ht="15.75" customHeight="1">
      <c r="G67" s="85"/>
      <c r="H67" s="85"/>
      <c r="I67" s="85"/>
      <c r="J67" s="85"/>
      <c r="K67" s="85"/>
      <c r="L67" s="85"/>
      <c r="M67" s="86"/>
      <c r="N67" s="86"/>
      <c r="O67" s="86"/>
      <c r="P67" s="86"/>
      <c r="Q67" s="86"/>
      <c r="R67" s="86"/>
      <c r="S67" s="85"/>
      <c r="T67" s="85"/>
      <c r="U67" s="85"/>
      <c r="V67" s="85"/>
      <c r="W67" s="85"/>
      <c r="X67" s="85"/>
      <c r="Y67" s="87"/>
      <c r="Z67" s="87"/>
      <c r="AA67" s="87"/>
      <c r="AB67" s="87"/>
      <c r="AC67" s="87"/>
      <c r="AD67" s="87"/>
    </row>
    <row r="68" ht="15.75" customHeight="1">
      <c r="G68" s="85"/>
      <c r="H68" s="85"/>
      <c r="I68" s="85"/>
      <c r="J68" s="85"/>
      <c r="K68" s="85"/>
      <c r="L68" s="85"/>
      <c r="M68" s="86"/>
      <c r="N68" s="86"/>
      <c r="O68" s="86"/>
      <c r="P68" s="86"/>
      <c r="Q68" s="86"/>
      <c r="R68" s="86"/>
      <c r="S68" s="85"/>
      <c r="T68" s="85"/>
      <c r="U68" s="85"/>
      <c r="V68" s="85"/>
      <c r="W68" s="85"/>
      <c r="X68" s="85"/>
      <c r="Y68" s="87"/>
      <c r="Z68" s="87"/>
      <c r="AA68" s="87"/>
      <c r="AB68" s="87"/>
      <c r="AC68" s="87"/>
      <c r="AD68" s="87"/>
    </row>
    <row r="69" ht="15.75" customHeight="1">
      <c r="G69" s="85"/>
      <c r="H69" s="85"/>
      <c r="I69" s="85"/>
      <c r="J69" s="85"/>
      <c r="K69" s="85"/>
      <c r="L69" s="85"/>
      <c r="M69" s="86"/>
      <c r="N69" s="86"/>
      <c r="O69" s="86"/>
      <c r="P69" s="86"/>
      <c r="Q69" s="86"/>
      <c r="R69" s="86"/>
      <c r="S69" s="85"/>
      <c r="T69" s="85"/>
      <c r="U69" s="85"/>
      <c r="V69" s="85"/>
      <c r="W69" s="85"/>
      <c r="X69" s="85"/>
      <c r="Y69" s="87"/>
      <c r="Z69" s="87"/>
      <c r="AA69" s="87"/>
      <c r="AB69" s="87"/>
      <c r="AC69" s="87"/>
      <c r="AD69" s="87"/>
    </row>
    <row r="70" ht="15.75" customHeight="1">
      <c r="G70" s="85"/>
      <c r="H70" s="85"/>
      <c r="I70" s="85"/>
      <c r="J70" s="85"/>
      <c r="K70" s="85"/>
      <c r="L70" s="85"/>
      <c r="M70" s="86"/>
      <c r="N70" s="86"/>
      <c r="O70" s="86"/>
      <c r="P70" s="86"/>
      <c r="Q70" s="86"/>
      <c r="R70" s="86"/>
      <c r="S70" s="85"/>
      <c r="T70" s="85"/>
      <c r="U70" s="85"/>
      <c r="V70" s="85"/>
      <c r="W70" s="85"/>
      <c r="X70" s="85"/>
      <c r="Y70" s="87"/>
      <c r="Z70" s="87"/>
      <c r="AA70" s="87"/>
      <c r="AB70" s="87"/>
      <c r="AC70" s="87"/>
      <c r="AD70" s="87"/>
    </row>
    <row r="71" ht="15.75" customHeight="1">
      <c r="G71" s="85"/>
      <c r="H71" s="85"/>
      <c r="I71" s="85"/>
      <c r="J71" s="85"/>
      <c r="K71" s="85"/>
      <c r="L71" s="85"/>
      <c r="M71" s="86"/>
      <c r="N71" s="86"/>
      <c r="O71" s="86"/>
      <c r="P71" s="86"/>
      <c r="Q71" s="86"/>
      <c r="R71" s="86"/>
      <c r="S71" s="85"/>
      <c r="T71" s="85"/>
      <c r="U71" s="85"/>
      <c r="V71" s="85"/>
      <c r="W71" s="85"/>
      <c r="X71" s="85"/>
      <c r="Y71" s="87"/>
      <c r="Z71" s="87"/>
      <c r="AA71" s="87"/>
      <c r="AB71" s="87"/>
      <c r="AC71" s="87"/>
      <c r="AD71" s="87"/>
    </row>
    <row r="72" ht="15.75" customHeight="1">
      <c r="G72" s="85"/>
      <c r="H72" s="85"/>
      <c r="I72" s="85"/>
      <c r="J72" s="85"/>
      <c r="K72" s="85"/>
      <c r="L72" s="85"/>
      <c r="M72" s="86"/>
      <c r="N72" s="86"/>
      <c r="O72" s="86"/>
      <c r="P72" s="86"/>
      <c r="Q72" s="86"/>
      <c r="R72" s="86"/>
      <c r="S72" s="85"/>
      <c r="T72" s="85"/>
      <c r="U72" s="85"/>
      <c r="V72" s="85"/>
      <c r="W72" s="85"/>
      <c r="X72" s="85"/>
      <c r="Y72" s="87"/>
      <c r="Z72" s="87"/>
      <c r="AA72" s="87"/>
      <c r="AB72" s="87"/>
      <c r="AC72" s="87"/>
      <c r="AD72" s="87"/>
    </row>
    <row r="73" ht="15.75" customHeight="1">
      <c r="G73" s="85"/>
      <c r="H73" s="85"/>
      <c r="I73" s="85"/>
      <c r="J73" s="85"/>
      <c r="K73" s="85"/>
      <c r="L73" s="85"/>
      <c r="M73" s="86"/>
      <c r="N73" s="86"/>
      <c r="O73" s="86"/>
      <c r="P73" s="86"/>
      <c r="Q73" s="86"/>
      <c r="R73" s="86"/>
      <c r="S73" s="85"/>
      <c r="T73" s="85"/>
      <c r="U73" s="85"/>
      <c r="V73" s="85"/>
      <c r="W73" s="85"/>
      <c r="X73" s="85"/>
      <c r="Y73" s="87"/>
      <c r="Z73" s="87"/>
      <c r="AA73" s="87"/>
      <c r="AB73" s="87"/>
      <c r="AC73" s="87"/>
      <c r="AD73" s="87"/>
    </row>
    <row r="74" ht="15.75" customHeight="1">
      <c r="G74" s="85"/>
      <c r="H74" s="85"/>
      <c r="I74" s="85"/>
      <c r="J74" s="85"/>
      <c r="K74" s="85"/>
      <c r="L74" s="85"/>
      <c r="M74" s="86"/>
      <c r="N74" s="86"/>
      <c r="O74" s="86"/>
      <c r="P74" s="86"/>
      <c r="Q74" s="86"/>
      <c r="R74" s="86"/>
      <c r="S74" s="85"/>
      <c r="T74" s="85"/>
      <c r="U74" s="85"/>
      <c r="V74" s="85"/>
      <c r="W74" s="85"/>
      <c r="X74" s="85"/>
      <c r="Y74" s="87"/>
      <c r="Z74" s="87"/>
      <c r="AA74" s="87"/>
      <c r="AB74" s="87"/>
      <c r="AC74" s="87"/>
      <c r="AD74" s="87"/>
    </row>
    <row r="75" ht="15.75" customHeight="1">
      <c r="G75" s="85"/>
      <c r="H75" s="85"/>
      <c r="I75" s="85"/>
      <c r="J75" s="85"/>
      <c r="K75" s="85"/>
      <c r="L75" s="85"/>
      <c r="M75" s="86"/>
      <c r="N75" s="86"/>
      <c r="O75" s="86"/>
      <c r="P75" s="86"/>
      <c r="Q75" s="86"/>
      <c r="R75" s="86"/>
      <c r="S75" s="85"/>
      <c r="T75" s="85"/>
      <c r="U75" s="85"/>
      <c r="V75" s="85"/>
      <c r="W75" s="85"/>
      <c r="X75" s="85"/>
      <c r="Y75" s="87"/>
      <c r="Z75" s="87"/>
      <c r="AA75" s="87"/>
      <c r="AB75" s="87"/>
      <c r="AC75" s="87"/>
      <c r="AD75" s="87"/>
    </row>
    <row r="76" ht="15.75" customHeight="1">
      <c r="G76" s="85"/>
      <c r="H76" s="85"/>
      <c r="I76" s="85"/>
      <c r="J76" s="85"/>
      <c r="K76" s="85"/>
      <c r="L76" s="85"/>
      <c r="M76" s="86"/>
      <c r="N76" s="86"/>
      <c r="O76" s="86"/>
      <c r="P76" s="86"/>
      <c r="Q76" s="86"/>
      <c r="R76" s="86"/>
      <c r="S76" s="85"/>
      <c r="T76" s="85"/>
      <c r="U76" s="85"/>
      <c r="V76" s="85"/>
      <c r="W76" s="85"/>
      <c r="X76" s="85"/>
      <c r="Y76" s="87"/>
      <c r="Z76" s="87"/>
      <c r="AA76" s="87"/>
      <c r="AB76" s="87"/>
      <c r="AC76" s="87"/>
      <c r="AD76" s="87"/>
    </row>
    <row r="77" ht="15.75" customHeight="1">
      <c r="G77" s="85"/>
      <c r="H77" s="85"/>
      <c r="I77" s="85"/>
      <c r="J77" s="85"/>
      <c r="K77" s="85"/>
      <c r="L77" s="85"/>
      <c r="M77" s="86"/>
      <c r="N77" s="86"/>
      <c r="O77" s="86"/>
      <c r="P77" s="86"/>
      <c r="Q77" s="86"/>
      <c r="R77" s="86"/>
      <c r="S77" s="85"/>
      <c r="T77" s="85"/>
      <c r="U77" s="85"/>
      <c r="V77" s="85"/>
      <c r="W77" s="85"/>
      <c r="X77" s="85"/>
      <c r="Y77" s="87"/>
      <c r="Z77" s="87"/>
      <c r="AA77" s="87"/>
      <c r="AB77" s="87"/>
      <c r="AC77" s="87"/>
      <c r="AD77" s="87"/>
    </row>
    <row r="78" ht="15.75" customHeight="1">
      <c r="G78" s="85"/>
      <c r="H78" s="85"/>
      <c r="I78" s="85"/>
      <c r="J78" s="85"/>
      <c r="K78" s="85"/>
      <c r="L78" s="85"/>
      <c r="M78" s="86"/>
      <c r="N78" s="86"/>
      <c r="O78" s="86"/>
      <c r="P78" s="86"/>
      <c r="Q78" s="86"/>
      <c r="R78" s="86"/>
      <c r="S78" s="85"/>
      <c r="T78" s="85"/>
      <c r="U78" s="85"/>
      <c r="V78" s="85"/>
      <c r="W78" s="85"/>
      <c r="X78" s="85"/>
      <c r="Y78" s="87"/>
      <c r="Z78" s="87"/>
      <c r="AA78" s="87"/>
      <c r="AB78" s="87"/>
      <c r="AC78" s="87"/>
      <c r="AD78" s="87"/>
    </row>
    <row r="79" ht="15.75" customHeight="1">
      <c r="G79" s="85"/>
      <c r="H79" s="85"/>
      <c r="I79" s="85"/>
      <c r="J79" s="85"/>
      <c r="K79" s="85"/>
      <c r="L79" s="85"/>
      <c r="M79" s="86"/>
      <c r="N79" s="86"/>
      <c r="O79" s="86"/>
      <c r="P79" s="86"/>
      <c r="Q79" s="86"/>
      <c r="R79" s="86"/>
      <c r="S79" s="85"/>
      <c r="T79" s="85"/>
      <c r="U79" s="85"/>
      <c r="V79" s="85"/>
      <c r="W79" s="85"/>
      <c r="X79" s="85"/>
      <c r="Y79" s="87"/>
      <c r="Z79" s="87"/>
      <c r="AA79" s="87"/>
      <c r="AB79" s="87"/>
      <c r="AC79" s="87"/>
      <c r="AD79" s="87"/>
    </row>
    <row r="80" ht="15.75" customHeight="1">
      <c r="G80" s="85"/>
      <c r="H80" s="85"/>
      <c r="I80" s="85"/>
      <c r="J80" s="85"/>
      <c r="K80" s="85"/>
      <c r="L80" s="85"/>
      <c r="M80" s="86"/>
      <c r="N80" s="86"/>
      <c r="O80" s="86"/>
      <c r="P80" s="86"/>
      <c r="Q80" s="86"/>
      <c r="R80" s="86"/>
      <c r="S80" s="85"/>
      <c r="T80" s="85"/>
      <c r="U80" s="85"/>
      <c r="V80" s="85"/>
      <c r="W80" s="85"/>
      <c r="X80" s="85"/>
      <c r="Y80" s="87"/>
      <c r="Z80" s="87"/>
      <c r="AA80" s="87"/>
      <c r="AB80" s="87"/>
      <c r="AC80" s="87"/>
      <c r="AD80" s="87"/>
    </row>
    <row r="81" ht="15.75" customHeight="1">
      <c r="G81" s="85"/>
      <c r="H81" s="85"/>
      <c r="I81" s="85"/>
      <c r="J81" s="85"/>
      <c r="K81" s="85"/>
      <c r="L81" s="85"/>
      <c r="M81" s="86"/>
      <c r="N81" s="86"/>
      <c r="O81" s="86"/>
      <c r="P81" s="86"/>
      <c r="Q81" s="86"/>
      <c r="R81" s="86"/>
      <c r="S81" s="85"/>
      <c r="T81" s="85"/>
      <c r="U81" s="85"/>
      <c r="V81" s="85"/>
      <c r="W81" s="85"/>
      <c r="X81" s="85"/>
      <c r="Y81" s="87"/>
      <c r="Z81" s="87"/>
      <c r="AA81" s="87"/>
      <c r="AB81" s="87"/>
      <c r="AC81" s="87"/>
      <c r="AD81" s="87"/>
    </row>
    <row r="82" ht="15.75" customHeight="1">
      <c r="G82" s="85"/>
      <c r="H82" s="85"/>
      <c r="I82" s="85"/>
      <c r="J82" s="85"/>
      <c r="K82" s="85"/>
      <c r="L82" s="85"/>
      <c r="M82" s="86"/>
      <c r="N82" s="86"/>
      <c r="O82" s="86"/>
      <c r="P82" s="86"/>
      <c r="Q82" s="86"/>
      <c r="R82" s="86"/>
      <c r="S82" s="85"/>
      <c r="T82" s="85"/>
      <c r="U82" s="85"/>
      <c r="V82" s="85"/>
      <c r="W82" s="85"/>
      <c r="X82" s="85"/>
      <c r="Y82" s="87"/>
      <c r="Z82" s="87"/>
      <c r="AA82" s="87"/>
      <c r="AB82" s="87"/>
      <c r="AC82" s="87"/>
      <c r="AD82" s="87"/>
    </row>
    <row r="83" ht="15.75" customHeight="1">
      <c r="G83" s="85"/>
      <c r="H83" s="85"/>
      <c r="I83" s="85"/>
      <c r="J83" s="85"/>
      <c r="K83" s="85"/>
      <c r="L83" s="85"/>
      <c r="M83" s="86"/>
      <c r="N83" s="86"/>
      <c r="O83" s="86"/>
      <c r="P83" s="86"/>
      <c r="Q83" s="86"/>
      <c r="R83" s="86"/>
      <c r="S83" s="85"/>
      <c r="T83" s="85"/>
      <c r="U83" s="85"/>
      <c r="V83" s="85"/>
      <c r="W83" s="85"/>
      <c r="X83" s="85"/>
      <c r="Y83" s="87"/>
      <c r="Z83" s="87"/>
      <c r="AA83" s="87"/>
      <c r="AB83" s="87"/>
      <c r="AC83" s="87"/>
      <c r="AD83" s="87"/>
    </row>
    <row r="84" ht="15.75" customHeight="1">
      <c r="G84" s="85"/>
      <c r="H84" s="85"/>
      <c r="I84" s="85"/>
      <c r="J84" s="85"/>
      <c r="K84" s="85"/>
      <c r="L84" s="85"/>
      <c r="M84" s="86"/>
      <c r="N84" s="86"/>
      <c r="O84" s="86"/>
      <c r="P84" s="86"/>
      <c r="Q84" s="86"/>
      <c r="R84" s="86"/>
      <c r="S84" s="85"/>
      <c r="T84" s="85"/>
      <c r="U84" s="85"/>
      <c r="V84" s="85"/>
      <c r="W84" s="85"/>
      <c r="X84" s="85"/>
      <c r="Y84" s="87"/>
      <c r="Z84" s="87"/>
      <c r="AA84" s="87"/>
      <c r="AB84" s="87"/>
      <c r="AC84" s="87"/>
      <c r="AD84" s="87"/>
    </row>
    <row r="85" ht="15.75" customHeight="1">
      <c r="G85" s="85"/>
      <c r="H85" s="85"/>
      <c r="I85" s="85"/>
      <c r="J85" s="85"/>
      <c r="K85" s="85"/>
      <c r="L85" s="85"/>
      <c r="M85" s="86"/>
      <c r="N85" s="86"/>
      <c r="O85" s="86"/>
      <c r="P85" s="86"/>
      <c r="Q85" s="86"/>
      <c r="R85" s="86"/>
      <c r="S85" s="85"/>
      <c r="T85" s="85"/>
      <c r="U85" s="85"/>
      <c r="V85" s="85"/>
      <c r="W85" s="85"/>
      <c r="X85" s="85"/>
      <c r="Y85" s="87"/>
      <c r="Z85" s="87"/>
      <c r="AA85" s="87"/>
      <c r="AB85" s="87"/>
      <c r="AC85" s="87"/>
      <c r="AD85" s="87"/>
    </row>
    <row r="86" ht="15.75" customHeight="1">
      <c r="G86" s="85"/>
      <c r="H86" s="85"/>
      <c r="I86" s="85"/>
      <c r="J86" s="85"/>
      <c r="K86" s="85"/>
      <c r="L86" s="85"/>
      <c r="M86" s="86"/>
      <c r="N86" s="86"/>
      <c r="O86" s="86"/>
      <c r="P86" s="86"/>
      <c r="Q86" s="86"/>
      <c r="R86" s="86"/>
      <c r="S86" s="85"/>
      <c r="T86" s="85"/>
      <c r="U86" s="85"/>
      <c r="V86" s="85"/>
      <c r="W86" s="85"/>
      <c r="X86" s="85"/>
      <c r="Y86" s="87"/>
      <c r="Z86" s="87"/>
      <c r="AA86" s="87"/>
      <c r="AB86" s="87"/>
      <c r="AC86" s="87"/>
      <c r="AD86" s="87"/>
    </row>
    <row r="87" ht="15.75" customHeight="1">
      <c r="G87" s="85"/>
      <c r="H87" s="85"/>
      <c r="I87" s="85"/>
      <c r="J87" s="85"/>
      <c r="K87" s="85"/>
      <c r="L87" s="85"/>
      <c r="M87" s="86"/>
      <c r="N87" s="86"/>
      <c r="O87" s="86"/>
      <c r="P87" s="86"/>
      <c r="Q87" s="86"/>
      <c r="R87" s="86"/>
      <c r="S87" s="85"/>
      <c r="T87" s="85"/>
      <c r="U87" s="85"/>
      <c r="V87" s="85"/>
      <c r="W87" s="85"/>
      <c r="X87" s="85"/>
      <c r="Y87" s="87"/>
      <c r="Z87" s="87"/>
      <c r="AA87" s="87"/>
      <c r="AB87" s="87"/>
      <c r="AC87" s="87"/>
      <c r="AD87" s="87"/>
    </row>
    <row r="88" ht="15.75" customHeight="1">
      <c r="G88" s="85"/>
      <c r="H88" s="85"/>
      <c r="I88" s="85"/>
      <c r="J88" s="85"/>
      <c r="K88" s="85"/>
      <c r="L88" s="85"/>
      <c r="M88" s="86"/>
      <c r="N88" s="86"/>
      <c r="O88" s="86"/>
      <c r="P88" s="86"/>
      <c r="Q88" s="86"/>
      <c r="R88" s="86"/>
      <c r="S88" s="85"/>
      <c r="T88" s="85"/>
      <c r="U88" s="85"/>
      <c r="V88" s="85"/>
      <c r="W88" s="85"/>
      <c r="X88" s="85"/>
      <c r="Y88" s="87"/>
      <c r="Z88" s="87"/>
      <c r="AA88" s="87"/>
      <c r="AB88" s="87"/>
      <c r="AC88" s="87"/>
      <c r="AD88" s="87"/>
    </row>
    <row r="89" ht="15.75" customHeight="1">
      <c r="G89" s="85"/>
      <c r="H89" s="85"/>
      <c r="I89" s="85"/>
      <c r="J89" s="85"/>
      <c r="K89" s="85"/>
      <c r="L89" s="85"/>
      <c r="M89" s="86"/>
      <c r="N89" s="86"/>
      <c r="O89" s="86"/>
      <c r="P89" s="86"/>
      <c r="Q89" s="86"/>
      <c r="R89" s="86"/>
      <c r="S89" s="85"/>
      <c r="T89" s="85"/>
      <c r="U89" s="85"/>
      <c r="V89" s="85"/>
      <c r="W89" s="85"/>
      <c r="X89" s="85"/>
      <c r="Y89" s="87"/>
      <c r="Z89" s="87"/>
      <c r="AA89" s="87"/>
      <c r="AB89" s="87"/>
      <c r="AC89" s="87"/>
      <c r="AD89" s="87"/>
    </row>
    <row r="90" ht="15.75" customHeight="1">
      <c r="G90" s="85"/>
      <c r="H90" s="85"/>
      <c r="I90" s="85"/>
      <c r="J90" s="85"/>
      <c r="K90" s="85"/>
      <c r="L90" s="85"/>
      <c r="M90" s="86"/>
      <c r="N90" s="86"/>
      <c r="O90" s="86"/>
      <c r="P90" s="86"/>
      <c r="Q90" s="86"/>
      <c r="R90" s="86"/>
      <c r="S90" s="85"/>
      <c r="T90" s="85"/>
      <c r="U90" s="85"/>
      <c r="V90" s="85"/>
      <c r="W90" s="85"/>
      <c r="X90" s="85"/>
      <c r="Y90" s="87"/>
      <c r="Z90" s="87"/>
      <c r="AA90" s="87"/>
      <c r="AB90" s="87"/>
      <c r="AC90" s="87"/>
      <c r="AD90" s="87"/>
    </row>
    <row r="91" ht="15.75" customHeight="1">
      <c r="G91" s="85"/>
      <c r="H91" s="85"/>
      <c r="I91" s="85"/>
      <c r="J91" s="85"/>
      <c r="K91" s="85"/>
      <c r="L91" s="85"/>
      <c r="M91" s="86"/>
      <c r="N91" s="86"/>
      <c r="O91" s="86"/>
      <c r="P91" s="86"/>
      <c r="Q91" s="86"/>
      <c r="R91" s="86"/>
      <c r="S91" s="85"/>
      <c r="T91" s="85"/>
      <c r="U91" s="85"/>
      <c r="V91" s="85"/>
      <c r="W91" s="85"/>
      <c r="X91" s="85"/>
      <c r="Y91" s="87"/>
      <c r="Z91" s="87"/>
      <c r="AA91" s="87"/>
      <c r="AB91" s="87"/>
      <c r="AC91" s="87"/>
      <c r="AD91" s="87"/>
    </row>
    <row r="92" ht="15.75" customHeight="1">
      <c r="G92" s="85"/>
      <c r="H92" s="85"/>
      <c r="I92" s="85"/>
      <c r="J92" s="85"/>
      <c r="K92" s="85"/>
      <c r="L92" s="85"/>
      <c r="M92" s="86"/>
      <c r="N92" s="86"/>
      <c r="O92" s="86"/>
      <c r="P92" s="86"/>
      <c r="Q92" s="86"/>
      <c r="R92" s="86"/>
      <c r="S92" s="85"/>
      <c r="T92" s="85"/>
      <c r="U92" s="85"/>
      <c r="V92" s="85"/>
      <c r="W92" s="85"/>
      <c r="X92" s="85"/>
      <c r="Y92" s="87"/>
      <c r="Z92" s="87"/>
      <c r="AA92" s="87"/>
      <c r="AB92" s="87"/>
      <c r="AC92" s="87"/>
      <c r="AD92" s="87"/>
    </row>
    <row r="93" ht="15.75" customHeight="1">
      <c r="G93" s="85"/>
      <c r="H93" s="85"/>
      <c r="I93" s="85"/>
      <c r="J93" s="85"/>
      <c r="K93" s="85"/>
      <c r="L93" s="85"/>
      <c r="M93" s="86"/>
      <c r="N93" s="86"/>
      <c r="O93" s="86"/>
      <c r="P93" s="86"/>
      <c r="Q93" s="86"/>
      <c r="R93" s="86"/>
      <c r="S93" s="85"/>
      <c r="T93" s="85"/>
      <c r="U93" s="85"/>
      <c r="V93" s="85"/>
      <c r="W93" s="85"/>
      <c r="X93" s="85"/>
      <c r="Y93" s="87"/>
      <c r="Z93" s="87"/>
      <c r="AA93" s="87"/>
      <c r="AB93" s="87"/>
      <c r="AC93" s="87"/>
      <c r="AD93" s="87"/>
    </row>
    <row r="94" ht="15.75" customHeight="1">
      <c r="G94" s="85"/>
      <c r="H94" s="85"/>
      <c r="I94" s="85"/>
      <c r="J94" s="85"/>
      <c r="K94" s="85"/>
      <c r="L94" s="85"/>
      <c r="M94" s="86"/>
      <c r="N94" s="86"/>
      <c r="O94" s="86"/>
      <c r="P94" s="86"/>
      <c r="Q94" s="86"/>
      <c r="R94" s="86"/>
      <c r="S94" s="85"/>
      <c r="T94" s="85"/>
      <c r="U94" s="85"/>
      <c r="V94" s="85"/>
      <c r="W94" s="85"/>
      <c r="X94" s="85"/>
      <c r="Y94" s="87"/>
      <c r="Z94" s="87"/>
      <c r="AA94" s="87"/>
      <c r="AB94" s="87"/>
      <c r="AC94" s="87"/>
      <c r="AD94" s="87"/>
    </row>
    <row r="95" ht="15.75" customHeight="1">
      <c r="G95" s="85"/>
      <c r="H95" s="85"/>
      <c r="I95" s="85"/>
      <c r="J95" s="85"/>
      <c r="K95" s="85"/>
      <c r="L95" s="85"/>
      <c r="M95" s="86"/>
      <c r="N95" s="86"/>
      <c r="O95" s="86"/>
      <c r="P95" s="86"/>
      <c r="Q95" s="86"/>
      <c r="R95" s="86"/>
      <c r="S95" s="85"/>
      <c r="T95" s="85"/>
      <c r="U95" s="85"/>
      <c r="V95" s="85"/>
      <c r="W95" s="85"/>
      <c r="X95" s="85"/>
      <c r="Y95" s="87"/>
      <c r="Z95" s="87"/>
      <c r="AA95" s="87"/>
      <c r="AB95" s="87"/>
      <c r="AC95" s="87"/>
      <c r="AD95" s="87"/>
    </row>
    <row r="96" ht="15.75" customHeight="1">
      <c r="G96" s="85"/>
      <c r="H96" s="85"/>
      <c r="I96" s="85"/>
      <c r="J96" s="85"/>
      <c r="K96" s="85"/>
      <c r="L96" s="85"/>
      <c r="M96" s="86"/>
      <c r="N96" s="86"/>
      <c r="O96" s="86"/>
      <c r="P96" s="86"/>
      <c r="Q96" s="86"/>
      <c r="R96" s="86"/>
      <c r="S96" s="85"/>
      <c r="T96" s="85"/>
      <c r="U96" s="85"/>
      <c r="V96" s="85"/>
      <c r="W96" s="85"/>
      <c r="X96" s="85"/>
      <c r="Y96" s="87"/>
      <c r="Z96" s="87"/>
      <c r="AA96" s="87"/>
      <c r="AB96" s="87"/>
      <c r="AC96" s="87"/>
      <c r="AD96" s="87"/>
    </row>
    <row r="97" ht="15.75" customHeight="1">
      <c r="G97" s="85"/>
      <c r="H97" s="85"/>
      <c r="I97" s="85"/>
      <c r="J97" s="85"/>
      <c r="K97" s="85"/>
      <c r="L97" s="85"/>
      <c r="M97" s="86"/>
      <c r="N97" s="86"/>
      <c r="O97" s="86"/>
      <c r="P97" s="86"/>
      <c r="Q97" s="86"/>
      <c r="R97" s="86"/>
      <c r="S97" s="85"/>
      <c r="T97" s="85"/>
      <c r="U97" s="85"/>
      <c r="V97" s="85"/>
      <c r="W97" s="85"/>
      <c r="X97" s="85"/>
      <c r="Y97" s="87"/>
      <c r="Z97" s="87"/>
      <c r="AA97" s="87"/>
      <c r="AB97" s="87"/>
      <c r="AC97" s="87"/>
      <c r="AD97" s="87"/>
    </row>
    <row r="98" ht="15.75" customHeight="1">
      <c r="G98" s="85"/>
      <c r="H98" s="85"/>
      <c r="I98" s="85"/>
      <c r="J98" s="85"/>
      <c r="K98" s="85"/>
      <c r="L98" s="85"/>
      <c r="M98" s="86"/>
      <c r="N98" s="86"/>
      <c r="O98" s="86"/>
      <c r="P98" s="86"/>
      <c r="Q98" s="86"/>
      <c r="R98" s="86"/>
      <c r="S98" s="85"/>
      <c r="T98" s="85"/>
      <c r="U98" s="85"/>
      <c r="V98" s="85"/>
      <c r="W98" s="85"/>
      <c r="X98" s="85"/>
      <c r="Y98" s="87"/>
      <c r="Z98" s="87"/>
      <c r="AA98" s="87"/>
      <c r="AB98" s="87"/>
      <c r="AC98" s="87"/>
      <c r="AD98" s="87"/>
    </row>
    <row r="99" ht="15.75" customHeight="1">
      <c r="G99" s="85"/>
      <c r="H99" s="85"/>
      <c r="I99" s="85"/>
      <c r="J99" s="85"/>
      <c r="K99" s="85"/>
      <c r="L99" s="85"/>
      <c r="M99" s="86"/>
      <c r="N99" s="86"/>
      <c r="O99" s="86"/>
      <c r="P99" s="86"/>
      <c r="Q99" s="86"/>
      <c r="R99" s="86"/>
      <c r="S99" s="85"/>
      <c r="T99" s="85"/>
      <c r="U99" s="85"/>
      <c r="V99" s="85"/>
      <c r="W99" s="85"/>
      <c r="X99" s="85"/>
      <c r="Y99" s="87"/>
      <c r="Z99" s="87"/>
      <c r="AA99" s="87"/>
      <c r="AB99" s="87"/>
      <c r="AC99" s="87"/>
      <c r="AD99" s="87"/>
    </row>
    <row r="100" ht="15.75" customHeight="1">
      <c r="G100" s="85"/>
      <c r="H100" s="85"/>
      <c r="I100" s="85"/>
      <c r="J100" s="85"/>
      <c r="K100" s="85"/>
      <c r="L100" s="85"/>
      <c r="M100" s="86"/>
      <c r="N100" s="86"/>
      <c r="O100" s="86"/>
      <c r="P100" s="86"/>
      <c r="Q100" s="86"/>
      <c r="R100" s="86"/>
      <c r="S100" s="85"/>
      <c r="T100" s="85"/>
      <c r="U100" s="85"/>
      <c r="V100" s="85"/>
      <c r="W100" s="85"/>
      <c r="X100" s="85"/>
      <c r="Y100" s="87"/>
      <c r="Z100" s="87"/>
      <c r="AA100" s="87"/>
      <c r="AB100" s="87"/>
      <c r="AC100" s="87"/>
      <c r="AD100" s="87"/>
    </row>
    <row r="101" ht="15.75" customHeight="1">
      <c r="G101" s="85"/>
      <c r="H101" s="85"/>
      <c r="I101" s="85"/>
      <c r="J101" s="85"/>
      <c r="K101" s="85"/>
      <c r="L101" s="85"/>
      <c r="M101" s="86"/>
      <c r="N101" s="86"/>
      <c r="O101" s="86"/>
      <c r="P101" s="86"/>
      <c r="Q101" s="86"/>
      <c r="R101" s="86"/>
      <c r="S101" s="85"/>
      <c r="T101" s="85"/>
      <c r="U101" s="85"/>
      <c r="V101" s="85"/>
      <c r="W101" s="85"/>
      <c r="X101" s="85"/>
      <c r="Y101" s="87"/>
      <c r="Z101" s="87"/>
      <c r="AA101" s="87"/>
      <c r="AB101" s="87"/>
      <c r="AC101" s="87"/>
      <c r="AD101" s="87"/>
    </row>
    <row r="102" ht="15.75" customHeight="1">
      <c r="G102" s="85"/>
      <c r="H102" s="85"/>
      <c r="I102" s="85"/>
      <c r="J102" s="85"/>
      <c r="K102" s="85"/>
      <c r="L102" s="85"/>
      <c r="M102" s="86"/>
      <c r="N102" s="86"/>
      <c r="O102" s="86"/>
      <c r="P102" s="86"/>
      <c r="Q102" s="86"/>
      <c r="R102" s="86"/>
      <c r="S102" s="85"/>
      <c r="T102" s="85"/>
      <c r="U102" s="85"/>
      <c r="V102" s="85"/>
      <c r="W102" s="85"/>
      <c r="X102" s="85"/>
      <c r="Y102" s="87"/>
      <c r="Z102" s="87"/>
      <c r="AA102" s="87"/>
      <c r="AB102" s="87"/>
      <c r="AC102" s="87"/>
      <c r="AD102" s="87"/>
    </row>
    <row r="103" ht="15.75" customHeight="1">
      <c r="G103" s="85"/>
      <c r="H103" s="85"/>
      <c r="I103" s="85"/>
      <c r="J103" s="85"/>
      <c r="K103" s="85"/>
      <c r="L103" s="85"/>
      <c r="M103" s="86"/>
      <c r="N103" s="86"/>
      <c r="O103" s="86"/>
      <c r="P103" s="86"/>
      <c r="Q103" s="86"/>
      <c r="R103" s="86"/>
      <c r="S103" s="85"/>
      <c r="T103" s="85"/>
      <c r="U103" s="85"/>
      <c r="V103" s="85"/>
      <c r="W103" s="85"/>
      <c r="X103" s="85"/>
      <c r="Y103" s="87"/>
      <c r="Z103" s="87"/>
      <c r="AA103" s="87"/>
      <c r="AB103" s="87"/>
      <c r="AC103" s="87"/>
      <c r="AD103" s="87"/>
    </row>
    <row r="104" ht="15.75" customHeight="1">
      <c r="G104" s="85"/>
      <c r="H104" s="85"/>
      <c r="I104" s="85"/>
      <c r="J104" s="85"/>
      <c r="K104" s="85"/>
      <c r="L104" s="85"/>
      <c r="M104" s="86"/>
      <c r="N104" s="86"/>
      <c r="O104" s="86"/>
      <c r="P104" s="86"/>
      <c r="Q104" s="86"/>
      <c r="R104" s="86"/>
      <c r="S104" s="85"/>
      <c r="T104" s="85"/>
      <c r="U104" s="85"/>
      <c r="V104" s="85"/>
      <c r="W104" s="85"/>
      <c r="X104" s="85"/>
      <c r="Y104" s="87"/>
      <c r="Z104" s="87"/>
      <c r="AA104" s="87"/>
      <c r="AB104" s="87"/>
      <c r="AC104" s="87"/>
      <c r="AD104" s="87"/>
    </row>
    <row r="105" ht="15.75" customHeight="1">
      <c r="G105" s="85"/>
      <c r="H105" s="85"/>
      <c r="I105" s="85"/>
      <c r="J105" s="85"/>
      <c r="K105" s="85"/>
      <c r="L105" s="85"/>
      <c r="M105" s="86"/>
      <c r="N105" s="86"/>
      <c r="O105" s="86"/>
      <c r="P105" s="86"/>
      <c r="Q105" s="86"/>
      <c r="R105" s="86"/>
      <c r="S105" s="85"/>
      <c r="T105" s="85"/>
      <c r="U105" s="85"/>
      <c r="V105" s="85"/>
      <c r="W105" s="85"/>
      <c r="X105" s="85"/>
      <c r="Y105" s="87"/>
      <c r="Z105" s="87"/>
      <c r="AA105" s="87"/>
      <c r="AB105" s="87"/>
      <c r="AC105" s="87"/>
      <c r="AD105" s="87"/>
    </row>
    <row r="106" ht="15.75" customHeight="1">
      <c r="G106" s="85"/>
      <c r="H106" s="85"/>
      <c r="I106" s="85"/>
      <c r="J106" s="85"/>
      <c r="K106" s="85"/>
      <c r="L106" s="85"/>
      <c r="M106" s="86"/>
      <c r="N106" s="86"/>
      <c r="O106" s="86"/>
      <c r="P106" s="86"/>
      <c r="Q106" s="86"/>
      <c r="R106" s="86"/>
      <c r="S106" s="85"/>
      <c r="T106" s="85"/>
      <c r="U106" s="85"/>
      <c r="V106" s="85"/>
      <c r="W106" s="85"/>
      <c r="X106" s="85"/>
      <c r="Y106" s="87"/>
      <c r="Z106" s="87"/>
      <c r="AA106" s="87"/>
      <c r="AB106" s="87"/>
      <c r="AC106" s="87"/>
      <c r="AD106" s="87"/>
    </row>
    <row r="107" ht="15.75" customHeight="1">
      <c r="G107" s="85"/>
      <c r="H107" s="85"/>
      <c r="I107" s="85"/>
      <c r="J107" s="85"/>
      <c r="K107" s="85"/>
      <c r="L107" s="85"/>
      <c r="M107" s="86"/>
      <c r="N107" s="86"/>
      <c r="O107" s="86"/>
      <c r="P107" s="86"/>
      <c r="Q107" s="86"/>
      <c r="R107" s="86"/>
      <c r="S107" s="85"/>
      <c r="T107" s="85"/>
      <c r="U107" s="85"/>
      <c r="V107" s="85"/>
      <c r="W107" s="85"/>
      <c r="X107" s="85"/>
      <c r="Y107" s="87"/>
      <c r="Z107" s="87"/>
      <c r="AA107" s="87"/>
      <c r="AB107" s="87"/>
      <c r="AC107" s="87"/>
      <c r="AD107" s="87"/>
    </row>
    <row r="108" ht="15.75" customHeight="1">
      <c r="G108" s="85"/>
      <c r="H108" s="85"/>
      <c r="I108" s="85"/>
      <c r="J108" s="85"/>
      <c r="K108" s="85"/>
      <c r="L108" s="85"/>
      <c r="M108" s="86"/>
      <c r="N108" s="86"/>
      <c r="O108" s="86"/>
      <c r="P108" s="86"/>
      <c r="Q108" s="86"/>
      <c r="R108" s="86"/>
      <c r="S108" s="85"/>
      <c r="T108" s="85"/>
      <c r="U108" s="85"/>
      <c r="V108" s="85"/>
      <c r="W108" s="85"/>
      <c r="X108" s="85"/>
      <c r="Y108" s="87"/>
      <c r="Z108" s="87"/>
      <c r="AA108" s="87"/>
      <c r="AB108" s="87"/>
      <c r="AC108" s="87"/>
      <c r="AD108" s="87"/>
    </row>
    <row r="109" ht="15.75" customHeight="1">
      <c r="G109" s="85"/>
      <c r="H109" s="85"/>
      <c r="I109" s="85"/>
      <c r="J109" s="85"/>
      <c r="K109" s="85"/>
      <c r="L109" s="85"/>
      <c r="M109" s="86"/>
      <c r="N109" s="86"/>
      <c r="O109" s="86"/>
      <c r="P109" s="86"/>
      <c r="Q109" s="86"/>
      <c r="R109" s="86"/>
      <c r="S109" s="85"/>
      <c r="T109" s="85"/>
      <c r="U109" s="85"/>
      <c r="V109" s="85"/>
      <c r="W109" s="85"/>
      <c r="X109" s="85"/>
      <c r="Y109" s="87"/>
      <c r="Z109" s="87"/>
      <c r="AA109" s="87"/>
      <c r="AB109" s="87"/>
      <c r="AC109" s="87"/>
      <c r="AD109" s="87"/>
    </row>
    <row r="110" ht="15.75" customHeight="1">
      <c r="G110" s="85"/>
      <c r="H110" s="85"/>
      <c r="I110" s="85"/>
      <c r="J110" s="85"/>
      <c r="K110" s="85"/>
      <c r="L110" s="85"/>
      <c r="M110" s="86"/>
      <c r="N110" s="86"/>
      <c r="O110" s="86"/>
      <c r="P110" s="86"/>
      <c r="Q110" s="86"/>
      <c r="R110" s="86"/>
      <c r="S110" s="85"/>
      <c r="T110" s="85"/>
      <c r="U110" s="85"/>
      <c r="V110" s="85"/>
      <c r="W110" s="85"/>
      <c r="X110" s="85"/>
      <c r="Y110" s="87"/>
      <c r="Z110" s="87"/>
      <c r="AA110" s="87"/>
      <c r="AB110" s="87"/>
      <c r="AC110" s="87"/>
      <c r="AD110" s="87"/>
    </row>
    <row r="111" ht="15.75" customHeight="1">
      <c r="G111" s="85"/>
      <c r="H111" s="85"/>
      <c r="I111" s="85"/>
      <c r="J111" s="85"/>
      <c r="K111" s="85"/>
      <c r="L111" s="85"/>
      <c r="M111" s="86"/>
      <c r="N111" s="86"/>
      <c r="O111" s="86"/>
      <c r="P111" s="86"/>
      <c r="Q111" s="86"/>
      <c r="R111" s="86"/>
      <c r="S111" s="85"/>
      <c r="T111" s="85"/>
      <c r="U111" s="85"/>
      <c r="V111" s="85"/>
      <c r="W111" s="85"/>
      <c r="X111" s="85"/>
      <c r="Y111" s="87"/>
      <c r="Z111" s="87"/>
      <c r="AA111" s="87"/>
      <c r="AB111" s="87"/>
      <c r="AC111" s="87"/>
      <c r="AD111" s="87"/>
    </row>
    <row r="112" ht="15.75" customHeight="1">
      <c r="G112" s="85"/>
      <c r="H112" s="85"/>
      <c r="I112" s="85"/>
      <c r="J112" s="85"/>
      <c r="K112" s="85"/>
      <c r="L112" s="85"/>
      <c r="M112" s="86"/>
      <c r="N112" s="86"/>
      <c r="O112" s="86"/>
      <c r="P112" s="86"/>
      <c r="Q112" s="86"/>
      <c r="R112" s="86"/>
      <c r="S112" s="85"/>
      <c r="T112" s="85"/>
      <c r="U112" s="85"/>
      <c r="V112" s="85"/>
      <c r="W112" s="85"/>
      <c r="X112" s="85"/>
      <c r="Y112" s="87"/>
      <c r="Z112" s="87"/>
      <c r="AA112" s="87"/>
      <c r="AB112" s="87"/>
      <c r="AC112" s="87"/>
      <c r="AD112" s="87"/>
    </row>
    <row r="113" ht="15.75" customHeight="1">
      <c r="G113" s="85"/>
      <c r="H113" s="85"/>
      <c r="I113" s="85"/>
      <c r="J113" s="85"/>
      <c r="K113" s="85"/>
      <c r="L113" s="85"/>
      <c r="M113" s="86"/>
      <c r="N113" s="86"/>
      <c r="O113" s="86"/>
      <c r="P113" s="86"/>
      <c r="Q113" s="86"/>
      <c r="R113" s="86"/>
      <c r="S113" s="85"/>
      <c r="T113" s="85"/>
      <c r="U113" s="85"/>
      <c r="V113" s="85"/>
      <c r="W113" s="85"/>
      <c r="X113" s="85"/>
      <c r="Y113" s="87"/>
      <c r="Z113" s="87"/>
      <c r="AA113" s="87"/>
      <c r="AB113" s="87"/>
      <c r="AC113" s="87"/>
      <c r="AD113" s="87"/>
    </row>
    <row r="114" ht="15.75" customHeight="1">
      <c r="G114" s="85"/>
      <c r="H114" s="85"/>
      <c r="I114" s="85"/>
      <c r="J114" s="85"/>
      <c r="K114" s="85"/>
      <c r="L114" s="85"/>
      <c r="M114" s="86"/>
      <c r="N114" s="86"/>
      <c r="O114" s="86"/>
      <c r="P114" s="86"/>
      <c r="Q114" s="86"/>
      <c r="R114" s="86"/>
      <c r="S114" s="85"/>
      <c r="T114" s="85"/>
      <c r="U114" s="85"/>
      <c r="V114" s="85"/>
      <c r="W114" s="85"/>
      <c r="X114" s="85"/>
      <c r="Y114" s="87"/>
      <c r="Z114" s="87"/>
      <c r="AA114" s="87"/>
      <c r="AB114" s="87"/>
      <c r="AC114" s="87"/>
      <c r="AD114" s="87"/>
    </row>
    <row r="115" ht="15.75" customHeight="1">
      <c r="G115" s="85"/>
      <c r="H115" s="85"/>
      <c r="I115" s="85"/>
      <c r="J115" s="85"/>
      <c r="K115" s="85"/>
      <c r="L115" s="85"/>
      <c r="M115" s="86"/>
      <c r="N115" s="86"/>
      <c r="O115" s="86"/>
      <c r="P115" s="86"/>
      <c r="Q115" s="86"/>
      <c r="R115" s="86"/>
      <c r="S115" s="85"/>
      <c r="T115" s="85"/>
      <c r="U115" s="85"/>
      <c r="V115" s="85"/>
      <c r="W115" s="85"/>
      <c r="X115" s="85"/>
      <c r="Y115" s="87"/>
      <c r="Z115" s="87"/>
      <c r="AA115" s="87"/>
      <c r="AB115" s="87"/>
      <c r="AC115" s="87"/>
      <c r="AD115" s="87"/>
    </row>
    <row r="116" ht="15.75" customHeight="1">
      <c r="G116" s="85"/>
      <c r="H116" s="85"/>
      <c r="I116" s="85"/>
      <c r="J116" s="85"/>
      <c r="K116" s="85"/>
      <c r="L116" s="85"/>
      <c r="M116" s="86"/>
      <c r="N116" s="86"/>
      <c r="O116" s="86"/>
      <c r="P116" s="86"/>
      <c r="Q116" s="86"/>
      <c r="R116" s="86"/>
      <c r="S116" s="85"/>
      <c r="T116" s="85"/>
      <c r="U116" s="85"/>
      <c r="V116" s="85"/>
      <c r="W116" s="85"/>
      <c r="X116" s="85"/>
      <c r="Y116" s="87"/>
      <c r="Z116" s="87"/>
      <c r="AA116" s="87"/>
      <c r="AB116" s="87"/>
      <c r="AC116" s="87"/>
      <c r="AD116" s="87"/>
    </row>
    <row r="117" ht="15.75" customHeight="1">
      <c r="G117" s="85"/>
      <c r="H117" s="85"/>
      <c r="I117" s="85"/>
      <c r="J117" s="85"/>
      <c r="K117" s="85"/>
      <c r="L117" s="85"/>
      <c r="M117" s="86"/>
      <c r="N117" s="86"/>
      <c r="O117" s="86"/>
      <c r="P117" s="86"/>
      <c r="Q117" s="86"/>
      <c r="R117" s="86"/>
      <c r="S117" s="85"/>
      <c r="T117" s="85"/>
      <c r="U117" s="85"/>
      <c r="V117" s="85"/>
      <c r="W117" s="85"/>
      <c r="X117" s="85"/>
      <c r="Y117" s="87"/>
      <c r="Z117" s="87"/>
      <c r="AA117" s="87"/>
      <c r="AB117" s="87"/>
      <c r="AC117" s="87"/>
      <c r="AD117" s="87"/>
    </row>
    <row r="118" ht="15.75" customHeight="1">
      <c r="G118" s="85"/>
      <c r="H118" s="85"/>
      <c r="I118" s="85"/>
      <c r="J118" s="85"/>
      <c r="K118" s="85"/>
      <c r="L118" s="85"/>
      <c r="M118" s="86"/>
      <c r="N118" s="86"/>
      <c r="O118" s="86"/>
      <c r="P118" s="86"/>
      <c r="Q118" s="86"/>
      <c r="R118" s="86"/>
      <c r="S118" s="85"/>
      <c r="T118" s="85"/>
      <c r="U118" s="85"/>
      <c r="V118" s="85"/>
      <c r="W118" s="85"/>
      <c r="X118" s="85"/>
      <c r="Y118" s="87"/>
      <c r="Z118" s="87"/>
      <c r="AA118" s="87"/>
      <c r="AB118" s="87"/>
      <c r="AC118" s="87"/>
      <c r="AD118" s="87"/>
    </row>
    <row r="119" ht="15.75" customHeight="1">
      <c r="G119" s="85"/>
      <c r="H119" s="85"/>
      <c r="I119" s="85"/>
      <c r="J119" s="85"/>
      <c r="K119" s="85"/>
      <c r="L119" s="85"/>
      <c r="M119" s="86"/>
      <c r="N119" s="86"/>
      <c r="O119" s="86"/>
      <c r="P119" s="86"/>
      <c r="Q119" s="86"/>
      <c r="R119" s="86"/>
      <c r="S119" s="85"/>
      <c r="T119" s="85"/>
      <c r="U119" s="85"/>
      <c r="V119" s="85"/>
      <c r="W119" s="85"/>
      <c r="X119" s="85"/>
      <c r="Y119" s="87"/>
      <c r="Z119" s="87"/>
      <c r="AA119" s="87"/>
      <c r="AB119" s="87"/>
      <c r="AC119" s="87"/>
      <c r="AD119" s="87"/>
    </row>
    <row r="120" ht="15.75" customHeight="1">
      <c r="G120" s="85"/>
      <c r="H120" s="85"/>
      <c r="I120" s="85"/>
      <c r="J120" s="85"/>
      <c r="K120" s="85"/>
      <c r="L120" s="85"/>
      <c r="M120" s="86"/>
      <c r="N120" s="86"/>
      <c r="O120" s="86"/>
      <c r="P120" s="86"/>
      <c r="Q120" s="86"/>
      <c r="R120" s="86"/>
      <c r="S120" s="85"/>
      <c r="T120" s="85"/>
      <c r="U120" s="85"/>
      <c r="V120" s="85"/>
      <c r="W120" s="85"/>
      <c r="X120" s="85"/>
      <c r="Y120" s="87"/>
      <c r="Z120" s="87"/>
      <c r="AA120" s="87"/>
      <c r="AB120" s="87"/>
      <c r="AC120" s="87"/>
      <c r="AD120" s="87"/>
    </row>
    <row r="121" ht="15.75" customHeight="1">
      <c r="G121" s="85"/>
      <c r="H121" s="85"/>
      <c r="I121" s="85"/>
      <c r="J121" s="85"/>
      <c r="K121" s="85"/>
      <c r="L121" s="85"/>
      <c r="M121" s="86"/>
      <c r="N121" s="86"/>
      <c r="O121" s="86"/>
      <c r="P121" s="86"/>
      <c r="Q121" s="86"/>
      <c r="R121" s="86"/>
      <c r="S121" s="85"/>
      <c r="T121" s="85"/>
      <c r="U121" s="85"/>
      <c r="V121" s="85"/>
      <c r="W121" s="85"/>
      <c r="X121" s="85"/>
      <c r="Y121" s="87"/>
      <c r="Z121" s="87"/>
      <c r="AA121" s="87"/>
      <c r="AB121" s="87"/>
      <c r="AC121" s="87"/>
      <c r="AD121" s="87"/>
    </row>
    <row r="122" ht="15.75" customHeight="1">
      <c r="G122" s="85"/>
      <c r="H122" s="85"/>
      <c r="I122" s="85"/>
      <c r="J122" s="85"/>
      <c r="K122" s="85"/>
      <c r="L122" s="85"/>
      <c r="M122" s="86"/>
      <c r="N122" s="86"/>
      <c r="O122" s="86"/>
      <c r="P122" s="86"/>
      <c r="Q122" s="86"/>
      <c r="R122" s="86"/>
      <c r="S122" s="85"/>
      <c r="T122" s="85"/>
      <c r="U122" s="85"/>
      <c r="V122" s="85"/>
      <c r="W122" s="85"/>
      <c r="X122" s="85"/>
      <c r="Y122" s="87"/>
      <c r="Z122" s="87"/>
      <c r="AA122" s="87"/>
      <c r="AB122" s="87"/>
      <c r="AC122" s="87"/>
      <c r="AD122" s="87"/>
    </row>
    <row r="123" ht="15.75" customHeight="1">
      <c r="G123" s="85"/>
      <c r="H123" s="85"/>
      <c r="I123" s="85"/>
      <c r="J123" s="85"/>
      <c r="K123" s="85"/>
      <c r="L123" s="85"/>
      <c r="M123" s="86"/>
      <c r="N123" s="86"/>
      <c r="O123" s="86"/>
      <c r="P123" s="86"/>
      <c r="Q123" s="86"/>
      <c r="R123" s="86"/>
      <c r="S123" s="85"/>
      <c r="T123" s="85"/>
      <c r="U123" s="85"/>
      <c r="V123" s="85"/>
      <c r="W123" s="85"/>
      <c r="X123" s="85"/>
      <c r="Y123" s="87"/>
      <c r="Z123" s="87"/>
      <c r="AA123" s="87"/>
      <c r="AB123" s="87"/>
      <c r="AC123" s="87"/>
      <c r="AD123" s="87"/>
    </row>
    <row r="124" ht="15.75" customHeight="1">
      <c r="G124" s="85"/>
      <c r="H124" s="85"/>
      <c r="I124" s="85"/>
      <c r="J124" s="85"/>
      <c r="K124" s="85"/>
      <c r="L124" s="85"/>
      <c r="M124" s="86"/>
      <c r="N124" s="86"/>
      <c r="O124" s="86"/>
      <c r="P124" s="86"/>
      <c r="Q124" s="86"/>
      <c r="R124" s="86"/>
      <c r="S124" s="85"/>
      <c r="T124" s="85"/>
      <c r="U124" s="85"/>
      <c r="V124" s="85"/>
      <c r="W124" s="85"/>
      <c r="X124" s="85"/>
      <c r="Y124" s="87"/>
      <c r="Z124" s="87"/>
      <c r="AA124" s="87"/>
      <c r="AB124" s="87"/>
      <c r="AC124" s="87"/>
      <c r="AD124" s="87"/>
    </row>
    <row r="125" ht="15.75" customHeight="1">
      <c r="G125" s="85"/>
      <c r="H125" s="85"/>
      <c r="I125" s="85"/>
      <c r="J125" s="85"/>
      <c r="K125" s="85"/>
      <c r="L125" s="85"/>
      <c r="M125" s="86"/>
      <c r="N125" s="86"/>
      <c r="O125" s="86"/>
      <c r="P125" s="86"/>
      <c r="Q125" s="86"/>
      <c r="R125" s="86"/>
      <c r="S125" s="85"/>
      <c r="T125" s="85"/>
      <c r="U125" s="85"/>
      <c r="V125" s="85"/>
      <c r="W125" s="85"/>
      <c r="X125" s="85"/>
      <c r="Y125" s="87"/>
      <c r="Z125" s="87"/>
      <c r="AA125" s="87"/>
      <c r="AB125" s="87"/>
      <c r="AC125" s="87"/>
      <c r="AD125" s="87"/>
    </row>
    <row r="126" ht="15.75" customHeight="1">
      <c r="G126" s="85"/>
      <c r="H126" s="85"/>
      <c r="I126" s="85"/>
      <c r="J126" s="85"/>
      <c r="K126" s="85"/>
      <c r="L126" s="85"/>
      <c r="M126" s="86"/>
      <c r="N126" s="86"/>
      <c r="O126" s="86"/>
      <c r="P126" s="86"/>
      <c r="Q126" s="86"/>
      <c r="R126" s="86"/>
      <c r="S126" s="85"/>
      <c r="T126" s="85"/>
      <c r="U126" s="85"/>
      <c r="V126" s="85"/>
      <c r="W126" s="85"/>
      <c r="X126" s="85"/>
      <c r="Y126" s="87"/>
      <c r="Z126" s="87"/>
      <c r="AA126" s="87"/>
      <c r="AB126" s="87"/>
      <c r="AC126" s="87"/>
      <c r="AD126" s="87"/>
    </row>
    <row r="127" ht="15.75" customHeight="1">
      <c r="G127" s="85"/>
      <c r="H127" s="85"/>
      <c r="I127" s="85"/>
      <c r="J127" s="85"/>
      <c r="K127" s="85"/>
      <c r="L127" s="85"/>
      <c r="M127" s="86"/>
      <c r="N127" s="86"/>
      <c r="O127" s="86"/>
      <c r="P127" s="86"/>
      <c r="Q127" s="86"/>
      <c r="R127" s="86"/>
      <c r="S127" s="85"/>
      <c r="T127" s="85"/>
      <c r="U127" s="85"/>
      <c r="V127" s="85"/>
      <c r="W127" s="85"/>
      <c r="X127" s="85"/>
      <c r="Y127" s="87"/>
      <c r="Z127" s="87"/>
      <c r="AA127" s="87"/>
      <c r="AB127" s="87"/>
      <c r="AC127" s="87"/>
      <c r="AD127" s="87"/>
    </row>
    <row r="128" ht="15.75" customHeight="1">
      <c r="G128" s="85"/>
      <c r="H128" s="85"/>
      <c r="I128" s="85"/>
      <c r="J128" s="85"/>
      <c r="K128" s="85"/>
      <c r="L128" s="85"/>
      <c r="M128" s="86"/>
      <c r="N128" s="86"/>
      <c r="O128" s="86"/>
      <c r="P128" s="86"/>
      <c r="Q128" s="86"/>
      <c r="R128" s="86"/>
      <c r="S128" s="85"/>
      <c r="T128" s="85"/>
      <c r="U128" s="85"/>
      <c r="V128" s="85"/>
      <c r="W128" s="85"/>
      <c r="X128" s="85"/>
      <c r="Y128" s="87"/>
      <c r="Z128" s="87"/>
      <c r="AA128" s="87"/>
      <c r="AB128" s="87"/>
      <c r="AC128" s="87"/>
      <c r="AD128" s="87"/>
    </row>
    <row r="129" ht="15.75" customHeight="1">
      <c r="G129" s="85"/>
      <c r="H129" s="85"/>
      <c r="I129" s="85"/>
      <c r="J129" s="85"/>
      <c r="K129" s="85"/>
      <c r="L129" s="85"/>
      <c r="M129" s="86"/>
      <c r="N129" s="86"/>
      <c r="O129" s="86"/>
      <c r="P129" s="86"/>
      <c r="Q129" s="86"/>
      <c r="R129" s="86"/>
      <c r="S129" s="85"/>
      <c r="T129" s="85"/>
      <c r="U129" s="85"/>
      <c r="V129" s="85"/>
      <c r="W129" s="85"/>
      <c r="X129" s="85"/>
      <c r="Y129" s="87"/>
      <c r="Z129" s="87"/>
      <c r="AA129" s="87"/>
      <c r="AB129" s="87"/>
      <c r="AC129" s="87"/>
      <c r="AD129" s="87"/>
    </row>
    <row r="130" ht="15.75" customHeight="1">
      <c r="G130" s="85"/>
      <c r="H130" s="85"/>
      <c r="I130" s="85"/>
      <c r="J130" s="85"/>
      <c r="K130" s="85"/>
      <c r="L130" s="85"/>
      <c r="M130" s="86"/>
      <c r="N130" s="86"/>
      <c r="O130" s="86"/>
      <c r="P130" s="86"/>
      <c r="Q130" s="86"/>
      <c r="R130" s="86"/>
      <c r="S130" s="85"/>
      <c r="T130" s="85"/>
      <c r="U130" s="85"/>
      <c r="V130" s="85"/>
      <c r="W130" s="85"/>
      <c r="X130" s="85"/>
      <c r="Y130" s="87"/>
      <c r="Z130" s="87"/>
      <c r="AA130" s="87"/>
      <c r="AB130" s="87"/>
      <c r="AC130" s="87"/>
      <c r="AD130" s="87"/>
    </row>
    <row r="131" ht="15.75" customHeight="1">
      <c r="G131" s="85"/>
      <c r="H131" s="85"/>
      <c r="I131" s="85"/>
      <c r="J131" s="85"/>
      <c r="K131" s="85"/>
      <c r="L131" s="85"/>
      <c r="M131" s="86"/>
      <c r="N131" s="86"/>
      <c r="O131" s="86"/>
      <c r="P131" s="86"/>
      <c r="Q131" s="86"/>
      <c r="R131" s="86"/>
      <c r="S131" s="85"/>
      <c r="T131" s="85"/>
      <c r="U131" s="85"/>
      <c r="V131" s="85"/>
      <c r="W131" s="85"/>
      <c r="X131" s="85"/>
      <c r="Y131" s="87"/>
      <c r="Z131" s="87"/>
      <c r="AA131" s="87"/>
      <c r="AB131" s="87"/>
      <c r="AC131" s="87"/>
      <c r="AD131" s="87"/>
    </row>
    <row r="132" ht="15.75" customHeight="1">
      <c r="G132" s="85"/>
      <c r="H132" s="85"/>
      <c r="I132" s="85"/>
      <c r="J132" s="85"/>
      <c r="K132" s="85"/>
      <c r="L132" s="85"/>
      <c r="M132" s="86"/>
      <c r="N132" s="86"/>
      <c r="O132" s="86"/>
      <c r="P132" s="86"/>
      <c r="Q132" s="86"/>
      <c r="R132" s="86"/>
      <c r="S132" s="85"/>
      <c r="T132" s="85"/>
      <c r="U132" s="85"/>
      <c r="V132" s="85"/>
      <c r="W132" s="85"/>
      <c r="X132" s="85"/>
      <c r="Y132" s="87"/>
      <c r="Z132" s="87"/>
      <c r="AA132" s="87"/>
      <c r="AB132" s="87"/>
      <c r="AC132" s="87"/>
      <c r="AD132" s="87"/>
    </row>
    <row r="133" ht="15.75" customHeight="1">
      <c r="G133" s="85"/>
      <c r="H133" s="85"/>
      <c r="I133" s="85"/>
      <c r="J133" s="85"/>
      <c r="K133" s="85"/>
      <c r="L133" s="85"/>
      <c r="M133" s="86"/>
      <c r="N133" s="86"/>
      <c r="O133" s="86"/>
      <c r="P133" s="86"/>
      <c r="Q133" s="86"/>
      <c r="R133" s="86"/>
      <c r="S133" s="85"/>
      <c r="T133" s="85"/>
      <c r="U133" s="85"/>
      <c r="V133" s="85"/>
      <c r="W133" s="85"/>
      <c r="X133" s="85"/>
      <c r="Y133" s="87"/>
      <c r="Z133" s="87"/>
      <c r="AA133" s="87"/>
      <c r="AB133" s="87"/>
      <c r="AC133" s="87"/>
      <c r="AD133" s="87"/>
    </row>
    <row r="134" ht="15.75" customHeight="1">
      <c r="G134" s="85"/>
      <c r="H134" s="85"/>
      <c r="I134" s="85"/>
      <c r="J134" s="85"/>
      <c r="K134" s="85"/>
      <c r="L134" s="85"/>
      <c r="M134" s="86"/>
      <c r="N134" s="86"/>
      <c r="O134" s="86"/>
      <c r="P134" s="86"/>
      <c r="Q134" s="86"/>
      <c r="R134" s="86"/>
      <c r="S134" s="85"/>
      <c r="T134" s="85"/>
      <c r="U134" s="85"/>
      <c r="V134" s="85"/>
      <c r="W134" s="85"/>
      <c r="X134" s="85"/>
      <c r="Y134" s="87"/>
      <c r="Z134" s="87"/>
      <c r="AA134" s="87"/>
      <c r="AB134" s="87"/>
      <c r="AC134" s="87"/>
      <c r="AD134" s="87"/>
    </row>
    <row r="135" ht="15.75" customHeight="1">
      <c r="G135" s="85"/>
      <c r="H135" s="85"/>
      <c r="I135" s="85"/>
      <c r="J135" s="85"/>
      <c r="K135" s="85"/>
      <c r="L135" s="85"/>
      <c r="M135" s="86"/>
      <c r="N135" s="86"/>
      <c r="O135" s="86"/>
      <c r="P135" s="86"/>
      <c r="Q135" s="86"/>
      <c r="R135" s="86"/>
      <c r="S135" s="85"/>
      <c r="T135" s="85"/>
      <c r="U135" s="85"/>
      <c r="V135" s="85"/>
      <c r="W135" s="85"/>
      <c r="X135" s="85"/>
      <c r="Y135" s="87"/>
      <c r="Z135" s="87"/>
      <c r="AA135" s="87"/>
      <c r="AB135" s="87"/>
      <c r="AC135" s="87"/>
      <c r="AD135" s="87"/>
    </row>
    <row r="136" ht="15.75" customHeight="1">
      <c r="G136" s="85"/>
      <c r="H136" s="85"/>
      <c r="I136" s="85"/>
      <c r="J136" s="85"/>
      <c r="K136" s="85"/>
      <c r="L136" s="85"/>
      <c r="M136" s="86"/>
      <c r="N136" s="86"/>
      <c r="O136" s="86"/>
      <c r="P136" s="86"/>
      <c r="Q136" s="86"/>
      <c r="R136" s="86"/>
      <c r="S136" s="85"/>
      <c r="T136" s="85"/>
      <c r="U136" s="85"/>
      <c r="V136" s="85"/>
      <c r="W136" s="85"/>
      <c r="X136" s="85"/>
      <c r="Y136" s="87"/>
      <c r="Z136" s="87"/>
      <c r="AA136" s="87"/>
      <c r="AB136" s="87"/>
      <c r="AC136" s="87"/>
      <c r="AD136" s="87"/>
    </row>
    <row r="137" ht="15.75" customHeight="1">
      <c r="G137" s="85"/>
      <c r="H137" s="85"/>
      <c r="I137" s="85"/>
      <c r="J137" s="85"/>
      <c r="K137" s="85"/>
      <c r="L137" s="85"/>
      <c r="M137" s="86"/>
      <c r="N137" s="86"/>
      <c r="O137" s="86"/>
      <c r="P137" s="86"/>
      <c r="Q137" s="86"/>
      <c r="R137" s="86"/>
      <c r="S137" s="85"/>
      <c r="T137" s="85"/>
      <c r="U137" s="85"/>
      <c r="V137" s="85"/>
      <c r="W137" s="85"/>
      <c r="X137" s="85"/>
      <c r="Y137" s="87"/>
      <c r="Z137" s="87"/>
      <c r="AA137" s="87"/>
      <c r="AB137" s="87"/>
      <c r="AC137" s="87"/>
      <c r="AD137" s="87"/>
    </row>
    <row r="138" ht="15.75" customHeight="1">
      <c r="G138" s="85"/>
      <c r="H138" s="85"/>
      <c r="I138" s="85"/>
      <c r="J138" s="85"/>
      <c r="K138" s="85"/>
      <c r="L138" s="85"/>
      <c r="M138" s="86"/>
      <c r="N138" s="86"/>
      <c r="O138" s="86"/>
      <c r="P138" s="86"/>
      <c r="Q138" s="86"/>
      <c r="R138" s="86"/>
      <c r="S138" s="85"/>
      <c r="T138" s="85"/>
      <c r="U138" s="85"/>
      <c r="V138" s="85"/>
      <c r="W138" s="85"/>
      <c r="X138" s="85"/>
      <c r="Y138" s="87"/>
      <c r="Z138" s="87"/>
      <c r="AA138" s="87"/>
      <c r="AB138" s="87"/>
      <c r="AC138" s="87"/>
      <c r="AD138" s="87"/>
    </row>
    <row r="139" ht="15.75" customHeight="1">
      <c r="G139" s="85"/>
      <c r="H139" s="85"/>
      <c r="I139" s="85"/>
      <c r="J139" s="85"/>
      <c r="K139" s="85"/>
      <c r="L139" s="85"/>
      <c r="M139" s="86"/>
      <c r="N139" s="86"/>
      <c r="O139" s="86"/>
      <c r="P139" s="86"/>
      <c r="Q139" s="86"/>
      <c r="R139" s="86"/>
      <c r="S139" s="85"/>
      <c r="T139" s="85"/>
      <c r="U139" s="85"/>
      <c r="V139" s="85"/>
      <c r="W139" s="85"/>
      <c r="X139" s="85"/>
      <c r="Y139" s="87"/>
      <c r="Z139" s="87"/>
      <c r="AA139" s="87"/>
      <c r="AB139" s="87"/>
      <c r="AC139" s="87"/>
      <c r="AD139" s="87"/>
    </row>
    <row r="140" ht="15.75" customHeight="1">
      <c r="G140" s="85"/>
      <c r="H140" s="85"/>
      <c r="I140" s="85"/>
      <c r="J140" s="85"/>
      <c r="K140" s="85"/>
      <c r="L140" s="85"/>
      <c r="M140" s="86"/>
      <c r="N140" s="86"/>
      <c r="O140" s="86"/>
      <c r="P140" s="86"/>
      <c r="Q140" s="86"/>
      <c r="R140" s="86"/>
      <c r="S140" s="85"/>
      <c r="T140" s="85"/>
      <c r="U140" s="85"/>
      <c r="V140" s="85"/>
      <c r="W140" s="85"/>
      <c r="X140" s="85"/>
      <c r="Y140" s="87"/>
      <c r="Z140" s="87"/>
      <c r="AA140" s="87"/>
      <c r="AB140" s="87"/>
      <c r="AC140" s="87"/>
      <c r="AD140" s="87"/>
    </row>
    <row r="141" ht="15.75" customHeight="1">
      <c r="G141" s="85"/>
      <c r="H141" s="85"/>
      <c r="I141" s="85"/>
      <c r="J141" s="85"/>
      <c r="K141" s="85"/>
      <c r="L141" s="85"/>
      <c r="M141" s="86"/>
      <c r="N141" s="86"/>
      <c r="O141" s="86"/>
      <c r="P141" s="86"/>
      <c r="Q141" s="86"/>
      <c r="R141" s="86"/>
      <c r="S141" s="85"/>
      <c r="T141" s="85"/>
      <c r="U141" s="85"/>
      <c r="V141" s="85"/>
      <c r="W141" s="85"/>
      <c r="X141" s="85"/>
      <c r="Y141" s="87"/>
      <c r="Z141" s="87"/>
      <c r="AA141" s="87"/>
      <c r="AB141" s="87"/>
      <c r="AC141" s="87"/>
      <c r="AD141" s="87"/>
    </row>
    <row r="142" ht="15.75" customHeight="1">
      <c r="G142" s="85"/>
      <c r="H142" s="85"/>
      <c r="I142" s="85"/>
      <c r="J142" s="85"/>
      <c r="K142" s="85"/>
      <c r="L142" s="85"/>
      <c r="M142" s="86"/>
      <c r="N142" s="86"/>
      <c r="O142" s="86"/>
      <c r="P142" s="86"/>
      <c r="Q142" s="86"/>
      <c r="R142" s="86"/>
      <c r="S142" s="85"/>
      <c r="T142" s="85"/>
      <c r="U142" s="85"/>
      <c r="V142" s="85"/>
      <c r="W142" s="85"/>
      <c r="X142" s="85"/>
      <c r="Y142" s="87"/>
      <c r="Z142" s="87"/>
      <c r="AA142" s="87"/>
      <c r="AB142" s="87"/>
      <c r="AC142" s="87"/>
      <c r="AD142" s="87"/>
    </row>
    <row r="143" ht="15.75" customHeight="1">
      <c r="G143" s="85"/>
      <c r="H143" s="85"/>
      <c r="I143" s="85"/>
      <c r="J143" s="85"/>
      <c r="K143" s="85"/>
      <c r="L143" s="85"/>
      <c r="M143" s="86"/>
      <c r="N143" s="86"/>
      <c r="O143" s="86"/>
      <c r="P143" s="86"/>
      <c r="Q143" s="86"/>
      <c r="R143" s="86"/>
      <c r="S143" s="85"/>
      <c r="T143" s="85"/>
      <c r="U143" s="85"/>
      <c r="V143" s="85"/>
      <c r="W143" s="85"/>
      <c r="X143" s="85"/>
      <c r="Y143" s="87"/>
      <c r="Z143" s="87"/>
      <c r="AA143" s="87"/>
      <c r="AB143" s="87"/>
      <c r="AC143" s="87"/>
      <c r="AD143" s="87"/>
    </row>
    <row r="144" ht="15.75" customHeight="1">
      <c r="G144" s="85"/>
      <c r="H144" s="85"/>
      <c r="I144" s="85"/>
      <c r="J144" s="85"/>
      <c r="K144" s="85"/>
      <c r="L144" s="85"/>
      <c r="M144" s="86"/>
      <c r="N144" s="86"/>
      <c r="O144" s="86"/>
      <c r="P144" s="86"/>
      <c r="Q144" s="86"/>
      <c r="R144" s="86"/>
      <c r="S144" s="85"/>
      <c r="T144" s="85"/>
      <c r="U144" s="85"/>
      <c r="V144" s="85"/>
      <c r="W144" s="85"/>
      <c r="X144" s="85"/>
      <c r="Y144" s="87"/>
      <c r="Z144" s="87"/>
      <c r="AA144" s="87"/>
      <c r="AB144" s="87"/>
      <c r="AC144" s="87"/>
      <c r="AD144" s="87"/>
    </row>
    <row r="145" ht="15.75" customHeight="1">
      <c r="G145" s="85"/>
      <c r="H145" s="85"/>
      <c r="I145" s="85"/>
      <c r="J145" s="85"/>
      <c r="K145" s="85"/>
      <c r="L145" s="85"/>
      <c r="M145" s="86"/>
      <c r="N145" s="86"/>
      <c r="O145" s="86"/>
      <c r="P145" s="86"/>
      <c r="Q145" s="86"/>
      <c r="R145" s="86"/>
      <c r="S145" s="85"/>
      <c r="T145" s="85"/>
      <c r="U145" s="85"/>
      <c r="V145" s="85"/>
      <c r="W145" s="85"/>
      <c r="X145" s="85"/>
      <c r="Y145" s="87"/>
      <c r="Z145" s="87"/>
      <c r="AA145" s="87"/>
      <c r="AB145" s="87"/>
      <c r="AC145" s="87"/>
      <c r="AD145" s="87"/>
    </row>
    <row r="146" ht="15.75" customHeight="1">
      <c r="G146" s="85"/>
      <c r="H146" s="85"/>
      <c r="I146" s="85"/>
      <c r="J146" s="85"/>
      <c r="K146" s="85"/>
      <c r="L146" s="85"/>
      <c r="M146" s="86"/>
      <c r="N146" s="86"/>
      <c r="O146" s="86"/>
      <c r="P146" s="86"/>
      <c r="Q146" s="86"/>
      <c r="R146" s="86"/>
      <c r="S146" s="85"/>
      <c r="T146" s="85"/>
      <c r="U146" s="85"/>
      <c r="V146" s="85"/>
      <c r="W146" s="85"/>
      <c r="X146" s="85"/>
      <c r="Y146" s="87"/>
      <c r="Z146" s="87"/>
      <c r="AA146" s="87"/>
      <c r="AB146" s="87"/>
      <c r="AC146" s="87"/>
      <c r="AD146" s="87"/>
    </row>
    <row r="147" ht="15.75" customHeight="1">
      <c r="G147" s="85"/>
      <c r="H147" s="85"/>
      <c r="I147" s="85"/>
      <c r="J147" s="85"/>
      <c r="K147" s="85"/>
      <c r="L147" s="85"/>
      <c r="M147" s="86"/>
      <c r="N147" s="86"/>
      <c r="O147" s="86"/>
      <c r="P147" s="86"/>
      <c r="Q147" s="86"/>
      <c r="R147" s="86"/>
      <c r="S147" s="85"/>
      <c r="T147" s="85"/>
      <c r="U147" s="85"/>
      <c r="V147" s="85"/>
      <c r="W147" s="85"/>
      <c r="X147" s="85"/>
      <c r="Y147" s="87"/>
      <c r="Z147" s="87"/>
      <c r="AA147" s="87"/>
      <c r="AB147" s="87"/>
      <c r="AC147" s="87"/>
      <c r="AD147" s="87"/>
    </row>
    <row r="148" ht="15.75" customHeight="1">
      <c r="G148" s="85"/>
      <c r="H148" s="85"/>
      <c r="I148" s="85"/>
      <c r="J148" s="85"/>
      <c r="K148" s="85"/>
      <c r="L148" s="85"/>
      <c r="M148" s="86"/>
      <c r="N148" s="86"/>
      <c r="O148" s="86"/>
      <c r="P148" s="86"/>
      <c r="Q148" s="86"/>
      <c r="R148" s="86"/>
      <c r="S148" s="85"/>
      <c r="T148" s="85"/>
      <c r="U148" s="85"/>
      <c r="V148" s="85"/>
      <c r="W148" s="85"/>
      <c r="X148" s="85"/>
      <c r="Y148" s="87"/>
      <c r="Z148" s="87"/>
      <c r="AA148" s="87"/>
      <c r="AB148" s="87"/>
      <c r="AC148" s="87"/>
      <c r="AD148" s="87"/>
    </row>
    <row r="149" ht="15.75" customHeight="1">
      <c r="G149" s="85"/>
      <c r="H149" s="85"/>
      <c r="I149" s="85"/>
      <c r="J149" s="85"/>
      <c r="K149" s="85"/>
      <c r="L149" s="85"/>
      <c r="M149" s="86"/>
      <c r="N149" s="86"/>
      <c r="O149" s="86"/>
      <c r="P149" s="86"/>
      <c r="Q149" s="86"/>
      <c r="R149" s="86"/>
      <c r="S149" s="85"/>
      <c r="T149" s="85"/>
      <c r="U149" s="85"/>
      <c r="V149" s="85"/>
      <c r="W149" s="85"/>
      <c r="X149" s="85"/>
      <c r="Y149" s="87"/>
      <c r="Z149" s="87"/>
      <c r="AA149" s="87"/>
      <c r="AB149" s="87"/>
      <c r="AC149" s="87"/>
      <c r="AD149" s="87"/>
    </row>
    <row r="150" ht="15.75" customHeight="1">
      <c r="G150" s="85"/>
      <c r="H150" s="85"/>
      <c r="I150" s="85"/>
      <c r="J150" s="85"/>
      <c r="K150" s="85"/>
      <c r="L150" s="85"/>
      <c r="M150" s="86"/>
      <c r="N150" s="86"/>
      <c r="O150" s="86"/>
      <c r="P150" s="86"/>
      <c r="Q150" s="86"/>
      <c r="R150" s="86"/>
      <c r="S150" s="85"/>
      <c r="T150" s="85"/>
      <c r="U150" s="85"/>
      <c r="V150" s="85"/>
      <c r="W150" s="85"/>
      <c r="X150" s="85"/>
      <c r="Y150" s="87"/>
      <c r="Z150" s="87"/>
      <c r="AA150" s="87"/>
      <c r="AB150" s="87"/>
      <c r="AC150" s="87"/>
      <c r="AD150" s="87"/>
    </row>
    <row r="151" ht="15.75" customHeight="1">
      <c r="G151" s="85"/>
      <c r="H151" s="85"/>
      <c r="I151" s="85"/>
      <c r="J151" s="85"/>
      <c r="K151" s="85"/>
      <c r="L151" s="85"/>
      <c r="M151" s="86"/>
      <c r="N151" s="86"/>
      <c r="O151" s="86"/>
      <c r="P151" s="86"/>
      <c r="Q151" s="86"/>
      <c r="R151" s="86"/>
      <c r="S151" s="85"/>
      <c r="T151" s="85"/>
      <c r="U151" s="85"/>
      <c r="V151" s="85"/>
      <c r="W151" s="85"/>
      <c r="X151" s="85"/>
      <c r="Y151" s="87"/>
      <c r="Z151" s="87"/>
      <c r="AA151" s="87"/>
      <c r="AB151" s="87"/>
      <c r="AC151" s="87"/>
      <c r="AD151" s="87"/>
    </row>
    <row r="152" ht="15.75" customHeight="1">
      <c r="G152" s="85"/>
      <c r="H152" s="85"/>
      <c r="I152" s="85"/>
      <c r="J152" s="85"/>
      <c r="K152" s="85"/>
      <c r="L152" s="85"/>
      <c r="M152" s="86"/>
      <c r="N152" s="86"/>
      <c r="O152" s="86"/>
      <c r="P152" s="86"/>
      <c r="Q152" s="86"/>
      <c r="R152" s="86"/>
      <c r="S152" s="85"/>
      <c r="T152" s="85"/>
      <c r="U152" s="85"/>
      <c r="V152" s="85"/>
      <c r="W152" s="85"/>
      <c r="X152" s="85"/>
      <c r="Y152" s="87"/>
      <c r="Z152" s="87"/>
      <c r="AA152" s="87"/>
      <c r="AB152" s="87"/>
      <c r="AC152" s="87"/>
      <c r="AD152" s="87"/>
    </row>
    <row r="153" ht="15.75" customHeight="1">
      <c r="G153" s="85"/>
      <c r="H153" s="85"/>
      <c r="I153" s="85"/>
      <c r="J153" s="85"/>
      <c r="K153" s="85"/>
      <c r="L153" s="85"/>
      <c r="M153" s="86"/>
      <c r="N153" s="86"/>
      <c r="O153" s="86"/>
      <c r="P153" s="86"/>
      <c r="Q153" s="86"/>
      <c r="R153" s="86"/>
      <c r="S153" s="85"/>
      <c r="T153" s="85"/>
      <c r="U153" s="85"/>
      <c r="V153" s="85"/>
      <c r="W153" s="85"/>
      <c r="X153" s="85"/>
      <c r="Y153" s="87"/>
      <c r="Z153" s="87"/>
      <c r="AA153" s="87"/>
      <c r="AB153" s="87"/>
      <c r="AC153" s="87"/>
      <c r="AD153" s="87"/>
    </row>
    <row r="154" ht="15.75" customHeight="1">
      <c r="G154" s="85"/>
      <c r="H154" s="85"/>
      <c r="I154" s="85"/>
      <c r="J154" s="85"/>
      <c r="K154" s="85"/>
      <c r="L154" s="85"/>
      <c r="M154" s="86"/>
      <c r="N154" s="86"/>
      <c r="O154" s="86"/>
      <c r="P154" s="86"/>
      <c r="Q154" s="86"/>
      <c r="R154" s="86"/>
      <c r="S154" s="85"/>
      <c r="T154" s="85"/>
      <c r="U154" s="85"/>
      <c r="V154" s="85"/>
      <c r="W154" s="85"/>
      <c r="X154" s="85"/>
      <c r="Y154" s="87"/>
      <c r="Z154" s="87"/>
      <c r="AA154" s="87"/>
      <c r="AB154" s="87"/>
      <c r="AC154" s="87"/>
      <c r="AD154" s="87"/>
    </row>
    <row r="155" ht="15.75" customHeight="1">
      <c r="G155" s="85"/>
      <c r="H155" s="85"/>
      <c r="I155" s="85"/>
      <c r="J155" s="85"/>
      <c r="K155" s="85"/>
      <c r="L155" s="85"/>
      <c r="M155" s="86"/>
      <c r="N155" s="86"/>
      <c r="O155" s="86"/>
      <c r="P155" s="86"/>
      <c r="Q155" s="86"/>
      <c r="R155" s="86"/>
      <c r="S155" s="85"/>
      <c r="T155" s="85"/>
      <c r="U155" s="85"/>
      <c r="V155" s="85"/>
      <c r="W155" s="85"/>
      <c r="X155" s="85"/>
      <c r="Y155" s="87"/>
      <c r="Z155" s="87"/>
      <c r="AA155" s="87"/>
      <c r="AB155" s="87"/>
      <c r="AC155" s="87"/>
      <c r="AD155" s="87"/>
    </row>
    <row r="156" ht="15.75" customHeight="1">
      <c r="G156" s="85"/>
      <c r="H156" s="85"/>
      <c r="I156" s="85"/>
      <c r="J156" s="85"/>
      <c r="K156" s="85"/>
      <c r="L156" s="85"/>
      <c r="M156" s="86"/>
      <c r="N156" s="86"/>
      <c r="O156" s="86"/>
      <c r="P156" s="86"/>
      <c r="Q156" s="86"/>
      <c r="R156" s="86"/>
      <c r="S156" s="85"/>
      <c r="T156" s="85"/>
      <c r="U156" s="85"/>
      <c r="V156" s="85"/>
      <c r="W156" s="85"/>
      <c r="X156" s="85"/>
      <c r="Y156" s="87"/>
      <c r="Z156" s="87"/>
      <c r="AA156" s="87"/>
      <c r="AB156" s="87"/>
      <c r="AC156" s="87"/>
      <c r="AD156" s="87"/>
    </row>
    <row r="157" ht="15.75" customHeight="1">
      <c r="G157" s="85"/>
      <c r="H157" s="85"/>
      <c r="I157" s="85"/>
      <c r="J157" s="85"/>
      <c r="K157" s="85"/>
      <c r="L157" s="85"/>
      <c r="M157" s="86"/>
      <c r="N157" s="86"/>
      <c r="O157" s="86"/>
      <c r="P157" s="86"/>
      <c r="Q157" s="86"/>
      <c r="R157" s="86"/>
      <c r="S157" s="85"/>
      <c r="T157" s="85"/>
      <c r="U157" s="85"/>
      <c r="V157" s="85"/>
      <c r="W157" s="85"/>
      <c r="X157" s="85"/>
      <c r="Y157" s="87"/>
      <c r="Z157" s="87"/>
      <c r="AA157" s="87"/>
      <c r="AB157" s="87"/>
      <c r="AC157" s="87"/>
      <c r="AD157" s="87"/>
    </row>
    <row r="158" ht="15.75" customHeight="1">
      <c r="G158" s="85"/>
      <c r="H158" s="85"/>
      <c r="I158" s="85"/>
      <c r="J158" s="85"/>
      <c r="K158" s="85"/>
      <c r="L158" s="85"/>
      <c r="M158" s="86"/>
      <c r="N158" s="86"/>
      <c r="O158" s="86"/>
      <c r="P158" s="86"/>
      <c r="Q158" s="86"/>
      <c r="R158" s="86"/>
      <c r="S158" s="85"/>
      <c r="T158" s="85"/>
      <c r="U158" s="85"/>
      <c r="V158" s="85"/>
      <c r="W158" s="85"/>
      <c r="X158" s="85"/>
      <c r="Y158" s="87"/>
      <c r="Z158" s="87"/>
      <c r="AA158" s="87"/>
      <c r="AB158" s="87"/>
      <c r="AC158" s="87"/>
      <c r="AD158" s="87"/>
    </row>
    <row r="159" ht="15.75" customHeight="1">
      <c r="G159" s="85"/>
      <c r="H159" s="85"/>
      <c r="I159" s="85"/>
      <c r="J159" s="85"/>
      <c r="K159" s="85"/>
      <c r="L159" s="85"/>
      <c r="M159" s="86"/>
      <c r="N159" s="86"/>
      <c r="O159" s="86"/>
      <c r="P159" s="86"/>
      <c r="Q159" s="86"/>
      <c r="R159" s="86"/>
      <c r="S159" s="85"/>
      <c r="T159" s="85"/>
      <c r="U159" s="85"/>
      <c r="V159" s="85"/>
      <c r="W159" s="85"/>
      <c r="X159" s="85"/>
      <c r="Y159" s="87"/>
      <c r="Z159" s="87"/>
      <c r="AA159" s="87"/>
      <c r="AB159" s="87"/>
      <c r="AC159" s="87"/>
      <c r="AD159" s="87"/>
    </row>
    <row r="160" ht="15.75" customHeight="1">
      <c r="G160" s="85"/>
      <c r="H160" s="85"/>
      <c r="I160" s="85"/>
      <c r="J160" s="85"/>
      <c r="K160" s="85"/>
      <c r="L160" s="85"/>
      <c r="M160" s="86"/>
      <c r="N160" s="86"/>
      <c r="O160" s="86"/>
      <c r="P160" s="86"/>
      <c r="Q160" s="86"/>
      <c r="R160" s="86"/>
      <c r="S160" s="85"/>
      <c r="T160" s="85"/>
      <c r="U160" s="85"/>
      <c r="V160" s="85"/>
      <c r="W160" s="85"/>
      <c r="X160" s="85"/>
      <c r="Y160" s="87"/>
      <c r="Z160" s="87"/>
      <c r="AA160" s="87"/>
      <c r="AB160" s="87"/>
      <c r="AC160" s="87"/>
      <c r="AD160" s="87"/>
    </row>
    <row r="161" ht="15.75" customHeight="1">
      <c r="G161" s="85"/>
      <c r="H161" s="85"/>
      <c r="I161" s="85"/>
      <c r="J161" s="85"/>
      <c r="K161" s="85"/>
      <c r="L161" s="85"/>
      <c r="M161" s="86"/>
      <c r="N161" s="86"/>
      <c r="O161" s="86"/>
      <c r="P161" s="86"/>
      <c r="Q161" s="86"/>
      <c r="R161" s="86"/>
      <c r="S161" s="85"/>
      <c r="T161" s="85"/>
      <c r="U161" s="85"/>
      <c r="V161" s="85"/>
      <c r="W161" s="85"/>
      <c r="X161" s="85"/>
      <c r="Y161" s="87"/>
      <c r="Z161" s="87"/>
      <c r="AA161" s="87"/>
      <c r="AB161" s="87"/>
      <c r="AC161" s="87"/>
      <c r="AD161" s="87"/>
    </row>
    <row r="162" ht="15.75" customHeight="1">
      <c r="G162" s="85"/>
      <c r="H162" s="85"/>
      <c r="I162" s="85"/>
      <c r="J162" s="85"/>
      <c r="K162" s="85"/>
      <c r="L162" s="85"/>
      <c r="M162" s="86"/>
      <c r="N162" s="86"/>
      <c r="O162" s="86"/>
      <c r="P162" s="86"/>
      <c r="Q162" s="86"/>
      <c r="R162" s="86"/>
      <c r="S162" s="85"/>
      <c r="T162" s="85"/>
      <c r="U162" s="85"/>
      <c r="V162" s="85"/>
      <c r="W162" s="85"/>
      <c r="X162" s="85"/>
      <c r="Y162" s="87"/>
      <c r="Z162" s="87"/>
      <c r="AA162" s="87"/>
      <c r="AB162" s="87"/>
      <c r="AC162" s="87"/>
      <c r="AD162" s="87"/>
    </row>
    <row r="163" ht="15.75" customHeight="1">
      <c r="G163" s="85"/>
      <c r="H163" s="85"/>
      <c r="I163" s="85"/>
      <c r="J163" s="85"/>
      <c r="K163" s="85"/>
      <c r="L163" s="85"/>
      <c r="M163" s="86"/>
      <c r="N163" s="86"/>
      <c r="O163" s="86"/>
      <c r="P163" s="86"/>
      <c r="Q163" s="86"/>
      <c r="R163" s="86"/>
      <c r="S163" s="85"/>
      <c r="T163" s="85"/>
      <c r="U163" s="85"/>
      <c r="V163" s="85"/>
      <c r="W163" s="85"/>
      <c r="X163" s="85"/>
      <c r="Y163" s="87"/>
      <c r="Z163" s="87"/>
      <c r="AA163" s="87"/>
      <c r="AB163" s="87"/>
      <c r="AC163" s="87"/>
      <c r="AD163" s="87"/>
    </row>
    <row r="164" ht="15.75" customHeight="1">
      <c r="G164" s="85"/>
      <c r="H164" s="85"/>
      <c r="I164" s="85"/>
      <c r="J164" s="85"/>
      <c r="K164" s="85"/>
      <c r="L164" s="85"/>
      <c r="M164" s="86"/>
      <c r="N164" s="86"/>
      <c r="O164" s="86"/>
      <c r="P164" s="86"/>
      <c r="Q164" s="86"/>
      <c r="R164" s="86"/>
      <c r="S164" s="85"/>
      <c r="T164" s="85"/>
      <c r="U164" s="85"/>
      <c r="V164" s="85"/>
      <c r="W164" s="85"/>
      <c r="X164" s="85"/>
      <c r="Y164" s="87"/>
      <c r="Z164" s="87"/>
      <c r="AA164" s="87"/>
      <c r="AB164" s="87"/>
      <c r="AC164" s="87"/>
      <c r="AD164" s="87"/>
    </row>
    <row r="165" ht="15.75" customHeight="1">
      <c r="G165" s="85"/>
      <c r="H165" s="85"/>
      <c r="I165" s="85"/>
      <c r="J165" s="85"/>
      <c r="K165" s="85"/>
      <c r="L165" s="85"/>
      <c r="M165" s="86"/>
      <c r="N165" s="86"/>
      <c r="O165" s="86"/>
      <c r="P165" s="86"/>
      <c r="Q165" s="86"/>
      <c r="R165" s="86"/>
      <c r="S165" s="85"/>
      <c r="T165" s="85"/>
      <c r="U165" s="85"/>
      <c r="V165" s="85"/>
      <c r="W165" s="85"/>
      <c r="X165" s="85"/>
      <c r="Y165" s="87"/>
      <c r="Z165" s="87"/>
      <c r="AA165" s="87"/>
      <c r="AB165" s="87"/>
      <c r="AC165" s="87"/>
      <c r="AD165" s="87"/>
    </row>
    <row r="166" ht="15.75" customHeight="1">
      <c r="G166" s="85"/>
      <c r="H166" s="85"/>
      <c r="I166" s="85"/>
      <c r="J166" s="85"/>
      <c r="K166" s="85"/>
      <c r="L166" s="85"/>
      <c r="M166" s="86"/>
      <c r="N166" s="86"/>
      <c r="O166" s="86"/>
      <c r="P166" s="86"/>
      <c r="Q166" s="86"/>
      <c r="R166" s="86"/>
      <c r="S166" s="85"/>
      <c r="T166" s="85"/>
      <c r="U166" s="85"/>
      <c r="V166" s="85"/>
      <c r="W166" s="85"/>
      <c r="X166" s="85"/>
      <c r="Y166" s="87"/>
      <c r="Z166" s="87"/>
      <c r="AA166" s="87"/>
      <c r="AB166" s="87"/>
      <c r="AC166" s="87"/>
      <c r="AD166" s="87"/>
    </row>
    <row r="167" ht="15.75" customHeight="1">
      <c r="G167" s="85"/>
      <c r="H167" s="85"/>
      <c r="I167" s="85"/>
      <c r="J167" s="85"/>
      <c r="K167" s="85"/>
      <c r="L167" s="85"/>
      <c r="M167" s="86"/>
      <c r="N167" s="86"/>
      <c r="O167" s="86"/>
      <c r="P167" s="86"/>
      <c r="Q167" s="86"/>
      <c r="R167" s="86"/>
      <c r="S167" s="85"/>
      <c r="T167" s="85"/>
      <c r="U167" s="85"/>
      <c r="V167" s="85"/>
      <c r="W167" s="85"/>
      <c r="X167" s="85"/>
      <c r="Y167" s="87"/>
      <c r="Z167" s="87"/>
      <c r="AA167" s="87"/>
      <c r="AB167" s="87"/>
      <c r="AC167" s="87"/>
      <c r="AD167" s="87"/>
    </row>
    <row r="168" ht="15.75" customHeight="1">
      <c r="G168" s="85"/>
      <c r="H168" s="85"/>
      <c r="I168" s="85"/>
      <c r="J168" s="85"/>
      <c r="K168" s="85"/>
      <c r="L168" s="85"/>
      <c r="M168" s="86"/>
      <c r="N168" s="86"/>
      <c r="O168" s="86"/>
      <c r="P168" s="86"/>
      <c r="Q168" s="86"/>
      <c r="R168" s="86"/>
      <c r="S168" s="85"/>
      <c r="T168" s="85"/>
      <c r="U168" s="85"/>
      <c r="V168" s="85"/>
      <c r="W168" s="85"/>
      <c r="X168" s="85"/>
      <c r="Y168" s="87"/>
      <c r="Z168" s="87"/>
      <c r="AA168" s="87"/>
      <c r="AB168" s="87"/>
      <c r="AC168" s="87"/>
      <c r="AD168" s="87"/>
    </row>
    <row r="169" ht="15.75" customHeight="1">
      <c r="G169" s="85"/>
      <c r="H169" s="85"/>
      <c r="I169" s="85"/>
      <c r="J169" s="85"/>
      <c r="K169" s="85"/>
      <c r="L169" s="85"/>
      <c r="M169" s="86"/>
      <c r="N169" s="86"/>
      <c r="O169" s="86"/>
      <c r="P169" s="86"/>
      <c r="Q169" s="86"/>
      <c r="R169" s="86"/>
      <c r="S169" s="85"/>
      <c r="T169" s="85"/>
      <c r="U169" s="85"/>
      <c r="V169" s="85"/>
      <c r="W169" s="85"/>
      <c r="X169" s="85"/>
      <c r="Y169" s="87"/>
      <c r="Z169" s="87"/>
      <c r="AA169" s="87"/>
      <c r="AB169" s="87"/>
      <c r="AC169" s="87"/>
      <c r="AD169" s="87"/>
    </row>
    <row r="170" ht="15.75" customHeight="1">
      <c r="G170" s="85"/>
      <c r="H170" s="85"/>
      <c r="I170" s="85"/>
      <c r="J170" s="85"/>
      <c r="K170" s="85"/>
      <c r="L170" s="85"/>
      <c r="M170" s="86"/>
      <c r="N170" s="86"/>
      <c r="O170" s="86"/>
      <c r="P170" s="86"/>
      <c r="Q170" s="86"/>
      <c r="R170" s="86"/>
      <c r="S170" s="85"/>
      <c r="T170" s="85"/>
      <c r="U170" s="85"/>
      <c r="V170" s="85"/>
      <c r="W170" s="85"/>
      <c r="X170" s="85"/>
      <c r="Y170" s="87"/>
      <c r="Z170" s="87"/>
      <c r="AA170" s="87"/>
      <c r="AB170" s="87"/>
      <c r="AC170" s="87"/>
      <c r="AD170" s="87"/>
    </row>
    <row r="171" ht="15.75" customHeight="1">
      <c r="G171" s="85"/>
      <c r="H171" s="85"/>
      <c r="I171" s="85"/>
      <c r="J171" s="85"/>
      <c r="K171" s="85"/>
      <c r="L171" s="85"/>
      <c r="M171" s="86"/>
      <c r="N171" s="86"/>
      <c r="O171" s="86"/>
      <c r="P171" s="86"/>
      <c r="Q171" s="86"/>
      <c r="R171" s="86"/>
      <c r="S171" s="85"/>
      <c r="T171" s="85"/>
      <c r="U171" s="85"/>
      <c r="V171" s="85"/>
      <c r="W171" s="85"/>
      <c r="X171" s="85"/>
      <c r="Y171" s="87"/>
      <c r="Z171" s="87"/>
      <c r="AA171" s="87"/>
      <c r="AB171" s="87"/>
      <c r="AC171" s="87"/>
      <c r="AD171" s="87"/>
    </row>
    <row r="172" ht="15.75" customHeight="1">
      <c r="G172" s="85"/>
      <c r="H172" s="85"/>
      <c r="I172" s="85"/>
      <c r="J172" s="85"/>
      <c r="K172" s="85"/>
      <c r="L172" s="85"/>
      <c r="M172" s="86"/>
      <c r="N172" s="86"/>
      <c r="O172" s="86"/>
      <c r="P172" s="86"/>
      <c r="Q172" s="86"/>
      <c r="R172" s="86"/>
      <c r="S172" s="85"/>
      <c r="T172" s="85"/>
      <c r="U172" s="85"/>
      <c r="V172" s="85"/>
      <c r="W172" s="85"/>
      <c r="X172" s="85"/>
      <c r="Y172" s="87"/>
      <c r="Z172" s="87"/>
      <c r="AA172" s="87"/>
      <c r="AB172" s="87"/>
      <c r="AC172" s="87"/>
      <c r="AD172" s="87"/>
    </row>
    <row r="173" ht="15.75" customHeight="1">
      <c r="G173" s="85"/>
      <c r="H173" s="85"/>
      <c r="I173" s="85"/>
      <c r="J173" s="85"/>
      <c r="K173" s="85"/>
      <c r="L173" s="85"/>
      <c r="M173" s="86"/>
      <c r="N173" s="86"/>
      <c r="O173" s="86"/>
      <c r="P173" s="86"/>
      <c r="Q173" s="86"/>
      <c r="R173" s="86"/>
      <c r="S173" s="85"/>
      <c r="T173" s="85"/>
      <c r="U173" s="85"/>
      <c r="V173" s="85"/>
      <c r="W173" s="85"/>
      <c r="X173" s="85"/>
      <c r="Y173" s="87"/>
      <c r="Z173" s="87"/>
      <c r="AA173" s="87"/>
      <c r="AB173" s="87"/>
      <c r="AC173" s="87"/>
      <c r="AD173" s="87"/>
    </row>
    <row r="174" ht="15.75" customHeight="1">
      <c r="G174" s="85"/>
      <c r="H174" s="85"/>
      <c r="I174" s="85"/>
      <c r="J174" s="85"/>
      <c r="K174" s="85"/>
      <c r="L174" s="85"/>
      <c r="M174" s="86"/>
      <c r="N174" s="86"/>
      <c r="O174" s="86"/>
      <c r="P174" s="86"/>
      <c r="Q174" s="86"/>
      <c r="R174" s="86"/>
      <c r="S174" s="85"/>
      <c r="T174" s="85"/>
      <c r="U174" s="85"/>
      <c r="V174" s="85"/>
      <c r="W174" s="85"/>
      <c r="X174" s="85"/>
      <c r="Y174" s="87"/>
      <c r="Z174" s="87"/>
      <c r="AA174" s="87"/>
      <c r="AB174" s="87"/>
      <c r="AC174" s="87"/>
      <c r="AD174" s="87"/>
    </row>
    <row r="175" ht="15.75" customHeight="1">
      <c r="G175" s="85"/>
      <c r="H175" s="85"/>
      <c r="I175" s="85"/>
      <c r="J175" s="85"/>
      <c r="K175" s="85"/>
      <c r="L175" s="85"/>
      <c r="M175" s="86"/>
      <c r="N175" s="86"/>
      <c r="O175" s="86"/>
      <c r="P175" s="86"/>
      <c r="Q175" s="86"/>
      <c r="R175" s="86"/>
      <c r="S175" s="85"/>
      <c r="T175" s="85"/>
      <c r="U175" s="85"/>
      <c r="V175" s="85"/>
      <c r="W175" s="85"/>
      <c r="X175" s="85"/>
      <c r="Y175" s="87"/>
      <c r="Z175" s="87"/>
      <c r="AA175" s="87"/>
      <c r="AB175" s="87"/>
      <c r="AC175" s="87"/>
      <c r="AD175" s="87"/>
    </row>
    <row r="176" ht="15.75" customHeight="1">
      <c r="G176" s="85"/>
      <c r="H176" s="85"/>
      <c r="I176" s="85"/>
      <c r="J176" s="85"/>
      <c r="K176" s="85"/>
      <c r="L176" s="85"/>
      <c r="M176" s="86"/>
      <c r="N176" s="86"/>
      <c r="O176" s="86"/>
      <c r="P176" s="86"/>
      <c r="Q176" s="86"/>
      <c r="R176" s="86"/>
      <c r="S176" s="85"/>
      <c r="T176" s="85"/>
      <c r="U176" s="85"/>
      <c r="V176" s="85"/>
      <c r="W176" s="85"/>
      <c r="X176" s="85"/>
      <c r="Y176" s="87"/>
      <c r="Z176" s="87"/>
      <c r="AA176" s="87"/>
      <c r="AB176" s="87"/>
      <c r="AC176" s="87"/>
      <c r="AD176" s="87"/>
    </row>
    <row r="177" ht="15.75" customHeight="1">
      <c r="G177" s="85"/>
      <c r="H177" s="85"/>
      <c r="I177" s="85"/>
      <c r="J177" s="85"/>
      <c r="K177" s="85"/>
      <c r="L177" s="85"/>
      <c r="M177" s="86"/>
      <c r="N177" s="86"/>
      <c r="O177" s="86"/>
      <c r="P177" s="86"/>
      <c r="Q177" s="86"/>
      <c r="R177" s="86"/>
      <c r="S177" s="85"/>
      <c r="T177" s="85"/>
      <c r="U177" s="85"/>
      <c r="V177" s="85"/>
      <c r="W177" s="85"/>
      <c r="X177" s="85"/>
      <c r="Y177" s="87"/>
      <c r="Z177" s="87"/>
      <c r="AA177" s="87"/>
      <c r="AB177" s="87"/>
      <c r="AC177" s="87"/>
      <c r="AD177" s="87"/>
    </row>
    <row r="178" ht="15.75" customHeight="1">
      <c r="G178" s="85"/>
      <c r="H178" s="85"/>
      <c r="I178" s="85"/>
      <c r="J178" s="85"/>
      <c r="K178" s="85"/>
      <c r="L178" s="85"/>
      <c r="M178" s="86"/>
      <c r="N178" s="86"/>
      <c r="O178" s="86"/>
      <c r="P178" s="86"/>
      <c r="Q178" s="86"/>
      <c r="R178" s="86"/>
      <c r="S178" s="85"/>
      <c r="T178" s="85"/>
      <c r="U178" s="85"/>
      <c r="V178" s="85"/>
      <c r="W178" s="85"/>
      <c r="X178" s="85"/>
      <c r="Y178" s="87"/>
      <c r="Z178" s="87"/>
      <c r="AA178" s="87"/>
      <c r="AB178" s="87"/>
      <c r="AC178" s="87"/>
      <c r="AD178" s="87"/>
    </row>
    <row r="179" ht="15.75" customHeight="1">
      <c r="G179" s="85"/>
      <c r="H179" s="85"/>
      <c r="I179" s="85"/>
      <c r="J179" s="85"/>
      <c r="K179" s="85"/>
      <c r="L179" s="85"/>
      <c r="M179" s="86"/>
      <c r="N179" s="86"/>
      <c r="O179" s="86"/>
      <c r="P179" s="86"/>
      <c r="Q179" s="86"/>
      <c r="R179" s="86"/>
      <c r="S179" s="85"/>
      <c r="T179" s="85"/>
      <c r="U179" s="85"/>
      <c r="V179" s="85"/>
      <c r="W179" s="85"/>
      <c r="X179" s="85"/>
      <c r="Y179" s="87"/>
      <c r="Z179" s="87"/>
      <c r="AA179" s="87"/>
      <c r="AB179" s="87"/>
      <c r="AC179" s="87"/>
      <c r="AD179" s="87"/>
    </row>
    <row r="180" ht="15.75" customHeight="1">
      <c r="G180" s="85"/>
      <c r="H180" s="85"/>
      <c r="I180" s="85"/>
      <c r="J180" s="85"/>
      <c r="K180" s="85"/>
      <c r="L180" s="85"/>
      <c r="M180" s="86"/>
      <c r="N180" s="86"/>
      <c r="O180" s="86"/>
      <c r="P180" s="86"/>
      <c r="Q180" s="86"/>
      <c r="R180" s="86"/>
      <c r="S180" s="85"/>
      <c r="T180" s="85"/>
      <c r="U180" s="85"/>
      <c r="V180" s="85"/>
      <c r="W180" s="85"/>
      <c r="X180" s="85"/>
      <c r="Y180" s="87"/>
      <c r="Z180" s="87"/>
      <c r="AA180" s="87"/>
      <c r="AB180" s="87"/>
      <c r="AC180" s="87"/>
      <c r="AD180" s="87"/>
    </row>
    <row r="181" ht="15.75" customHeight="1">
      <c r="G181" s="85"/>
      <c r="H181" s="85"/>
      <c r="I181" s="85"/>
      <c r="J181" s="85"/>
      <c r="K181" s="85"/>
      <c r="L181" s="85"/>
      <c r="M181" s="86"/>
      <c r="N181" s="86"/>
      <c r="O181" s="86"/>
      <c r="P181" s="86"/>
      <c r="Q181" s="86"/>
      <c r="R181" s="86"/>
      <c r="S181" s="85"/>
      <c r="T181" s="85"/>
      <c r="U181" s="85"/>
      <c r="V181" s="85"/>
      <c r="W181" s="85"/>
      <c r="X181" s="85"/>
      <c r="Y181" s="87"/>
      <c r="Z181" s="87"/>
      <c r="AA181" s="87"/>
      <c r="AB181" s="87"/>
      <c r="AC181" s="87"/>
      <c r="AD181" s="87"/>
    </row>
    <row r="182" ht="15.75" customHeight="1">
      <c r="G182" s="85"/>
      <c r="H182" s="85"/>
      <c r="I182" s="85"/>
      <c r="J182" s="85"/>
      <c r="K182" s="85"/>
      <c r="L182" s="85"/>
      <c r="M182" s="86"/>
      <c r="N182" s="86"/>
      <c r="O182" s="86"/>
      <c r="P182" s="86"/>
      <c r="Q182" s="86"/>
      <c r="R182" s="86"/>
      <c r="S182" s="85"/>
      <c r="T182" s="85"/>
      <c r="U182" s="85"/>
      <c r="V182" s="85"/>
      <c r="W182" s="85"/>
      <c r="X182" s="85"/>
      <c r="Y182" s="87"/>
      <c r="Z182" s="87"/>
      <c r="AA182" s="87"/>
      <c r="AB182" s="87"/>
      <c r="AC182" s="87"/>
      <c r="AD182" s="87"/>
    </row>
    <row r="183" ht="15.75" customHeight="1">
      <c r="G183" s="85"/>
      <c r="H183" s="85"/>
      <c r="I183" s="85"/>
      <c r="J183" s="85"/>
      <c r="K183" s="85"/>
      <c r="L183" s="85"/>
      <c r="M183" s="86"/>
      <c r="N183" s="86"/>
      <c r="O183" s="86"/>
      <c r="P183" s="86"/>
      <c r="Q183" s="86"/>
      <c r="R183" s="86"/>
      <c r="S183" s="85"/>
      <c r="T183" s="85"/>
      <c r="U183" s="85"/>
      <c r="V183" s="85"/>
      <c r="W183" s="85"/>
      <c r="X183" s="85"/>
      <c r="Y183" s="87"/>
      <c r="Z183" s="87"/>
      <c r="AA183" s="87"/>
      <c r="AB183" s="87"/>
      <c r="AC183" s="87"/>
      <c r="AD183" s="87"/>
    </row>
    <row r="184" ht="15.75" customHeight="1">
      <c r="G184" s="85"/>
      <c r="H184" s="85"/>
      <c r="I184" s="85"/>
      <c r="J184" s="85"/>
      <c r="K184" s="85"/>
      <c r="L184" s="85"/>
      <c r="M184" s="86"/>
      <c r="N184" s="86"/>
      <c r="O184" s="86"/>
      <c r="P184" s="86"/>
      <c r="Q184" s="86"/>
      <c r="R184" s="86"/>
      <c r="S184" s="85"/>
      <c r="T184" s="85"/>
      <c r="U184" s="85"/>
      <c r="V184" s="85"/>
      <c r="W184" s="85"/>
      <c r="X184" s="85"/>
      <c r="Y184" s="87"/>
      <c r="Z184" s="87"/>
      <c r="AA184" s="87"/>
      <c r="AB184" s="87"/>
      <c r="AC184" s="87"/>
      <c r="AD184" s="87"/>
    </row>
    <row r="185" ht="15.75" customHeight="1">
      <c r="G185" s="85"/>
      <c r="H185" s="85"/>
      <c r="I185" s="85"/>
      <c r="J185" s="85"/>
      <c r="K185" s="85"/>
      <c r="L185" s="85"/>
      <c r="M185" s="86"/>
      <c r="N185" s="86"/>
      <c r="O185" s="86"/>
      <c r="P185" s="86"/>
      <c r="Q185" s="86"/>
      <c r="R185" s="86"/>
      <c r="S185" s="85"/>
      <c r="T185" s="85"/>
      <c r="U185" s="85"/>
      <c r="V185" s="85"/>
      <c r="W185" s="85"/>
      <c r="X185" s="85"/>
      <c r="Y185" s="87"/>
      <c r="Z185" s="87"/>
      <c r="AA185" s="87"/>
      <c r="AB185" s="87"/>
      <c r="AC185" s="87"/>
      <c r="AD185" s="87"/>
    </row>
    <row r="186" ht="15.75" customHeight="1">
      <c r="G186" s="85"/>
      <c r="H186" s="85"/>
      <c r="I186" s="85"/>
      <c r="J186" s="85"/>
      <c r="K186" s="85"/>
      <c r="L186" s="85"/>
      <c r="M186" s="86"/>
      <c r="N186" s="86"/>
      <c r="O186" s="86"/>
      <c r="P186" s="86"/>
      <c r="Q186" s="86"/>
      <c r="R186" s="86"/>
      <c r="S186" s="85"/>
      <c r="T186" s="85"/>
      <c r="U186" s="85"/>
      <c r="V186" s="85"/>
      <c r="W186" s="85"/>
      <c r="X186" s="85"/>
      <c r="Y186" s="87"/>
      <c r="Z186" s="87"/>
      <c r="AA186" s="87"/>
      <c r="AB186" s="87"/>
      <c r="AC186" s="87"/>
      <c r="AD186" s="87"/>
    </row>
    <row r="187" ht="15.75" customHeight="1">
      <c r="G187" s="85"/>
      <c r="H187" s="85"/>
      <c r="I187" s="85"/>
      <c r="J187" s="85"/>
      <c r="K187" s="85"/>
      <c r="L187" s="85"/>
      <c r="M187" s="86"/>
      <c r="N187" s="86"/>
      <c r="O187" s="86"/>
      <c r="P187" s="86"/>
      <c r="Q187" s="86"/>
      <c r="R187" s="86"/>
      <c r="S187" s="85"/>
      <c r="T187" s="85"/>
      <c r="U187" s="85"/>
      <c r="V187" s="85"/>
      <c r="W187" s="85"/>
      <c r="X187" s="85"/>
      <c r="Y187" s="87"/>
      <c r="Z187" s="87"/>
      <c r="AA187" s="87"/>
      <c r="AB187" s="87"/>
      <c r="AC187" s="87"/>
      <c r="AD187" s="87"/>
    </row>
    <row r="188" ht="15.75" customHeight="1">
      <c r="G188" s="85"/>
      <c r="H188" s="85"/>
      <c r="I188" s="85"/>
      <c r="J188" s="85"/>
      <c r="K188" s="85"/>
      <c r="L188" s="85"/>
      <c r="M188" s="86"/>
      <c r="N188" s="86"/>
      <c r="O188" s="86"/>
      <c r="P188" s="86"/>
      <c r="Q188" s="86"/>
      <c r="R188" s="86"/>
      <c r="S188" s="85"/>
      <c r="T188" s="85"/>
      <c r="U188" s="85"/>
      <c r="V188" s="85"/>
      <c r="W188" s="85"/>
      <c r="X188" s="85"/>
      <c r="Y188" s="87"/>
      <c r="Z188" s="87"/>
      <c r="AA188" s="87"/>
      <c r="AB188" s="87"/>
      <c r="AC188" s="87"/>
      <c r="AD188" s="87"/>
    </row>
    <row r="189" ht="15.75" customHeight="1">
      <c r="G189" s="85"/>
      <c r="H189" s="85"/>
      <c r="I189" s="85"/>
      <c r="J189" s="85"/>
      <c r="K189" s="85"/>
      <c r="L189" s="85"/>
      <c r="M189" s="86"/>
      <c r="N189" s="86"/>
      <c r="O189" s="86"/>
      <c r="P189" s="86"/>
      <c r="Q189" s="86"/>
      <c r="R189" s="86"/>
      <c r="S189" s="85"/>
      <c r="T189" s="85"/>
      <c r="U189" s="85"/>
      <c r="V189" s="85"/>
      <c r="W189" s="85"/>
      <c r="X189" s="85"/>
      <c r="Y189" s="87"/>
      <c r="Z189" s="87"/>
      <c r="AA189" s="87"/>
      <c r="AB189" s="87"/>
      <c r="AC189" s="87"/>
      <c r="AD189" s="87"/>
    </row>
    <row r="190" ht="15.75" customHeight="1">
      <c r="G190" s="85"/>
      <c r="H190" s="85"/>
      <c r="I190" s="85"/>
      <c r="J190" s="85"/>
      <c r="K190" s="85"/>
      <c r="L190" s="85"/>
      <c r="M190" s="86"/>
      <c r="N190" s="86"/>
      <c r="O190" s="86"/>
      <c r="P190" s="86"/>
      <c r="Q190" s="86"/>
      <c r="R190" s="86"/>
      <c r="S190" s="85"/>
      <c r="T190" s="85"/>
      <c r="U190" s="85"/>
      <c r="V190" s="85"/>
      <c r="W190" s="85"/>
      <c r="X190" s="85"/>
      <c r="Y190" s="87"/>
      <c r="Z190" s="87"/>
      <c r="AA190" s="87"/>
      <c r="AB190" s="87"/>
      <c r="AC190" s="87"/>
      <c r="AD190" s="87"/>
    </row>
    <row r="191" ht="15.75" customHeight="1">
      <c r="G191" s="85"/>
      <c r="H191" s="85"/>
      <c r="I191" s="85"/>
      <c r="J191" s="85"/>
      <c r="K191" s="85"/>
      <c r="L191" s="85"/>
      <c r="M191" s="86"/>
      <c r="N191" s="86"/>
      <c r="O191" s="86"/>
      <c r="P191" s="86"/>
      <c r="Q191" s="86"/>
      <c r="R191" s="86"/>
      <c r="S191" s="85"/>
      <c r="T191" s="85"/>
      <c r="U191" s="85"/>
      <c r="V191" s="85"/>
      <c r="W191" s="85"/>
      <c r="X191" s="85"/>
      <c r="Y191" s="87"/>
      <c r="Z191" s="87"/>
      <c r="AA191" s="87"/>
      <c r="AB191" s="87"/>
      <c r="AC191" s="87"/>
      <c r="AD191" s="87"/>
    </row>
    <row r="192" ht="15.75" customHeight="1">
      <c r="G192" s="85"/>
      <c r="H192" s="85"/>
      <c r="I192" s="85"/>
      <c r="J192" s="85"/>
      <c r="K192" s="85"/>
      <c r="L192" s="85"/>
      <c r="M192" s="86"/>
      <c r="N192" s="86"/>
      <c r="O192" s="86"/>
      <c r="P192" s="86"/>
      <c r="Q192" s="86"/>
      <c r="R192" s="86"/>
      <c r="S192" s="85"/>
      <c r="T192" s="85"/>
      <c r="U192" s="85"/>
      <c r="V192" s="85"/>
      <c r="W192" s="85"/>
      <c r="X192" s="85"/>
      <c r="Y192" s="87"/>
      <c r="Z192" s="87"/>
      <c r="AA192" s="87"/>
      <c r="AB192" s="87"/>
      <c r="AC192" s="87"/>
      <c r="AD192" s="87"/>
    </row>
    <row r="193" ht="15.75" customHeight="1">
      <c r="G193" s="85"/>
      <c r="H193" s="85"/>
      <c r="I193" s="85"/>
      <c r="J193" s="85"/>
      <c r="K193" s="85"/>
      <c r="L193" s="85"/>
      <c r="M193" s="86"/>
      <c r="N193" s="86"/>
      <c r="O193" s="86"/>
      <c r="P193" s="86"/>
      <c r="Q193" s="86"/>
      <c r="R193" s="86"/>
      <c r="S193" s="85"/>
      <c r="T193" s="85"/>
      <c r="U193" s="85"/>
      <c r="V193" s="85"/>
      <c r="W193" s="85"/>
      <c r="X193" s="85"/>
      <c r="Y193" s="87"/>
      <c r="Z193" s="87"/>
      <c r="AA193" s="87"/>
      <c r="AB193" s="87"/>
      <c r="AC193" s="87"/>
      <c r="AD193" s="87"/>
    </row>
    <row r="194" ht="15.75" customHeight="1">
      <c r="G194" s="85"/>
      <c r="H194" s="85"/>
      <c r="I194" s="85"/>
      <c r="J194" s="85"/>
      <c r="K194" s="85"/>
      <c r="L194" s="85"/>
      <c r="M194" s="86"/>
      <c r="N194" s="86"/>
      <c r="O194" s="86"/>
      <c r="P194" s="86"/>
      <c r="Q194" s="86"/>
      <c r="R194" s="86"/>
      <c r="S194" s="85"/>
      <c r="T194" s="85"/>
      <c r="U194" s="85"/>
      <c r="V194" s="85"/>
      <c r="W194" s="85"/>
      <c r="X194" s="85"/>
      <c r="Y194" s="87"/>
      <c r="Z194" s="87"/>
      <c r="AA194" s="87"/>
      <c r="AB194" s="87"/>
      <c r="AC194" s="87"/>
      <c r="AD194" s="87"/>
    </row>
    <row r="195" ht="15.75" customHeight="1">
      <c r="G195" s="85"/>
      <c r="H195" s="85"/>
      <c r="I195" s="85"/>
      <c r="J195" s="85"/>
      <c r="K195" s="85"/>
      <c r="L195" s="85"/>
      <c r="M195" s="86"/>
      <c r="N195" s="86"/>
      <c r="O195" s="86"/>
      <c r="P195" s="86"/>
      <c r="Q195" s="86"/>
      <c r="R195" s="86"/>
      <c r="S195" s="85"/>
      <c r="T195" s="85"/>
      <c r="U195" s="85"/>
      <c r="V195" s="85"/>
      <c r="W195" s="85"/>
      <c r="X195" s="85"/>
      <c r="Y195" s="87"/>
      <c r="Z195" s="87"/>
      <c r="AA195" s="87"/>
      <c r="AB195" s="87"/>
      <c r="AC195" s="87"/>
      <c r="AD195" s="87"/>
    </row>
    <row r="196" ht="15.75" customHeight="1">
      <c r="G196" s="85"/>
      <c r="H196" s="85"/>
      <c r="I196" s="85"/>
      <c r="J196" s="85"/>
      <c r="K196" s="85"/>
      <c r="L196" s="85"/>
      <c r="M196" s="86"/>
      <c r="N196" s="86"/>
      <c r="O196" s="86"/>
      <c r="P196" s="86"/>
      <c r="Q196" s="86"/>
      <c r="R196" s="86"/>
      <c r="S196" s="85"/>
      <c r="T196" s="85"/>
      <c r="U196" s="85"/>
      <c r="V196" s="85"/>
      <c r="W196" s="85"/>
      <c r="X196" s="85"/>
      <c r="Y196" s="87"/>
      <c r="Z196" s="87"/>
      <c r="AA196" s="87"/>
      <c r="AB196" s="87"/>
      <c r="AC196" s="87"/>
      <c r="AD196" s="87"/>
    </row>
    <row r="197" ht="15.75" customHeight="1">
      <c r="G197" s="85"/>
      <c r="H197" s="85"/>
      <c r="I197" s="85"/>
      <c r="J197" s="85"/>
      <c r="K197" s="85"/>
      <c r="L197" s="85"/>
      <c r="M197" s="86"/>
      <c r="N197" s="86"/>
      <c r="O197" s="86"/>
      <c r="P197" s="86"/>
      <c r="Q197" s="86"/>
      <c r="R197" s="86"/>
      <c r="S197" s="85"/>
      <c r="T197" s="85"/>
      <c r="U197" s="85"/>
      <c r="V197" s="85"/>
      <c r="W197" s="85"/>
      <c r="X197" s="85"/>
      <c r="Y197" s="87"/>
      <c r="Z197" s="87"/>
      <c r="AA197" s="87"/>
      <c r="AB197" s="87"/>
      <c r="AC197" s="87"/>
      <c r="AD197" s="87"/>
    </row>
    <row r="198" ht="15.75" customHeight="1">
      <c r="G198" s="85"/>
      <c r="H198" s="85"/>
      <c r="I198" s="85"/>
      <c r="J198" s="85"/>
      <c r="K198" s="85"/>
      <c r="L198" s="85"/>
      <c r="M198" s="86"/>
      <c r="N198" s="86"/>
      <c r="O198" s="86"/>
      <c r="P198" s="86"/>
      <c r="Q198" s="86"/>
      <c r="R198" s="86"/>
      <c r="S198" s="85"/>
      <c r="T198" s="85"/>
      <c r="U198" s="85"/>
      <c r="V198" s="85"/>
      <c r="W198" s="85"/>
      <c r="X198" s="85"/>
      <c r="Y198" s="87"/>
      <c r="Z198" s="87"/>
      <c r="AA198" s="87"/>
      <c r="AB198" s="87"/>
      <c r="AC198" s="87"/>
      <c r="AD198" s="87"/>
    </row>
    <row r="199" ht="15.75" customHeight="1">
      <c r="G199" s="85"/>
      <c r="H199" s="85"/>
      <c r="I199" s="85"/>
      <c r="J199" s="85"/>
      <c r="K199" s="85"/>
      <c r="L199" s="85"/>
      <c r="M199" s="86"/>
      <c r="N199" s="86"/>
      <c r="O199" s="86"/>
      <c r="P199" s="86"/>
      <c r="Q199" s="86"/>
      <c r="R199" s="86"/>
      <c r="S199" s="85"/>
      <c r="T199" s="85"/>
      <c r="U199" s="85"/>
      <c r="V199" s="85"/>
      <c r="W199" s="85"/>
      <c r="X199" s="85"/>
      <c r="Y199" s="87"/>
      <c r="Z199" s="87"/>
      <c r="AA199" s="87"/>
      <c r="AB199" s="87"/>
      <c r="AC199" s="87"/>
      <c r="AD199" s="87"/>
    </row>
    <row r="200" ht="15.75" customHeight="1">
      <c r="G200" s="85"/>
      <c r="H200" s="85"/>
      <c r="I200" s="85"/>
      <c r="J200" s="85"/>
      <c r="K200" s="85"/>
      <c r="L200" s="85"/>
      <c r="M200" s="86"/>
      <c r="N200" s="86"/>
      <c r="O200" s="86"/>
      <c r="P200" s="86"/>
      <c r="Q200" s="86"/>
      <c r="R200" s="86"/>
      <c r="S200" s="85"/>
      <c r="T200" s="85"/>
      <c r="U200" s="85"/>
      <c r="V200" s="85"/>
      <c r="W200" s="85"/>
      <c r="X200" s="85"/>
      <c r="Y200" s="87"/>
      <c r="Z200" s="87"/>
      <c r="AA200" s="87"/>
      <c r="AB200" s="87"/>
      <c r="AC200" s="87"/>
      <c r="AD200" s="87"/>
    </row>
    <row r="201" ht="15.75" customHeight="1">
      <c r="G201" s="85"/>
      <c r="H201" s="85"/>
      <c r="I201" s="85"/>
      <c r="J201" s="85"/>
      <c r="K201" s="85"/>
      <c r="L201" s="85"/>
      <c r="M201" s="86"/>
      <c r="N201" s="86"/>
      <c r="O201" s="86"/>
      <c r="P201" s="86"/>
      <c r="Q201" s="86"/>
      <c r="R201" s="86"/>
      <c r="S201" s="85"/>
      <c r="T201" s="85"/>
      <c r="U201" s="85"/>
      <c r="V201" s="85"/>
      <c r="W201" s="85"/>
      <c r="X201" s="85"/>
      <c r="Y201" s="87"/>
      <c r="Z201" s="87"/>
      <c r="AA201" s="87"/>
      <c r="AB201" s="87"/>
      <c r="AC201" s="87"/>
      <c r="AD201" s="87"/>
    </row>
    <row r="202" ht="15.75" customHeight="1">
      <c r="G202" s="85"/>
      <c r="H202" s="85"/>
      <c r="I202" s="85"/>
      <c r="J202" s="85"/>
      <c r="K202" s="85"/>
      <c r="L202" s="85"/>
      <c r="M202" s="86"/>
      <c r="N202" s="86"/>
      <c r="O202" s="86"/>
      <c r="P202" s="86"/>
      <c r="Q202" s="86"/>
      <c r="R202" s="86"/>
      <c r="S202" s="85"/>
      <c r="T202" s="85"/>
      <c r="U202" s="85"/>
      <c r="V202" s="85"/>
      <c r="W202" s="85"/>
      <c r="X202" s="85"/>
      <c r="Y202" s="87"/>
      <c r="Z202" s="87"/>
      <c r="AA202" s="87"/>
      <c r="AB202" s="87"/>
      <c r="AC202" s="87"/>
      <c r="AD202" s="87"/>
    </row>
    <row r="203" ht="15.75" customHeight="1">
      <c r="G203" s="85"/>
      <c r="H203" s="85"/>
      <c r="I203" s="85"/>
      <c r="J203" s="85"/>
      <c r="K203" s="85"/>
      <c r="L203" s="85"/>
      <c r="M203" s="86"/>
      <c r="N203" s="86"/>
      <c r="O203" s="86"/>
      <c r="P203" s="86"/>
      <c r="Q203" s="86"/>
      <c r="R203" s="86"/>
      <c r="S203" s="85"/>
      <c r="T203" s="85"/>
      <c r="U203" s="85"/>
      <c r="V203" s="85"/>
      <c r="W203" s="85"/>
      <c r="X203" s="85"/>
      <c r="Y203" s="87"/>
      <c r="Z203" s="87"/>
      <c r="AA203" s="87"/>
      <c r="AB203" s="87"/>
      <c r="AC203" s="87"/>
      <c r="AD203" s="87"/>
    </row>
    <row r="204" ht="15.75" customHeight="1">
      <c r="G204" s="85"/>
      <c r="H204" s="85"/>
      <c r="I204" s="85"/>
      <c r="J204" s="85"/>
      <c r="K204" s="85"/>
      <c r="L204" s="85"/>
      <c r="M204" s="86"/>
      <c r="N204" s="86"/>
      <c r="O204" s="86"/>
      <c r="P204" s="86"/>
      <c r="Q204" s="86"/>
      <c r="R204" s="86"/>
      <c r="S204" s="85"/>
      <c r="T204" s="85"/>
      <c r="U204" s="85"/>
      <c r="V204" s="85"/>
      <c r="W204" s="85"/>
      <c r="X204" s="85"/>
      <c r="Y204" s="87"/>
      <c r="Z204" s="87"/>
      <c r="AA204" s="87"/>
      <c r="AB204" s="87"/>
      <c r="AC204" s="87"/>
      <c r="AD204" s="87"/>
    </row>
    <row r="205" ht="15.75" customHeight="1">
      <c r="G205" s="85"/>
      <c r="H205" s="85"/>
      <c r="I205" s="85"/>
      <c r="J205" s="85"/>
      <c r="K205" s="85"/>
      <c r="L205" s="85"/>
      <c r="M205" s="86"/>
      <c r="N205" s="86"/>
      <c r="O205" s="86"/>
      <c r="P205" s="86"/>
      <c r="Q205" s="86"/>
      <c r="R205" s="86"/>
      <c r="S205" s="85"/>
      <c r="T205" s="85"/>
      <c r="U205" s="85"/>
      <c r="V205" s="85"/>
      <c r="W205" s="85"/>
      <c r="X205" s="85"/>
      <c r="Y205" s="87"/>
      <c r="Z205" s="87"/>
      <c r="AA205" s="87"/>
      <c r="AB205" s="87"/>
      <c r="AC205" s="87"/>
      <c r="AD205" s="87"/>
    </row>
    <row r="206" ht="15.75" customHeight="1">
      <c r="G206" s="85"/>
      <c r="H206" s="85"/>
      <c r="I206" s="85"/>
      <c r="J206" s="85"/>
      <c r="K206" s="85"/>
      <c r="L206" s="85"/>
      <c r="M206" s="86"/>
      <c r="N206" s="86"/>
      <c r="O206" s="86"/>
      <c r="P206" s="86"/>
      <c r="Q206" s="86"/>
      <c r="R206" s="86"/>
      <c r="S206" s="85"/>
      <c r="T206" s="85"/>
      <c r="U206" s="85"/>
      <c r="V206" s="85"/>
      <c r="W206" s="85"/>
      <c r="X206" s="85"/>
      <c r="Y206" s="87"/>
      <c r="Z206" s="87"/>
      <c r="AA206" s="87"/>
      <c r="AB206" s="87"/>
      <c r="AC206" s="87"/>
      <c r="AD206" s="87"/>
    </row>
    <row r="207" ht="15.75" customHeight="1">
      <c r="G207" s="85"/>
      <c r="H207" s="85"/>
      <c r="I207" s="85"/>
      <c r="J207" s="85"/>
      <c r="K207" s="85"/>
      <c r="L207" s="85"/>
      <c r="M207" s="86"/>
      <c r="N207" s="86"/>
      <c r="O207" s="86"/>
      <c r="P207" s="86"/>
      <c r="Q207" s="86"/>
      <c r="R207" s="86"/>
      <c r="S207" s="85"/>
      <c r="T207" s="85"/>
      <c r="U207" s="85"/>
      <c r="V207" s="85"/>
      <c r="W207" s="85"/>
      <c r="X207" s="85"/>
      <c r="Y207" s="87"/>
      <c r="Z207" s="87"/>
      <c r="AA207" s="87"/>
      <c r="AB207" s="87"/>
      <c r="AC207" s="87"/>
      <c r="AD207" s="87"/>
    </row>
    <row r="208" ht="15.75" customHeight="1">
      <c r="G208" s="85"/>
      <c r="H208" s="85"/>
      <c r="I208" s="85"/>
      <c r="J208" s="85"/>
      <c r="K208" s="85"/>
      <c r="L208" s="85"/>
      <c r="M208" s="86"/>
      <c r="N208" s="86"/>
      <c r="O208" s="86"/>
      <c r="P208" s="86"/>
      <c r="Q208" s="86"/>
      <c r="R208" s="86"/>
      <c r="S208" s="85"/>
      <c r="T208" s="85"/>
      <c r="U208" s="85"/>
      <c r="V208" s="85"/>
      <c r="W208" s="85"/>
      <c r="X208" s="85"/>
      <c r="Y208" s="87"/>
      <c r="Z208" s="87"/>
      <c r="AA208" s="87"/>
      <c r="AB208" s="87"/>
      <c r="AC208" s="87"/>
      <c r="AD208" s="87"/>
    </row>
    <row r="209" ht="15.75" customHeight="1">
      <c r="G209" s="85"/>
      <c r="H209" s="85"/>
      <c r="I209" s="85"/>
      <c r="J209" s="85"/>
      <c r="K209" s="85"/>
      <c r="L209" s="85"/>
      <c r="M209" s="86"/>
      <c r="N209" s="86"/>
      <c r="O209" s="86"/>
      <c r="P209" s="86"/>
      <c r="Q209" s="86"/>
      <c r="R209" s="86"/>
      <c r="S209" s="85"/>
      <c r="T209" s="85"/>
      <c r="U209" s="85"/>
      <c r="V209" s="85"/>
      <c r="W209" s="85"/>
      <c r="X209" s="85"/>
      <c r="Y209" s="87"/>
      <c r="Z209" s="87"/>
      <c r="AA209" s="87"/>
      <c r="AB209" s="87"/>
      <c r="AC209" s="87"/>
      <c r="AD209" s="87"/>
    </row>
    <row r="210" ht="15.75" customHeight="1">
      <c r="G210" s="85"/>
      <c r="H210" s="85"/>
      <c r="I210" s="85"/>
      <c r="J210" s="85"/>
      <c r="K210" s="85"/>
      <c r="L210" s="85"/>
      <c r="M210" s="86"/>
      <c r="N210" s="86"/>
      <c r="O210" s="86"/>
      <c r="P210" s="86"/>
      <c r="Q210" s="86"/>
      <c r="R210" s="86"/>
      <c r="S210" s="85"/>
      <c r="T210" s="85"/>
      <c r="U210" s="85"/>
      <c r="V210" s="85"/>
      <c r="W210" s="85"/>
      <c r="X210" s="85"/>
      <c r="Y210" s="87"/>
      <c r="Z210" s="87"/>
      <c r="AA210" s="87"/>
      <c r="AB210" s="87"/>
      <c r="AC210" s="87"/>
      <c r="AD210" s="87"/>
    </row>
    <row r="211" ht="15.75" customHeight="1">
      <c r="G211" s="85"/>
      <c r="H211" s="85"/>
      <c r="I211" s="85"/>
      <c r="J211" s="85"/>
      <c r="K211" s="85"/>
      <c r="L211" s="85"/>
      <c r="M211" s="86"/>
      <c r="N211" s="86"/>
      <c r="O211" s="86"/>
      <c r="P211" s="86"/>
      <c r="Q211" s="86"/>
      <c r="R211" s="86"/>
      <c r="S211" s="85"/>
      <c r="T211" s="85"/>
      <c r="U211" s="85"/>
      <c r="V211" s="85"/>
      <c r="W211" s="85"/>
      <c r="X211" s="85"/>
      <c r="Y211" s="87"/>
      <c r="Z211" s="87"/>
      <c r="AA211" s="87"/>
      <c r="AB211" s="87"/>
      <c r="AC211" s="87"/>
      <c r="AD211" s="87"/>
    </row>
    <row r="212" ht="15.75" customHeight="1">
      <c r="G212" s="85"/>
      <c r="H212" s="85"/>
      <c r="I212" s="85"/>
      <c r="J212" s="85"/>
      <c r="K212" s="85"/>
      <c r="L212" s="85"/>
      <c r="M212" s="86"/>
      <c r="N212" s="86"/>
      <c r="O212" s="86"/>
      <c r="P212" s="86"/>
      <c r="Q212" s="86"/>
      <c r="R212" s="86"/>
      <c r="S212" s="85"/>
      <c r="T212" s="85"/>
      <c r="U212" s="85"/>
      <c r="V212" s="85"/>
      <c r="W212" s="85"/>
      <c r="X212" s="85"/>
      <c r="Y212" s="87"/>
      <c r="Z212" s="87"/>
      <c r="AA212" s="87"/>
      <c r="AB212" s="87"/>
      <c r="AC212" s="87"/>
      <c r="AD212" s="87"/>
    </row>
    <row r="213" ht="15.75" customHeight="1">
      <c r="G213" s="85"/>
      <c r="H213" s="85"/>
      <c r="I213" s="85"/>
      <c r="J213" s="85"/>
      <c r="K213" s="85"/>
      <c r="L213" s="85"/>
      <c r="M213" s="86"/>
      <c r="N213" s="86"/>
      <c r="O213" s="86"/>
      <c r="P213" s="86"/>
      <c r="Q213" s="86"/>
      <c r="R213" s="86"/>
      <c r="S213" s="85"/>
      <c r="T213" s="85"/>
      <c r="U213" s="85"/>
      <c r="V213" s="85"/>
      <c r="W213" s="85"/>
      <c r="X213" s="85"/>
      <c r="Y213" s="87"/>
      <c r="Z213" s="87"/>
      <c r="AA213" s="87"/>
      <c r="AB213" s="87"/>
      <c r="AC213" s="87"/>
      <c r="AD213" s="87"/>
    </row>
    <row r="214" ht="15.75" customHeight="1">
      <c r="G214" s="85"/>
      <c r="H214" s="85"/>
      <c r="I214" s="85"/>
      <c r="J214" s="85"/>
      <c r="K214" s="85"/>
      <c r="L214" s="85"/>
      <c r="M214" s="86"/>
      <c r="N214" s="86"/>
      <c r="O214" s="86"/>
      <c r="P214" s="86"/>
      <c r="Q214" s="86"/>
      <c r="R214" s="86"/>
      <c r="S214" s="85"/>
      <c r="T214" s="85"/>
      <c r="U214" s="85"/>
      <c r="V214" s="85"/>
      <c r="W214" s="85"/>
      <c r="X214" s="85"/>
      <c r="Y214" s="87"/>
      <c r="Z214" s="87"/>
      <c r="AA214" s="87"/>
      <c r="AB214" s="87"/>
      <c r="AC214" s="87"/>
      <c r="AD214" s="87"/>
    </row>
    <row r="215" ht="15.75" customHeight="1">
      <c r="G215" s="85"/>
      <c r="H215" s="85"/>
      <c r="I215" s="85"/>
      <c r="J215" s="85"/>
      <c r="K215" s="85"/>
      <c r="L215" s="85"/>
      <c r="M215" s="86"/>
      <c r="N215" s="86"/>
      <c r="O215" s="86"/>
      <c r="P215" s="86"/>
      <c r="Q215" s="86"/>
      <c r="R215" s="86"/>
      <c r="S215" s="85"/>
      <c r="T215" s="85"/>
      <c r="U215" s="85"/>
      <c r="V215" s="85"/>
      <c r="W215" s="85"/>
      <c r="X215" s="85"/>
      <c r="Y215" s="87"/>
      <c r="Z215" s="87"/>
      <c r="AA215" s="87"/>
      <c r="AB215" s="87"/>
      <c r="AC215" s="87"/>
      <c r="AD215" s="87"/>
    </row>
    <row r="216" ht="15.75" customHeight="1">
      <c r="G216" s="85"/>
      <c r="H216" s="85"/>
      <c r="I216" s="85"/>
      <c r="J216" s="85"/>
      <c r="K216" s="85"/>
      <c r="L216" s="85"/>
      <c r="M216" s="86"/>
      <c r="N216" s="86"/>
      <c r="O216" s="86"/>
      <c r="P216" s="86"/>
      <c r="Q216" s="86"/>
      <c r="R216" s="86"/>
      <c r="S216" s="85"/>
      <c r="T216" s="85"/>
      <c r="U216" s="85"/>
      <c r="V216" s="85"/>
      <c r="W216" s="85"/>
      <c r="X216" s="85"/>
      <c r="Y216" s="87"/>
      <c r="Z216" s="87"/>
      <c r="AA216" s="87"/>
      <c r="AB216" s="87"/>
      <c r="AC216" s="87"/>
      <c r="AD216" s="87"/>
    </row>
    <row r="217" ht="15.75" customHeight="1">
      <c r="G217" s="85"/>
      <c r="H217" s="85"/>
      <c r="I217" s="85"/>
      <c r="J217" s="85"/>
      <c r="K217" s="85"/>
      <c r="L217" s="85"/>
      <c r="M217" s="86"/>
      <c r="N217" s="86"/>
      <c r="O217" s="86"/>
      <c r="P217" s="86"/>
      <c r="Q217" s="86"/>
      <c r="R217" s="86"/>
      <c r="S217" s="85"/>
      <c r="T217" s="85"/>
      <c r="U217" s="85"/>
      <c r="V217" s="85"/>
      <c r="W217" s="85"/>
      <c r="X217" s="85"/>
      <c r="Y217" s="87"/>
      <c r="Z217" s="87"/>
      <c r="AA217" s="87"/>
      <c r="AB217" s="87"/>
      <c r="AC217" s="87"/>
      <c r="AD217" s="87"/>
    </row>
    <row r="218" ht="15.75" customHeight="1">
      <c r="G218" s="85"/>
      <c r="H218" s="85"/>
      <c r="I218" s="85"/>
      <c r="J218" s="85"/>
      <c r="K218" s="85"/>
      <c r="L218" s="85"/>
      <c r="M218" s="86"/>
      <c r="N218" s="86"/>
      <c r="O218" s="86"/>
      <c r="P218" s="86"/>
      <c r="Q218" s="86"/>
      <c r="R218" s="86"/>
      <c r="S218" s="85"/>
      <c r="T218" s="85"/>
      <c r="U218" s="85"/>
      <c r="V218" s="85"/>
      <c r="W218" s="85"/>
      <c r="X218" s="85"/>
      <c r="Y218" s="87"/>
      <c r="Z218" s="87"/>
      <c r="AA218" s="87"/>
      <c r="AB218" s="87"/>
      <c r="AC218" s="87"/>
      <c r="AD218" s="87"/>
    </row>
    <row r="219" ht="15.75" customHeight="1">
      <c r="G219" s="85"/>
      <c r="H219" s="85"/>
      <c r="I219" s="85"/>
      <c r="J219" s="85"/>
      <c r="K219" s="85"/>
      <c r="L219" s="85"/>
      <c r="M219" s="86"/>
      <c r="N219" s="86"/>
      <c r="O219" s="86"/>
      <c r="P219" s="86"/>
      <c r="Q219" s="86"/>
      <c r="R219" s="86"/>
      <c r="S219" s="85"/>
      <c r="T219" s="85"/>
      <c r="U219" s="85"/>
      <c r="V219" s="85"/>
      <c r="W219" s="85"/>
      <c r="X219" s="85"/>
      <c r="Y219" s="87"/>
      <c r="Z219" s="87"/>
      <c r="AA219" s="87"/>
      <c r="AB219" s="87"/>
      <c r="AC219" s="87"/>
      <c r="AD219" s="87"/>
    </row>
    <row r="220" ht="15.75" customHeight="1">
      <c r="G220" s="85"/>
      <c r="H220" s="85"/>
      <c r="I220" s="85"/>
      <c r="J220" s="85"/>
      <c r="K220" s="85"/>
      <c r="L220" s="85"/>
      <c r="M220" s="86"/>
      <c r="N220" s="86"/>
      <c r="O220" s="86"/>
      <c r="P220" s="86"/>
      <c r="Q220" s="86"/>
      <c r="R220" s="86"/>
      <c r="S220" s="85"/>
      <c r="T220" s="85"/>
      <c r="U220" s="85"/>
      <c r="V220" s="85"/>
      <c r="W220" s="85"/>
      <c r="X220" s="85"/>
      <c r="Y220" s="87"/>
      <c r="Z220" s="87"/>
      <c r="AA220" s="87"/>
      <c r="AB220" s="87"/>
      <c r="AC220" s="87"/>
      <c r="AD220" s="87"/>
    </row>
    <row r="221" ht="15.75" customHeight="1">
      <c r="G221" s="85"/>
      <c r="H221" s="85"/>
      <c r="I221" s="85"/>
      <c r="J221" s="85"/>
      <c r="K221" s="85"/>
      <c r="L221" s="85"/>
      <c r="M221" s="86"/>
      <c r="N221" s="86"/>
      <c r="O221" s="86"/>
      <c r="P221" s="86"/>
      <c r="Q221" s="86"/>
      <c r="R221" s="86"/>
      <c r="S221" s="85"/>
      <c r="T221" s="85"/>
      <c r="U221" s="85"/>
      <c r="V221" s="85"/>
      <c r="W221" s="85"/>
      <c r="X221" s="85"/>
      <c r="Y221" s="87"/>
      <c r="Z221" s="87"/>
      <c r="AA221" s="87"/>
      <c r="AB221" s="87"/>
      <c r="AC221" s="87"/>
      <c r="AD221" s="87"/>
    </row>
    <row r="222" ht="15.75" customHeight="1">
      <c r="G222" s="85"/>
      <c r="H222" s="85"/>
      <c r="I222" s="85"/>
      <c r="J222" s="85"/>
      <c r="K222" s="85"/>
      <c r="L222" s="85"/>
      <c r="M222" s="86"/>
      <c r="N222" s="86"/>
      <c r="O222" s="86"/>
      <c r="P222" s="86"/>
      <c r="Q222" s="86"/>
      <c r="R222" s="86"/>
      <c r="S222" s="85"/>
      <c r="T222" s="85"/>
      <c r="U222" s="85"/>
      <c r="V222" s="85"/>
      <c r="W222" s="85"/>
      <c r="X222" s="85"/>
      <c r="Y222" s="87"/>
      <c r="Z222" s="87"/>
      <c r="AA222" s="87"/>
      <c r="AB222" s="87"/>
      <c r="AC222" s="87"/>
      <c r="AD222" s="87"/>
    </row>
    <row r="223" ht="15.75" customHeight="1">
      <c r="G223" s="85"/>
      <c r="H223" s="85"/>
      <c r="I223" s="85"/>
      <c r="J223" s="85"/>
      <c r="K223" s="85"/>
      <c r="L223" s="85"/>
      <c r="M223" s="86"/>
      <c r="N223" s="86"/>
      <c r="O223" s="86"/>
      <c r="P223" s="86"/>
      <c r="Q223" s="86"/>
      <c r="R223" s="86"/>
      <c r="S223" s="85"/>
      <c r="T223" s="85"/>
      <c r="U223" s="85"/>
      <c r="V223" s="85"/>
      <c r="W223" s="85"/>
      <c r="X223" s="85"/>
      <c r="Y223" s="87"/>
      <c r="Z223" s="87"/>
      <c r="AA223" s="87"/>
      <c r="AB223" s="87"/>
      <c r="AC223" s="87"/>
      <c r="AD223" s="87"/>
    </row>
    <row r="224" ht="15.75" customHeight="1">
      <c r="G224" s="85"/>
      <c r="H224" s="85"/>
      <c r="I224" s="85"/>
      <c r="J224" s="85"/>
      <c r="K224" s="85"/>
      <c r="L224" s="85"/>
      <c r="M224" s="86"/>
      <c r="N224" s="86"/>
      <c r="O224" s="86"/>
      <c r="P224" s="86"/>
      <c r="Q224" s="86"/>
      <c r="R224" s="86"/>
      <c r="S224" s="85"/>
      <c r="T224" s="85"/>
      <c r="U224" s="85"/>
      <c r="V224" s="85"/>
      <c r="W224" s="85"/>
      <c r="X224" s="85"/>
      <c r="Y224" s="87"/>
      <c r="Z224" s="87"/>
      <c r="AA224" s="87"/>
      <c r="AB224" s="87"/>
      <c r="AC224" s="87"/>
      <c r="AD224" s="87"/>
    </row>
    <row r="225" ht="15.75" customHeight="1">
      <c r="G225" s="85"/>
      <c r="H225" s="85"/>
      <c r="I225" s="85"/>
      <c r="J225" s="85"/>
      <c r="K225" s="85"/>
      <c r="L225" s="85"/>
      <c r="M225" s="86"/>
      <c r="N225" s="86"/>
      <c r="O225" s="86"/>
      <c r="P225" s="86"/>
      <c r="Q225" s="86"/>
      <c r="R225" s="86"/>
      <c r="S225" s="85"/>
      <c r="T225" s="85"/>
      <c r="U225" s="85"/>
      <c r="V225" s="85"/>
      <c r="W225" s="85"/>
      <c r="X225" s="85"/>
      <c r="Y225" s="87"/>
      <c r="Z225" s="87"/>
      <c r="AA225" s="87"/>
      <c r="AB225" s="87"/>
      <c r="AC225" s="87"/>
      <c r="AD225" s="87"/>
    </row>
    <row r="226" ht="15.75" customHeight="1">
      <c r="G226" s="85"/>
      <c r="H226" s="85"/>
      <c r="I226" s="85"/>
      <c r="J226" s="85"/>
      <c r="K226" s="85"/>
      <c r="L226" s="85"/>
      <c r="M226" s="86"/>
      <c r="N226" s="86"/>
      <c r="O226" s="86"/>
      <c r="P226" s="86"/>
      <c r="Q226" s="86"/>
      <c r="R226" s="86"/>
      <c r="S226" s="85"/>
      <c r="T226" s="85"/>
      <c r="U226" s="85"/>
      <c r="V226" s="85"/>
      <c r="W226" s="85"/>
      <c r="X226" s="85"/>
      <c r="Y226" s="87"/>
      <c r="Z226" s="87"/>
      <c r="AA226" s="87"/>
      <c r="AB226" s="87"/>
      <c r="AC226" s="87"/>
      <c r="AD226" s="87"/>
    </row>
    <row r="227" ht="15.75" customHeight="1">
      <c r="G227" s="85"/>
      <c r="H227" s="85"/>
      <c r="I227" s="85"/>
      <c r="J227" s="85"/>
      <c r="K227" s="85"/>
      <c r="L227" s="85"/>
      <c r="M227" s="86"/>
      <c r="N227" s="86"/>
      <c r="O227" s="86"/>
      <c r="P227" s="86"/>
      <c r="Q227" s="86"/>
      <c r="R227" s="86"/>
      <c r="S227" s="85"/>
      <c r="T227" s="85"/>
      <c r="U227" s="85"/>
      <c r="V227" s="85"/>
      <c r="W227" s="85"/>
      <c r="X227" s="85"/>
      <c r="Y227" s="87"/>
      <c r="Z227" s="87"/>
      <c r="AA227" s="87"/>
      <c r="AB227" s="87"/>
      <c r="AC227" s="87"/>
      <c r="AD227" s="87"/>
    </row>
    <row r="228" ht="15.75" customHeight="1">
      <c r="G228" s="85"/>
      <c r="H228" s="85"/>
      <c r="I228" s="85"/>
      <c r="J228" s="85"/>
      <c r="K228" s="85"/>
      <c r="L228" s="85"/>
      <c r="M228" s="86"/>
      <c r="N228" s="86"/>
      <c r="O228" s="86"/>
      <c r="P228" s="86"/>
      <c r="Q228" s="86"/>
      <c r="R228" s="86"/>
      <c r="S228" s="85"/>
      <c r="T228" s="85"/>
      <c r="U228" s="85"/>
      <c r="V228" s="85"/>
      <c r="W228" s="85"/>
      <c r="X228" s="85"/>
      <c r="Y228" s="87"/>
      <c r="Z228" s="87"/>
      <c r="AA228" s="87"/>
      <c r="AB228" s="87"/>
      <c r="AC228" s="87"/>
      <c r="AD228" s="87"/>
    </row>
    <row r="229" ht="15.75" customHeight="1">
      <c r="G229" s="85"/>
      <c r="H229" s="85"/>
      <c r="I229" s="85"/>
      <c r="J229" s="85"/>
      <c r="K229" s="85"/>
      <c r="L229" s="85"/>
      <c r="M229" s="86"/>
      <c r="N229" s="86"/>
      <c r="O229" s="86"/>
      <c r="P229" s="86"/>
      <c r="Q229" s="86"/>
      <c r="R229" s="86"/>
      <c r="S229" s="85"/>
      <c r="T229" s="85"/>
      <c r="U229" s="85"/>
      <c r="V229" s="85"/>
      <c r="W229" s="85"/>
      <c r="X229" s="85"/>
      <c r="Y229" s="87"/>
      <c r="Z229" s="87"/>
      <c r="AA229" s="87"/>
      <c r="AB229" s="87"/>
      <c r="AC229" s="87"/>
      <c r="AD229" s="87"/>
    </row>
    <row r="230" ht="15.75" customHeight="1">
      <c r="G230" s="85"/>
      <c r="H230" s="85"/>
      <c r="I230" s="85"/>
      <c r="J230" s="85"/>
      <c r="K230" s="85"/>
      <c r="L230" s="85"/>
      <c r="M230" s="86"/>
      <c r="N230" s="86"/>
      <c r="O230" s="86"/>
      <c r="P230" s="86"/>
      <c r="Q230" s="86"/>
      <c r="R230" s="86"/>
      <c r="S230" s="85"/>
      <c r="T230" s="85"/>
      <c r="U230" s="85"/>
      <c r="V230" s="85"/>
      <c r="W230" s="85"/>
      <c r="X230" s="85"/>
      <c r="Y230" s="87"/>
      <c r="Z230" s="87"/>
      <c r="AA230" s="87"/>
      <c r="AB230" s="87"/>
      <c r="AC230" s="87"/>
      <c r="AD230" s="87"/>
    </row>
    <row r="231" ht="15.75" customHeight="1">
      <c r="G231" s="85"/>
      <c r="H231" s="85"/>
      <c r="I231" s="85"/>
      <c r="J231" s="85"/>
      <c r="K231" s="85"/>
      <c r="L231" s="85"/>
      <c r="M231" s="86"/>
      <c r="N231" s="86"/>
      <c r="O231" s="86"/>
      <c r="P231" s="86"/>
      <c r="Q231" s="86"/>
      <c r="R231" s="86"/>
      <c r="S231" s="85"/>
      <c r="T231" s="85"/>
      <c r="U231" s="85"/>
      <c r="V231" s="85"/>
      <c r="W231" s="85"/>
      <c r="X231" s="85"/>
      <c r="Y231" s="87"/>
      <c r="Z231" s="87"/>
      <c r="AA231" s="87"/>
      <c r="AB231" s="87"/>
      <c r="AC231" s="87"/>
      <c r="AD231" s="87"/>
    </row>
    <row r="232" ht="15.75" customHeight="1">
      <c r="G232" s="85"/>
      <c r="H232" s="85"/>
      <c r="I232" s="85"/>
      <c r="J232" s="85"/>
      <c r="K232" s="85"/>
      <c r="L232" s="85"/>
      <c r="M232" s="86"/>
      <c r="N232" s="86"/>
      <c r="O232" s="86"/>
      <c r="P232" s="86"/>
      <c r="Q232" s="86"/>
      <c r="R232" s="86"/>
      <c r="S232" s="85"/>
      <c r="T232" s="85"/>
      <c r="U232" s="85"/>
      <c r="V232" s="85"/>
      <c r="W232" s="85"/>
      <c r="X232" s="85"/>
      <c r="Y232" s="87"/>
      <c r="Z232" s="87"/>
      <c r="AA232" s="87"/>
      <c r="AB232" s="87"/>
      <c r="AC232" s="87"/>
      <c r="AD232" s="87"/>
    </row>
    <row r="233" ht="15.75" customHeight="1">
      <c r="G233" s="85"/>
      <c r="H233" s="85"/>
      <c r="I233" s="85"/>
      <c r="J233" s="85"/>
      <c r="K233" s="85"/>
      <c r="L233" s="85"/>
      <c r="M233" s="86"/>
      <c r="N233" s="86"/>
      <c r="O233" s="86"/>
      <c r="P233" s="86"/>
      <c r="Q233" s="86"/>
      <c r="R233" s="86"/>
      <c r="S233" s="85"/>
      <c r="T233" s="85"/>
      <c r="U233" s="85"/>
      <c r="V233" s="85"/>
      <c r="W233" s="85"/>
      <c r="X233" s="85"/>
      <c r="Y233" s="87"/>
      <c r="Z233" s="87"/>
      <c r="AA233" s="87"/>
      <c r="AB233" s="87"/>
      <c r="AC233" s="87"/>
      <c r="AD233" s="87"/>
    </row>
    <row r="234" ht="15.75" customHeight="1">
      <c r="G234" s="85"/>
      <c r="H234" s="85"/>
      <c r="I234" s="85"/>
      <c r="J234" s="85"/>
      <c r="K234" s="85"/>
      <c r="L234" s="85"/>
      <c r="M234" s="86"/>
      <c r="N234" s="86"/>
      <c r="O234" s="86"/>
      <c r="P234" s="86"/>
      <c r="Q234" s="86"/>
      <c r="R234" s="86"/>
      <c r="S234" s="85"/>
      <c r="T234" s="85"/>
      <c r="U234" s="85"/>
      <c r="V234" s="85"/>
      <c r="W234" s="85"/>
      <c r="X234" s="85"/>
      <c r="Y234" s="87"/>
      <c r="Z234" s="87"/>
      <c r="AA234" s="87"/>
      <c r="AB234" s="87"/>
      <c r="AC234" s="87"/>
      <c r="AD234" s="87"/>
    </row>
    <row r="235" ht="15.75" customHeight="1">
      <c r="G235" s="85"/>
      <c r="H235" s="85"/>
      <c r="I235" s="85"/>
      <c r="J235" s="85"/>
      <c r="K235" s="85"/>
      <c r="L235" s="85"/>
      <c r="M235" s="86"/>
      <c r="N235" s="86"/>
      <c r="O235" s="86"/>
      <c r="P235" s="86"/>
      <c r="Q235" s="86"/>
      <c r="R235" s="86"/>
      <c r="S235" s="85"/>
      <c r="T235" s="85"/>
      <c r="U235" s="85"/>
      <c r="V235" s="85"/>
      <c r="W235" s="85"/>
      <c r="X235" s="85"/>
      <c r="Y235" s="87"/>
      <c r="Z235" s="87"/>
      <c r="AA235" s="87"/>
      <c r="AB235" s="87"/>
      <c r="AC235" s="87"/>
      <c r="AD235" s="87"/>
    </row>
    <row r="236" ht="15.75" customHeight="1">
      <c r="G236" s="85"/>
      <c r="H236" s="85"/>
      <c r="I236" s="85"/>
      <c r="J236" s="85"/>
      <c r="K236" s="85"/>
      <c r="L236" s="85"/>
      <c r="M236" s="86"/>
      <c r="N236" s="86"/>
      <c r="O236" s="86"/>
      <c r="P236" s="86"/>
      <c r="Q236" s="86"/>
      <c r="R236" s="86"/>
      <c r="S236" s="85"/>
      <c r="T236" s="85"/>
      <c r="U236" s="85"/>
      <c r="V236" s="85"/>
      <c r="W236" s="85"/>
      <c r="X236" s="85"/>
      <c r="Y236" s="87"/>
      <c r="Z236" s="87"/>
      <c r="AA236" s="87"/>
      <c r="AB236" s="87"/>
      <c r="AC236" s="87"/>
      <c r="AD236" s="87"/>
    </row>
    <row r="237" ht="15.75" customHeight="1">
      <c r="G237" s="85"/>
      <c r="H237" s="85"/>
      <c r="I237" s="85"/>
      <c r="J237" s="85"/>
      <c r="K237" s="85"/>
      <c r="L237" s="85"/>
      <c r="M237" s="86"/>
      <c r="N237" s="86"/>
      <c r="O237" s="86"/>
      <c r="P237" s="86"/>
      <c r="Q237" s="86"/>
      <c r="R237" s="86"/>
      <c r="S237" s="85"/>
      <c r="T237" s="85"/>
      <c r="U237" s="85"/>
      <c r="V237" s="85"/>
      <c r="W237" s="85"/>
      <c r="X237" s="85"/>
      <c r="Y237" s="87"/>
      <c r="Z237" s="87"/>
      <c r="AA237" s="87"/>
      <c r="AB237" s="87"/>
      <c r="AC237" s="87"/>
      <c r="AD237" s="87"/>
    </row>
    <row r="238" ht="15.75" customHeight="1">
      <c r="G238" s="85"/>
      <c r="H238" s="85"/>
      <c r="I238" s="85"/>
      <c r="J238" s="85"/>
      <c r="K238" s="85"/>
      <c r="L238" s="85"/>
      <c r="M238" s="86"/>
      <c r="N238" s="86"/>
      <c r="O238" s="86"/>
      <c r="P238" s="86"/>
      <c r="Q238" s="86"/>
      <c r="R238" s="86"/>
      <c r="S238" s="85"/>
      <c r="T238" s="85"/>
      <c r="U238" s="85"/>
      <c r="V238" s="85"/>
      <c r="W238" s="85"/>
      <c r="X238" s="85"/>
      <c r="Y238" s="87"/>
      <c r="Z238" s="87"/>
      <c r="AA238" s="87"/>
      <c r="AB238" s="87"/>
      <c r="AC238" s="87"/>
      <c r="AD238" s="87"/>
    </row>
    <row r="239" ht="15.75" customHeight="1">
      <c r="G239" s="85"/>
      <c r="H239" s="85"/>
      <c r="I239" s="85"/>
      <c r="J239" s="85"/>
      <c r="K239" s="85"/>
      <c r="L239" s="85"/>
      <c r="M239" s="86"/>
      <c r="N239" s="86"/>
      <c r="O239" s="86"/>
      <c r="P239" s="86"/>
      <c r="Q239" s="86"/>
      <c r="R239" s="86"/>
      <c r="S239" s="85"/>
      <c r="T239" s="85"/>
      <c r="U239" s="85"/>
      <c r="V239" s="85"/>
      <c r="W239" s="85"/>
      <c r="X239" s="85"/>
      <c r="Y239" s="87"/>
      <c r="Z239" s="87"/>
      <c r="AA239" s="87"/>
      <c r="AB239" s="87"/>
      <c r="AC239" s="87"/>
      <c r="AD239" s="87"/>
    </row>
    <row r="240" ht="15.75" customHeight="1">
      <c r="G240" s="85"/>
      <c r="H240" s="85"/>
      <c r="I240" s="85"/>
      <c r="J240" s="85"/>
      <c r="K240" s="85"/>
      <c r="L240" s="85"/>
      <c r="M240" s="86"/>
      <c r="N240" s="86"/>
      <c r="O240" s="86"/>
      <c r="P240" s="86"/>
      <c r="Q240" s="86"/>
      <c r="R240" s="86"/>
      <c r="S240" s="85"/>
      <c r="T240" s="85"/>
      <c r="U240" s="85"/>
      <c r="V240" s="85"/>
      <c r="W240" s="85"/>
      <c r="X240" s="85"/>
      <c r="Y240" s="87"/>
      <c r="Z240" s="87"/>
      <c r="AA240" s="87"/>
      <c r="AB240" s="87"/>
      <c r="AC240" s="87"/>
      <c r="AD240" s="87"/>
    </row>
    <row r="241" ht="15.75" customHeight="1">
      <c r="G241" s="85"/>
      <c r="H241" s="85"/>
      <c r="I241" s="85"/>
      <c r="J241" s="85"/>
      <c r="K241" s="85"/>
      <c r="L241" s="85"/>
      <c r="M241" s="86"/>
      <c r="N241" s="86"/>
      <c r="O241" s="86"/>
      <c r="P241" s="86"/>
      <c r="Q241" s="86"/>
      <c r="R241" s="86"/>
      <c r="S241" s="85"/>
      <c r="T241" s="85"/>
      <c r="U241" s="85"/>
      <c r="V241" s="85"/>
      <c r="W241" s="85"/>
      <c r="X241" s="85"/>
      <c r="Y241" s="87"/>
      <c r="Z241" s="87"/>
      <c r="AA241" s="87"/>
      <c r="AB241" s="87"/>
      <c r="AC241" s="87"/>
      <c r="AD241" s="87"/>
    </row>
    <row r="242" ht="15.75" customHeight="1">
      <c r="G242" s="85"/>
      <c r="H242" s="85"/>
      <c r="I242" s="85"/>
      <c r="J242" s="85"/>
      <c r="K242" s="85"/>
      <c r="L242" s="85"/>
      <c r="M242" s="86"/>
      <c r="N242" s="86"/>
      <c r="O242" s="86"/>
      <c r="P242" s="86"/>
      <c r="Q242" s="86"/>
      <c r="R242" s="86"/>
      <c r="S242" s="85"/>
      <c r="T242" s="85"/>
      <c r="U242" s="85"/>
      <c r="V242" s="85"/>
      <c r="W242" s="85"/>
      <c r="X242" s="85"/>
      <c r="Y242" s="87"/>
      <c r="Z242" s="87"/>
      <c r="AA242" s="87"/>
      <c r="AB242" s="87"/>
      <c r="AC242" s="87"/>
      <c r="AD242" s="87"/>
    </row>
    <row r="243" ht="15.75" customHeight="1">
      <c r="G243" s="85"/>
      <c r="H243" s="85"/>
      <c r="I243" s="85"/>
      <c r="J243" s="85"/>
      <c r="K243" s="85"/>
      <c r="L243" s="85"/>
      <c r="M243" s="86"/>
      <c r="N243" s="86"/>
      <c r="O243" s="86"/>
      <c r="P243" s="86"/>
      <c r="Q243" s="86"/>
      <c r="R243" s="86"/>
      <c r="S243" s="85"/>
      <c r="T243" s="85"/>
      <c r="U243" s="85"/>
      <c r="V243" s="85"/>
      <c r="W243" s="85"/>
      <c r="X243" s="85"/>
      <c r="Y243" s="87"/>
      <c r="Z243" s="87"/>
      <c r="AA243" s="87"/>
      <c r="AB243" s="87"/>
      <c r="AC243" s="87"/>
      <c r="AD243" s="87"/>
    </row>
    <row r="244" ht="15.75" customHeight="1">
      <c r="G244" s="85"/>
      <c r="H244" s="85"/>
      <c r="I244" s="85"/>
      <c r="J244" s="85"/>
      <c r="K244" s="85"/>
      <c r="L244" s="85"/>
      <c r="M244" s="86"/>
      <c r="N244" s="86"/>
      <c r="O244" s="86"/>
      <c r="P244" s="86"/>
      <c r="Q244" s="86"/>
      <c r="R244" s="86"/>
      <c r="S244" s="85"/>
      <c r="T244" s="85"/>
      <c r="U244" s="85"/>
      <c r="V244" s="85"/>
      <c r="W244" s="85"/>
      <c r="X244" s="85"/>
      <c r="Y244" s="87"/>
      <c r="Z244" s="87"/>
      <c r="AA244" s="87"/>
      <c r="AB244" s="87"/>
      <c r="AC244" s="87"/>
      <c r="AD244" s="87"/>
    </row>
    <row r="245" ht="15.75" customHeight="1">
      <c r="G245" s="85"/>
      <c r="H245" s="85"/>
      <c r="I245" s="85"/>
      <c r="J245" s="85"/>
      <c r="K245" s="85"/>
      <c r="L245" s="85"/>
      <c r="M245" s="86"/>
      <c r="N245" s="86"/>
      <c r="O245" s="86"/>
      <c r="P245" s="86"/>
      <c r="Q245" s="86"/>
      <c r="R245" s="86"/>
      <c r="S245" s="85"/>
      <c r="T245" s="85"/>
      <c r="U245" s="85"/>
      <c r="V245" s="85"/>
      <c r="W245" s="85"/>
      <c r="X245" s="85"/>
      <c r="Y245" s="87"/>
      <c r="Z245" s="87"/>
      <c r="AA245" s="87"/>
      <c r="AB245" s="87"/>
      <c r="AC245" s="87"/>
      <c r="AD245" s="87"/>
    </row>
    <row r="246" ht="15.75" customHeight="1">
      <c r="G246" s="85"/>
      <c r="H246" s="85"/>
      <c r="I246" s="85"/>
      <c r="J246" s="85"/>
      <c r="K246" s="85"/>
      <c r="L246" s="85"/>
      <c r="M246" s="86"/>
      <c r="N246" s="86"/>
      <c r="O246" s="86"/>
      <c r="P246" s="86"/>
      <c r="Q246" s="86"/>
      <c r="R246" s="86"/>
      <c r="S246" s="85"/>
      <c r="T246" s="85"/>
      <c r="U246" s="85"/>
      <c r="V246" s="85"/>
      <c r="W246" s="85"/>
      <c r="X246" s="85"/>
      <c r="Y246" s="87"/>
      <c r="Z246" s="87"/>
      <c r="AA246" s="87"/>
      <c r="AB246" s="87"/>
      <c r="AC246" s="87"/>
      <c r="AD246" s="87"/>
    </row>
    <row r="247" ht="15.75" customHeight="1">
      <c r="G247" s="85"/>
      <c r="H247" s="85"/>
      <c r="I247" s="85"/>
      <c r="J247" s="85"/>
      <c r="K247" s="85"/>
      <c r="L247" s="85"/>
      <c r="M247" s="86"/>
      <c r="N247" s="86"/>
      <c r="O247" s="86"/>
      <c r="P247" s="86"/>
      <c r="Q247" s="86"/>
      <c r="R247" s="86"/>
      <c r="S247" s="85"/>
      <c r="T247" s="85"/>
      <c r="U247" s="85"/>
      <c r="V247" s="85"/>
      <c r="W247" s="85"/>
      <c r="X247" s="85"/>
      <c r="Y247" s="87"/>
      <c r="Z247" s="87"/>
      <c r="AA247" s="87"/>
      <c r="AB247" s="87"/>
      <c r="AC247" s="87"/>
      <c r="AD247" s="87"/>
    </row>
    <row r="248" ht="15.75" customHeight="1">
      <c r="G248" s="85"/>
      <c r="H248" s="85"/>
      <c r="I248" s="85"/>
      <c r="J248" s="85"/>
      <c r="K248" s="85"/>
      <c r="L248" s="85"/>
      <c r="M248" s="86"/>
      <c r="N248" s="86"/>
      <c r="O248" s="86"/>
      <c r="P248" s="86"/>
      <c r="Q248" s="86"/>
      <c r="R248" s="86"/>
      <c r="S248" s="85"/>
      <c r="T248" s="85"/>
      <c r="U248" s="85"/>
      <c r="V248" s="85"/>
      <c r="W248" s="85"/>
      <c r="X248" s="85"/>
      <c r="Y248" s="87"/>
      <c r="Z248" s="87"/>
      <c r="AA248" s="87"/>
      <c r="AB248" s="87"/>
      <c r="AC248" s="87"/>
      <c r="AD248" s="87"/>
    </row>
    <row r="249" ht="15.75" customHeight="1">
      <c r="G249" s="85"/>
      <c r="H249" s="85"/>
      <c r="I249" s="85"/>
      <c r="J249" s="85"/>
      <c r="K249" s="85"/>
      <c r="L249" s="85"/>
      <c r="M249" s="86"/>
      <c r="N249" s="86"/>
      <c r="O249" s="86"/>
      <c r="P249" s="86"/>
      <c r="Q249" s="86"/>
      <c r="R249" s="86"/>
      <c r="S249" s="85"/>
      <c r="T249" s="85"/>
      <c r="U249" s="85"/>
      <c r="V249" s="85"/>
      <c r="W249" s="85"/>
      <c r="X249" s="85"/>
      <c r="Y249" s="87"/>
      <c r="Z249" s="87"/>
      <c r="AA249" s="87"/>
      <c r="AB249" s="87"/>
      <c r="AC249" s="87"/>
      <c r="AD249" s="87"/>
    </row>
    <row r="250" ht="15.75" customHeight="1">
      <c r="G250" s="85"/>
      <c r="H250" s="85"/>
      <c r="I250" s="85"/>
      <c r="J250" s="85"/>
      <c r="K250" s="85"/>
      <c r="L250" s="85"/>
      <c r="M250" s="86"/>
      <c r="N250" s="86"/>
      <c r="O250" s="86"/>
      <c r="P250" s="86"/>
      <c r="Q250" s="86"/>
      <c r="R250" s="86"/>
      <c r="S250" s="85"/>
      <c r="T250" s="85"/>
      <c r="U250" s="85"/>
      <c r="V250" s="85"/>
      <c r="W250" s="85"/>
      <c r="X250" s="85"/>
      <c r="Y250" s="87"/>
      <c r="Z250" s="87"/>
      <c r="AA250" s="87"/>
      <c r="AB250" s="87"/>
      <c r="AC250" s="87"/>
      <c r="AD250" s="87"/>
    </row>
    <row r="251" ht="15.75" customHeight="1">
      <c r="G251" s="85"/>
      <c r="H251" s="85"/>
      <c r="I251" s="85"/>
      <c r="J251" s="85"/>
      <c r="K251" s="85"/>
      <c r="L251" s="85"/>
      <c r="M251" s="86"/>
      <c r="N251" s="86"/>
      <c r="O251" s="86"/>
      <c r="P251" s="86"/>
      <c r="Q251" s="86"/>
      <c r="R251" s="86"/>
      <c r="S251" s="85"/>
      <c r="T251" s="85"/>
      <c r="U251" s="85"/>
      <c r="V251" s="85"/>
      <c r="W251" s="85"/>
      <c r="X251" s="85"/>
      <c r="Y251" s="87"/>
      <c r="Z251" s="87"/>
      <c r="AA251" s="87"/>
      <c r="AB251" s="87"/>
      <c r="AC251" s="87"/>
      <c r="AD251" s="87"/>
    </row>
    <row r="252" ht="15.75" customHeight="1">
      <c r="G252" s="85"/>
      <c r="H252" s="85"/>
      <c r="I252" s="85"/>
      <c r="J252" s="85"/>
      <c r="K252" s="85"/>
      <c r="L252" s="85"/>
      <c r="M252" s="86"/>
      <c r="N252" s="86"/>
      <c r="O252" s="86"/>
      <c r="P252" s="86"/>
      <c r="Q252" s="86"/>
      <c r="R252" s="86"/>
      <c r="S252" s="85"/>
      <c r="T252" s="85"/>
      <c r="U252" s="85"/>
      <c r="V252" s="85"/>
      <c r="W252" s="85"/>
      <c r="X252" s="85"/>
      <c r="Y252" s="87"/>
      <c r="Z252" s="87"/>
      <c r="AA252" s="87"/>
      <c r="AB252" s="87"/>
      <c r="AC252" s="87"/>
      <c r="AD252" s="87"/>
    </row>
    <row r="253" ht="15.75" customHeight="1">
      <c r="G253" s="85"/>
      <c r="H253" s="85"/>
      <c r="I253" s="85"/>
      <c r="J253" s="85"/>
      <c r="K253" s="85"/>
      <c r="L253" s="85"/>
      <c r="M253" s="86"/>
      <c r="N253" s="86"/>
      <c r="O253" s="86"/>
      <c r="P253" s="86"/>
      <c r="Q253" s="86"/>
      <c r="R253" s="86"/>
      <c r="S253" s="85"/>
      <c r="T253" s="85"/>
      <c r="U253" s="85"/>
      <c r="V253" s="85"/>
      <c r="W253" s="85"/>
      <c r="X253" s="85"/>
      <c r="Y253" s="87"/>
      <c r="Z253" s="87"/>
      <c r="AA253" s="87"/>
      <c r="AB253" s="87"/>
      <c r="AC253" s="87"/>
      <c r="AD253" s="87"/>
    </row>
    <row r="254" ht="15.75" customHeight="1">
      <c r="G254" s="85"/>
      <c r="H254" s="85"/>
      <c r="I254" s="85"/>
      <c r="J254" s="85"/>
      <c r="K254" s="85"/>
      <c r="L254" s="85"/>
      <c r="M254" s="86"/>
      <c r="N254" s="86"/>
      <c r="O254" s="86"/>
      <c r="P254" s="86"/>
      <c r="Q254" s="86"/>
      <c r="R254" s="86"/>
      <c r="S254" s="85"/>
      <c r="T254" s="85"/>
      <c r="U254" s="85"/>
      <c r="V254" s="85"/>
      <c r="W254" s="85"/>
      <c r="X254" s="85"/>
      <c r="Y254" s="87"/>
      <c r="Z254" s="87"/>
      <c r="AA254" s="87"/>
      <c r="AB254" s="87"/>
      <c r="AC254" s="87"/>
      <c r="AD254" s="87"/>
    </row>
    <row r="255" ht="15.75" customHeight="1">
      <c r="G255" s="85"/>
      <c r="H255" s="85"/>
      <c r="I255" s="85"/>
      <c r="J255" s="85"/>
      <c r="K255" s="85"/>
      <c r="L255" s="85"/>
      <c r="M255" s="86"/>
      <c r="N255" s="86"/>
      <c r="O255" s="86"/>
      <c r="P255" s="86"/>
      <c r="Q255" s="86"/>
      <c r="R255" s="86"/>
      <c r="S255" s="85"/>
      <c r="T255" s="85"/>
      <c r="U255" s="85"/>
      <c r="V255" s="85"/>
      <c r="W255" s="85"/>
      <c r="X255" s="85"/>
      <c r="Y255" s="87"/>
      <c r="Z255" s="87"/>
      <c r="AA255" s="87"/>
      <c r="AB255" s="87"/>
      <c r="AC255" s="87"/>
      <c r="AD255" s="87"/>
    </row>
    <row r="256" ht="15.75" customHeight="1">
      <c r="G256" s="85"/>
      <c r="H256" s="85"/>
      <c r="I256" s="85"/>
      <c r="J256" s="85"/>
      <c r="K256" s="85"/>
      <c r="L256" s="85"/>
      <c r="M256" s="86"/>
      <c r="N256" s="86"/>
      <c r="O256" s="86"/>
      <c r="P256" s="86"/>
      <c r="Q256" s="86"/>
      <c r="R256" s="86"/>
      <c r="S256" s="85"/>
      <c r="T256" s="85"/>
      <c r="U256" s="85"/>
      <c r="V256" s="85"/>
      <c r="W256" s="85"/>
      <c r="X256" s="85"/>
      <c r="Y256" s="87"/>
      <c r="Z256" s="87"/>
      <c r="AA256" s="87"/>
      <c r="AB256" s="87"/>
      <c r="AC256" s="87"/>
      <c r="AD256" s="87"/>
    </row>
    <row r="257" ht="15.75" customHeight="1">
      <c r="G257" s="85"/>
      <c r="H257" s="85"/>
      <c r="I257" s="85"/>
      <c r="J257" s="85"/>
      <c r="K257" s="85"/>
      <c r="L257" s="85"/>
      <c r="M257" s="86"/>
      <c r="N257" s="86"/>
      <c r="O257" s="86"/>
      <c r="P257" s="86"/>
      <c r="Q257" s="86"/>
      <c r="R257" s="86"/>
      <c r="S257" s="85"/>
      <c r="T257" s="85"/>
      <c r="U257" s="85"/>
      <c r="V257" s="85"/>
      <c r="W257" s="85"/>
      <c r="X257" s="85"/>
      <c r="Y257" s="87"/>
      <c r="Z257" s="87"/>
      <c r="AA257" s="87"/>
      <c r="AB257" s="87"/>
      <c r="AC257" s="87"/>
      <c r="AD257" s="87"/>
    </row>
    <row r="258" ht="15.75" customHeight="1">
      <c r="G258" s="85"/>
      <c r="H258" s="85"/>
      <c r="I258" s="85"/>
      <c r="J258" s="85"/>
      <c r="K258" s="85"/>
      <c r="L258" s="85"/>
      <c r="M258" s="86"/>
      <c r="N258" s="86"/>
      <c r="O258" s="86"/>
      <c r="P258" s="86"/>
      <c r="Q258" s="86"/>
      <c r="R258" s="86"/>
      <c r="S258" s="85"/>
      <c r="T258" s="85"/>
      <c r="U258" s="85"/>
      <c r="V258" s="85"/>
      <c r="W258" s="85"/>
      <c r="X258" s="85"/>
      <c r="Y258" s="87"/>
      <c r="Z258" s="87"/>
      <c r="AA258" s="87"/>
      <c r="AB258" s="87"/>
      <c r="AC258" s="87"/>
      <c r="AD258" s="87"/>
    </row>
    <row r="259" ht="15.75" customHeight="1">
      <c r="G259" s="85"/>
      <c r="H259" s="85"/>
      <c r="I259" s="85"/>
      <c r="J259" s="85"/>
      <c r="K259" s="85"/>
      <c r="L259" s="85"/>
      <c r="M259" s="86"/>
      <c r="N259" s="86"/>
      <c r="O259" s="86"/>
      <c r="P259" s="86"/>
      <c r="Q259" s="86"/>
      <c r="R259" s="86"/>
      <c r="S259" s="85"/>
      <c r="T259" s="85"/>
      <c r="U259" s="85"/>
      <c r="V259" s="85"/>
      <c r="W259" s="85"/>
      <c r="X259" s="85"/>
      <c r="Y259" s="87"/>
      <c r="Z259" s="87"/>
      <c r="AA259" s="87"/>
      <c r="AB259" s="87"/>
      <c r="AC259" s="87"/>
      <c r="AD259" s="87"/>
    </row>
    <row r="260" ht="15.75" customHeight="1">
      <c r="G260" s="85"/>
      <c r="H260" s="85"/>
      <c r="I260" s="85"/>
      <c r="J260" s="85"/>
      <c r="K260" s="85"/>
      <c r="L260" s="85"/>
      <c r="M260" s="86"/>
      <c r="N260" s="86"/>
      <c r="O260" s="86"/>
      <c r="P260" s="86"/>
      <c r="Q260" s="86"/>
      <c r="R260" s="86"/>
      <c r="S260" s="85"/>
      <c r="T260" s="85"/>
      <c r="U260" s="85"/>
      <c r="V260" s="85"/>
      <c r="W260" s="85"/>
      <c r="X260" s="85"/>
      <c r="Y260" s="87"/>
      <c r="Z260" s="87"/>
      <c r="AA260" s="87"/>
      <c r="AB260" s="87"/>
      <c r="AC260" s="87"/>
      <c r="AD260" s="87"/>
    </row>
    <row r="261" ht="15.75" customHeight="1">
      <c r="G261" s="85"/>
      <c r="H261" s="85"/>
      <c r="I261" s="85"/>
      <c r="J261" s="85"/>
      <c r="K261" s="85"/>
      <c r="L261" s="85"/>
      <c r="M261" s="86"/>
      <c r="N261" s="86"/>
      <c r="O261" s="86"/>
      <c r="P261" s="86"/>
      <c r="Q261" s="86"/>
      <c r="R261" s="86"/>
      <c r="S261" s="85"/>
      <c r="T261" s="85"/>
      <c r="U261" s="85"/>
      <c r="V261" s="85"/>
      <c r="W261" s="85"/>
      <c r="X261" s="85"/>
      <c r="Y261" s="87"/>
      <c r="Z261" s="87"/>
      <c r="AA261" s="87"/>
      <c r="AB261" s="87"/>
      <c r="AC261" s="87"/>
      <c r="AD261" s="87"/>
    </row>
    <row r="262" ht="15.75" customHeight="1">
      <c r="G262" s="85"/>
      <c r="H262" s="85"/>
      <c r="I262" s="85"/>
      <c r="J262" s="85"/>
      <c r="K262" s="85"/>
      <c r="L262" s="85"/>
      <c r="M262" s="86"/>
      <c r="N262" s="86"/>
      <c r="O262" s="86"/>
      <c r="P262" s="86"/>
      <c r="Q262" s="86"/>
      <c r="R262" s="86"/>
      <c r="S262" s="85"/>
      <c r="T262" s="85"/>
      <c r="U262" s="85"/>
      <c r="V262" s="85"/>
      <c r="W262" s="85"/>
      <c r="X262" s="85"/>
      <c r="Y262" s="87"/>
      <c r="Z262" s="87"/>
      <c r="AA262" s="87"/>
      <c r="AB262" s="87"/>
      <c r="AC262" s="87"/>
      <c r="AD262" s="87"/>
    </row>
    <row r="263" ht="15.75" customHeight="1">
      <c r="G263" s="85"/>
      <c r="H263" s="85"/>
      <c r="I263" s="85"/>
      <c r="J263" s="85"/>
      <c r="K263" s="85"/>
      <c r="L263" s="85"/>
      <c r="M263" s="86"/>
      <c r="N263" s="86"/>
      <c r="O263" s="86"/>
      <c r="P263" s="86"/>
      <c r="Q263" s="86"/>
      <c r="R263" s="86"/>
      <c r="S263" s="85"/>
      <c r="T263" s="85"/>
      <c r="U263" s="85"/>
      <c r="V263" s="85"/>
      <c r="W263" s="85"/>
      <c r="X263" s="85"/>
      <c r="Y263" s="87"/>
      <c r="Z263" s="87"/>
      <c r="AA263" s="87"/>
      <c r="AB263" s="87"/>
      <c r="AC263" s="87"/>
      <c r="AD263" s="87"/>
    </row>
    <row r="264" ht="15.75" customHeight="1">
      <c r="G264" s="85"/>
      <c r="H264" s="85"/>
      <c r="I264" s="85"/>
      <c r="J264" s="85"/>
      <c r="K264" s="85"/>
      <c r="L264" s="85"/>
      <c r="M264" s="86"/>
      <c r="N264" s="86"/>
      <c r="O264" s="86"/>
      <c r="P264" s="86"/>
      <c r="Q264" s="86"/>
      <c r="R264" s="86"/>
      <c r="S264" s="85"/>
      <c r="T264" s="85"/>
      <c r="U264" s="85"/>
      <c r="V264" s="85"/>
      <c r="W264" s="85"/>
      <c r="X264" s="85"/>
      <c r="Y264" s="87"/>
      <c r="Z264" s="87"/>
      <c r="AA264" s="87"/>
      <c r="AB264" s="87"/>
      <c r="AC264" s="87"/>
      <c r="AD264" s="87"/>
    </row>
    <row r="265" ht="15.75" customHeight="1">
      <c r="G265" s="85"/>
      <c r="H265" s="85"/>
      <c r="I265" s="85"/>
      <c r="J265" s="85"/>
      <c r="K265" s="85"/>
      <c r="L265" s="85"/>
      <c r="M265" s="86"/>
      <c r="N265" s="86"/>
      <c r="O265" s="86"/>
      <c r="P265" s="86"/>
      <c r="Q265" s="86"/>
      <c r="R265" s="86"/>
      <c r="S265" s="85"/>
      <c r="T265" s="85"/>
      <c r="U265" s="85"/>
      <c r="V265" s="85"/>
      <c r="W265" s="85"/>
      <c r="X265" s="85"/>
      <c r="Y265" s="87"/>
      <c r="Z265" s="87"/>
      <c r="AA265" s="87"/>
      <c r="AB265" s="87"/>
      <c r="AC265" s="87"/>
      <c r="AD265" s="87"/>
    </row>
    <row r="266" ht="15.75" customHeight="1">
      <c r="G266" s="85"/>
      <c r="H266" s="85"/>
      <c r="I266" s="85"/>
      <c r="J266" s="85"/>
      <c r="K266" s="85"/>
      <c r="L266" s="85"/>
      <c r="M266" s="86"/>
      <c r="N266" s="86"/>
      <c r="O266" s="86"/>
      <c r="P266" s="86"/>
      <c r="Q266" s="86"/>
      <c r="R266" s="86"/>
      <c r="S266" s="85"/>
      <c r="T266" s="85"/>
      <c r="U266" s="85"/>
      <c r="V266" s="85"/>
      <c r="W266" s="85"/>
      <c r="X266" s="85"/>
      <c r="Y266" s="87"/>
      <c r="Z266" s="87"/>
      <c r="AA266" s="87"/>
      <c r="AB266" s="87"/>
      <c r="AC266" s="87"/>
      <c r="AD266" s="87"/>
    </row>
    <row r="267" ht="15.75" customHeight="1">
      <c r="G267" s="85"/>
      <c r="H267" s="85"/>
      <c r="I267" s="85"/>
      <c r="J267" s="85"/>
      <c r="K267" s="85"/>
      <c r="L267" s="85"/>
      <c r="M267" s="86"/>
      <c r="N267" s="86"/>
      <c r="O267" s="86"/>
      <c r="P267" s="86"/>
      <c r="Q267" s="86"/>
      <c r="R267" s="86"/>
      <c r="S267" s="85"/>
      <c r="T267" s="85"/>
      <c r="U267" s="85"/>
      <c r="V267" s="85"/>
      <c r="W267" s="85"/>
      <c r="X267" s="85"/>
      <c r="Y267" s="87"/>
      <c r="Z267" s="87"/>
      <c r="AA267" s="87"/>
      <c r="AB267" s="87"/>
      <c r="AC267" s="87"/>
      <c r="AD267" s="87"/>
    </row>
    <row r="268" ht="15.75" customHeight="1">
      <c r="G268" s="85"/>
      <c r="H268" s="85"/>
      <c r="I268" s="85"/>
      <c r="J268" s="85"/>
      <c r="K268" s="85"/>
      <c r="L268" s="85"/>
      <c r="M268" s="86"/>
      <c r="N268" s="86"/>
      <c r="O268" s="86"/>
      <c r="P268" s="86"/>
      <c r="Q268" s="86"/>
      <c r="R268" s="86"/>
      <c r="S268" s="85"/>
      <c r="T268" s="85"/>
      <c r="U268" s="85"/>
      <c r="V268" s="85"/>
      <c r="W268" s="85"/>
      <c r="X268" s="85"/>
      <c r="Y268" s="87"/>
      <c r="Z268" s="87"/>
      <c r="AA268" s="87"/>
      <c r="AB268" s="87"/>
      <c r="AC268" s="87"/>
      <c r="AD268" s="87"/>
    </row>
    <row r="269" ht="15.75" customHeight="1">
      <c r="G269" s="85"/>
      <c r="H269" s="85"/>
      <c r="I269" s="85"/>
      <c r="J269" s="85"/>
      <c r="K269" s="85"/>
      <c r="L269" s="85"/>
      <c r="M269" s="86"/>
      <c r="N269" s="86"/>
      <c r="O269" s="86"/>
      <c r="P269" s="86"/>
      <c r="Q269" s="86"/>
      <c r="R269" s="86"/>
      <c r="S269" s="85"/>
      <c r="T269" s="85"/>
      <c r="U269" s="85"/>
      <c r="V269" s="85"/>
      <c r="W269" s="85"/>
      <c r="X269" s="85"/>
      <c r="Y269" s="87"/>
      <c r="Z269" s="87"/>
      <c r="AA269" s="87"/>
      <c r="AB269" s="87"/>
      <c r="AC269" s="87"/>
      <c r="AD269" s="87"/>
    </row>
    <row r="270" ht="15.75" customHeight="1">
      <c r="G270" s="85"/>
      <c r="H270" s="85"/>
      <c r="I270" s="85"/>
      <c r="J270" s="85"/>
      <c r="K270" s="85"/>
      <c r="L270" s="85"/>
      <c r="M270" s="86"/>
      <c r="N270" s="86"/>
      <c r="O270" s="86"/>
      <c r="P270" s="86"/>
      <c r="Q270" s="86"/>
      <c r="R270" s="86"/>
      <c r="S270" s="85"/>
      <c r="T270" s="85"/>
      <c r="U270" s="85"/>
      <c r="V270" s="85"/>
      <c r="W270" s="85"/>
      <c r="X270" s="85"/>
      <c r="Y270" s="87"/>
      <c r="Z270" s="87"/>
      <c r="AA270" s="87"/>
      <c r="AB270" s="87"/>
      <c r="AC270" s="87"/>
      <c r="AD270" s="87"/>
    </row>
    <row r="271" ht="15.75" customHeight="1">
      <c r="G271" s="85"/>
      <c r="H271" s="85"/>
      <c r="I271" s="85"/>
      <c r="J271" s="85"/>
      <c r="K271" s="85"/>
      <c r="L271" s="85"/>
      <c r="M271" s="86"/>
      <c r="N271" s="86"/>
      <c r="O271" s="86"/>
      <c r="P271" s="86"/>
      <c r="Q271" s="86"/>
      <c r="R271" s="86"/>
      <c r="S271" s="85"/>
      <c r="T271" s="85"/>
      <c r="U271" s="85"/>
      <c r="V271" s="85"/>
      <c r="W271" s="85"/>
      <c r="X271" s="85"/>
      <c r="Y271" s="87"/>
      <c r="Z271" s="87"/>
      <c r="AA271" s="87"/>
      <c r="AB271" s="87"/>
      <c r="AC271" s="87"/>
      <c r="AD271" s="87"/>
    </row>
    <row r="272" ht="15.75" customHeight="1">
      <c r="G272" s="85"/>
      <c r="H272" s="85"/>
      <c r="I272" s="85"/>
      <c r="J272" s="85"/>
      <c r="K272" s="85"/>
      <c r="L272" s="85"/>
      <c r="M272" s="86"/>
      <c r="N272" s="86"/>
      <c r="O272" s="86"/>
      <c r="P272" s="86"/>
      <c r="Q272" s="86"/>
      <c r="R272" s="86"/>
      <c r="S272" s="85"/>
      <c r="T272" s="85"/>
      <c r="U272" s="85"/>
      <c r="V272" s="85"/>
      <c r="W272" s="85"/>
      <c r="X272" s="85"/>
      <c r="Y272" s="87"/>
      <c r="Z272" s="87"/>
      <c r="AA272" s="87"/>
      <c r="AB272" s="87"/>
      <c r="AC272" s="87"/>
      <c r="AD272" s="87"/>
    </row>
    <row r="273" ht="15.75" customHeight="1">
      <c r="G273" s="85"/>
      <c r="H273" s="85"/>
      <c r="I273" s="85"/>
      <c r="J273" s="85"/>
      <c r="K273" s="85"/>
      <c r="L273" s="85"/>
      <c r="M273" s="86"/>
      <c r="N273" s="86"/>
      <c r="O273" s="86"/>
      <c r="P273" s="86"/>
      <c r="Q273" s="86"/>
      <c r="R273" s="86"/>
      <c r="S273" s="85"/>
      <c r="T273" s="85"/>
      <c r="U273" s="85"/>
      <c r="V273" s="85"/>
      <c r="W273" s="85"/>
      <c r="X273" s="85"/>
      <c r="Y273" s="87"/>
      <c r="Z273" s="87"/>
      <c r="AA273" s="87"/>
      <c r="AB273" s="87"/>
      <c r="AC273" s="87"/>
      <c r="AD273" s="87"/>
    </row>
    <row r="274" ht="15.75" customHeight="1">
      <c r="G274" s="85"/>
      <c r="H274" s="85"/>
      <c r="I274" s="85"/>
      <c r="J274" s="85"/>
      <c r="K274" s="85"/>
      <c r="L274" s="85"/>
      <c r="M274" s="86"/>
      <c r="N274" s="86"/>
      <c r="O274" s="86"/>
      <c r="P274" s="86"/>
      <c r="Q274" s="86"/>
      <c r="R274" s="86"/>
      <c r="S274" s="85"/>
      <c r="T274" s="85"/>
      <c r="U274" s="85"/>
      <c r="V274" s="85"/>
      <c r="W274" s="85"/>
      <c r="X274" s="85"/>
      <c r="Y274" s="87"/>
      <c r="Z274" s="87"/>
      <c r="AA274" s="87"/>
      <c r="AB274" s="87"/>
      <c r="AC274" s="87"/>
      <c r="AD274" s="87"/>
    </row>
    <row r="275" ht="15.75" customHeight="1">
      <c r="G275" s="85"/>
      <c r="H275" s="85"/>
      <c r="I275" s="85"/>
      <c r="J275" s="85"/>
      <c r="K275" s="85"/>
      <c r="L275" s="85"/>
      <c r="M275" s="86"/>
      <c r="N275" s="86"/>
      <c r="O275" s="86"/>
      <c r="P275" s="86"/>
      <c r="Q275" s="86"/>
      <c r="R275" s="86"/>
      <c r="S275" s="85"/>
      <c r="T275" s="85"/>
      <c r="U275" s="85"/>
      <c r="V275" s="85"/>
      <c r="W275" s="85"/>
      <c r="X275" s="85"/>
      <c r="Y275" s="87"/>
      <c r="Z275" s="87"/>
      <c r="AA275" s="87"/>
      <c r="AB275" s="87"/>
      <c r="AC275" s="87"/>
      <c r="AD275" s="87"/>
    </row>
    <row r="276" ht="15.75" customHeight="1">
      <c r="G276" s="85"/>
      <c r="H276" s="85"/>
      <c r="I276" s="85"/>
      <c r="J276" s="85"/>
      <c r="K276" s="85"/>
      <c r="L276" s="85"/>
      <c r="M276" s="86"/>
      <c r="N276" s="86"/>
      <c r="O276" s="86"/>
      <c r="P276" s="86"/>
      <c r="Q276" s="86"/>
      <c r="R276" s="86"/>
      <c r="S276" s="85"/>
      <c r="T276" s="85"/>
      <c r="U276" s="85"/>
      <c r="V276" s="85"/>
      <c r="W276" s="85"/>
      <c r="X276" s="85"/>
      <c r="Y276" s="87"/>
      <c r="Z276" s="87"/>
      <c r="AA276" s="87"/>
      <c r="AB276" s="87"/>
      <c r="AC276" s="87"/>
      <c r="AD276" s="87"/>
    </row>
    <row r="277" ht="15.75" customHeight="1">
      <c r="G277" s="85"/>
      <c r="H277" s="85"/>
      <c r="I277" s="85"/>
      <c r="J277" s="85"/>
      <c r="K277" s="85"/>
      <c r="L277" s="85"/>
      <c r="M277" s="86"/>
      <c r="N277" s="86"/>
      <c r="O277" s="86"/>
      <c r="P277" s="86"/>
      <c r="Q277" s="86"/>
      <c r="R277" s="86"/>
      <c r="S277" s="85"/>
      <c r="T277" s="85"/>
      <c r="U277" s="85"/>
      <c r="V277" s="85"/>
      <c r="W277" s="85"/>
      <c r="X277" s="85"/>
      <c r="Y277" s="87"/>
      <c r="Z277" s="87"/>
      <c r="AA277" s="87"/>
      <c r="AB277" s="87"/>
      <c r="AC277" s="87"/>
      <c r="AD277" s="87"/>
    </row>
    <row r="278" ht="15.75" customHeight="1">
      <c r="G278" s="85"/>
      <c r="H278" s="85"/>
      <c r="I278" s="85"/>
      <c r="J278" s="85"/>
      <c r="K278" s="85"/>
      <c r="L278" s="85"/>
      <c r="M278" s="86"/>
      <c r="N278" s="86"/>
      <c r="O278" s="86"/>
      <c r="P278" s="86"/>
      <c r="Q278" s="86"/>
      <c r="R278" s="86"/>
      <c r="S278" s="85"/>
      <c r="T278" s="85"/>
      <c r="U278" s="85"/>
      <c r="V278" s="85"/>
      <c r="W278" s="85"/>
      <c r="X278" s="85"/>
      <c r="Y278" s="87"/>
      <c r="Z278" s="87"/>
      <c r="AA278" s="87"/>
      <c r="AB278" s="87"/>
      <c r="AC278" s="87"/>
      <c r="AD278" s="87"/>
    </row>
    <row r="279" ht="15.75" customHeight="1">
      <c r="G279" s="85"/>
      <c r="H279" s="85"/>
      <c r="I279" s="85"/>
      <c r="J279" s="85"/>
      <c r="K279" s="85"/>
      <c r="L279" s="85"/>
      <c r="M279" s="86"/>
      <c r="N279" s="86"/>
      <c r="O279" s="86"/>
      <c r="P279" s="86"/>
      <c r="Q279" s="86"/>
      <c r="R279" s="86"/>
      <c r="S279" s="85"/>
      <c r="T279" s="85"/>
      <c r="U279" s="85"/>
      <c r="V279" s="85"/>
      <c r="W279" s="85"/>
      <c r="X279" s="85"/>
      <c r="Y279" s="87"/>
      <c r="Z279" s="87"/>
      <c r="AA279" s="87"/>
      <c r="AB279" s="87"/>
      <c r="AC279" s="87"/>
      <c r="AD279" s="87"/>
    </row>
    <row r="280" ht="15.75" customHeight="1">
      <c r="G280" s="85"/>
      <c r="H280" s="85"/>
      <c r="I280" s="85"/>
      <c r="J280" s="85"/>
      <c r="K280" s="85"/>
      <c r="L280" s="85"/>
      <c r="M280" s="86"/>
      <c r="N280" s="86"/>
      <c r="O280" s="86"/>
      <c r="P280" s="86"/>
      <c r="Q280" s="86"/>
      <c r="R280" s="86"/>
      <c r="S280" s="85"/>
      <c r="T280" s="85"/>
      <c r="U280" s="85"/>
      <c r="V280" s="85"/>
      <c r="W280" s="85"/>
      <c r="X280" s="85"/>
      <c r="Y280" s="87"/>
      <c r="Z280" s="87"/>
      <c r="AA280" s="87"/>
      <c r="AB280" s="87"/>
      <c r="AC280" s="87"/>
      <c r="AD280" s="87"/>
    </row>
    <row r="281" ht="15.75" customHeight="1">
      <c r="G281" s="85"/>
      <c r="H281" s="85"/>
      <c r="I281" s="85"/>
      <c r="J281" s="85"/>
      <c r="K281" s="85"/>
      <c r="L281" s="85"/>
      <c r="M281" s="86"/>
      <c r="N281" s="86"/>
      <c r="O281" s="86"/>
      <c r="P281" s="86"/>
      <c r="Q281" s="86"/>
      <c r="R281" s="86"/>
      <c r="S281" s="85"/>
      <c r="T281" s="85"/>
      <c r="U281" s="85"/>
      <c r="V281" s="85"/>
      <c r="W281" s="85"/>
      <c r="X281" s="85"/>
      <c r="Y281" s="87"/>
      <c r="Z281" s="87"/>
      <c r="AA281" s="87"/>
      <c r="AB281" s="87"/>
      <c r="AC281" s="87"/>
      <c r="AD281" s="87"/>
    </row>
    <row r="282" ht="15.75" customHeight="1">
      <c r="G282" s="85"/>
      <c r="H282" s="85"/>
      <c r="I282" s="85"/>
      <c r="J282" s="85"/>
      <c r="K282" s="85"/>
      <c r="L282" s="85"/>
      <c r="M282" s="86"/>
      <c r="N282" s="86"/>
      <c r="O282" s="86"/>
      <c r="P282" s="86"/>
      <c r="Q282" s="86"/>
      <c r="R282" s="86"/>
      <c r="S282" s="85"/>
      <c r="T282" s="85"/>
      <c r="U282" s="85"/>
      <c r="V282" s="85"/>
      <c r="W282" s="85"/>
      <c r="X282" s="85"/>
      <c r="Y282" s="87"/>
      <c r="Z282" s="87"/>
      <c r="AA282" s="87"/>
      <c r="AB282" s="87"/>
      <c r="AC282" s="87"/>
      <c r="AD282" s="87"/>
    </row>
    <row r="283" ht="15.75" customHeight="1">
      <c r="G283" s="85"/>
      <c r="H283" s="85"/>
      <c r="I283" s="85"/>
      <c r="J283" s="85"/>
      <c r="K283" s="85"/>
      <c r="L283" s="85"/>
      <c r="M283" s="86"/>
      <c r="N283" s="86"/>
      <c r="O283" s="86"/>
      <c r="P283" s="86"/>
      <c r="Q283" s="86"/>
      <c r="R283" s="86"/>
      <c r="S283" s="85"/>
      <c r="T283" s="85"/>
      <c r="U283" s="85"/>
      <c r="V283" s="85"/>
      <c r="W283" s="85"/>
      <c r="X283" s="85"/>
      <c r="Y283" s="87"/>
      <c r="Z283" s="87"/>
      <c r="AA283" s="87"/>
      <c r="AB283" s="87"/>
      <c r="AC283" s="87"/>
      <c r="AD283" s="87"/>
    </row>
    <row r="284" ht="15.75" customHeight="1">
      <c r="G284" s="85"/>
      <c r="H284" s="85"/>
      <c r="I284" s="85"/>
      <c r="J284" s="85"/>
      <c r="K284" s="85"/>
      <c r="L284" s="85"/>
      <c r="M284" s="86"/>
      <c r="N284" s="86"/>
      <c r="O284" s="86"/>
      <c r="P284" s="86"/>
      <c r="Q284" s="86"/>
      <c r="R284" s="86"/>
      <c r="S284" s="85"/>
      <c r="T284" s="85"/>
      <c r="U284" s="85"/>
      <c r="V284" s="85"/>
      <c r="W284" s="85"/>
      <c r="X284" s="85"/>
      <c r="Y284" s="87"/>
      <c r="Z284" s="87"/>
      <c r="AA284" s="87"/>
      <c r="AB284" s="87"/>
      <c r="AC284" s="87"/>
      <c r="AD284" s="87"/>
    </row>
    <row r="285" ht="15.75" customHeight="1">
      <c r="G285" s="85"/>
      <c r="H285" s="85"/>
      <c r="I285" s="85"/>
      <c r="J285" s="85"/>
      <c r="K285" s="85"/>
      <c r="L285" s="85"/>
      <c r="M285" s="86"/>
      <c r="N285" s="86"/>
      <c r="O285" s="86"/>
      <c r="P285" s="86"/>
      <c r="Q285" s="86"/>
      <c r="R285" s="86"/>
      <c r="S285" s="85"/>
      <c r="T285" s="85"/>
      <c r="U285" s="85"/>
      <c r="V285" s="85"/>
      <c r="W285" s="85"/>
      <c r="X285" s="85"/>
      <c r="Y285" s="87"/>
      <c r="Z285" s="87"/>
      <c r="AA285" s="87"/>
      <c r="AB285" s="87"/>
      <c r="AC285" s="87"/>
      <c r="AD285" s="87"/>
    </row>
    <row r="286" ht="15.75" customHeight="1">
      <c r="G286" s="85"/>
      <c r="H286" s="85"/>
      <c r="I286" s="85"/>
      <c r="J286" s="85"/>
      <c r="K286" s="85"/>
      <c r="L286" s="85"/>
      <c r="M286" s="86"/>
      <c r="N286" s="86"/>
      <c r="O286" s="86"/>
      <c r="P286" s="86"/>
      <c r="Q286" s="86"/>
      <c r="R286" s="86"/>
      <c r="S286" s="85"/>
      <c r="T286" s="85"/>
      <c r="U286" s="85"/>
      <c r="V286" s="85"/>
      <c r="W286" s="85"/>
      <c r="X286" s="85"/>
      <c r="Y286" s="87"/>
      <c r="Z286" s="87"/>
      <c r="AA286" s="87"/>
      <c r="AB286" s="87"/>
      <c r="AC286" s="87"/>
      <c r="AD286" s="87"/>
    </row>
    <row r="287" ht="15.75" customHeight="1">
      <c r="G287" s="85"/>
      <c r="H287" s="85"/>
      <c r="I287" s="85"/>
      <c r="J287" s="85"/>
      <c r="K287" s="85"/>
      <c r="L287" s="85"/>
      <c r="M287" s="86"/>
      <c r="N287" s="86"/>
      <c r="O287" s="86"/>
      <c r="P287" s="86"/>
      <c r="Q287" s="86"/>
      <c r="R287" s="86"/>
      <c r="S287" s="85"/>
      <c r="T287" s="85"/>
      <c r="U287" s="85"/>
      <c r="V287" s="85"/>
      <c r="W287" s="85"/>
      <c r="X287" s="85"/>
      <c r="Y287" s="87"/>
      <c r="Z287" s="87"/>
      <c r="AA287" s="87"/>
      <c r="AB287" s="87"/>
      <c r="AC287" s="87"/>
      <c r="AD287" s="87"/>
    </row>
    <row r="288" ht="15.75" customHeight="1">
      <c r="G288" s="85"/>
      <c r="H288" s="85"/>
      <c r="I288" s="85"/>
      <c r="J288" s="85"/>
      <c r="K288" s="85"/>
      <c r="L288" s="85"/>
      <c r="M288" s="86"/>
      <c r="N288" s="86"/>
      <c r="O288" s="86"/>
      <c r="P288" s="86"/>
      <c r="Q288" s="86"/>
      <c r="R288" s="86"/>
      <c r="S288" s="85"/>
      <c r="T288" s="85"/>
      <c r="U288" s="85"/>
      <c r="V288" s="85"/>
      <c r="W288" s="85"/>
      <c r="X288" s="85"/>
      <c r="Y288" s="87"/>
      <c r="Z288" s="87"/>
      <c r="AA288" s="87"/>
      <c r="AB288" s="87"/>
      <c r="AC288" s="87"/>
      <c r="AD288" s="87"/>
    </row>
    <row r="289" ht="15.75" customHeight="1">
      <c r="G289" s="85"/>
      <c r="H289" s="85"/>
      <c r="I289" s="85"/>
      <c r="J289" s="85"/>
      <c r="K289" s="85"/>
      <c r="L289" s="85"/>
      <c r="M289" s="86"/>
      <c r="N289" s="86"/>
      <c r="O289" s="86"/>
      <c r="P289" s="86"/>
      <c r="Q289" s="86"/>
      <c r="R289" s="86"/>
      <c r="S289" s="85"/>
      <c r="T289" s="85"/>
      <c r="U289" s="85"/>
      <c r="V289" s="85"/>
      <c r="W289" s="85"/>
      <c r="X289" s="85"/>
      <c r="Y289" s="87"/>
      <c r="Z289" s="87"/>
      <c r="AA289" s="87"/>
      <c r="AB289" s="87"/>
      <c r="AC289" s="87"/>
      <c r="AD289" s="87"/>
    </row>
    <row r="290" ht="15.75" customHeight="1">
      <c r="G290" s="85"/>
      <c r="H290" s="85"/>
      <c r="I290" s="85"/>
      <c r="J290" s="85"/>
      <c r="K290" s="85"/>
      <c r="L290" s="85"/>
      <c r="M290" s="86"/>
      <c r="N290" s="86"/>
      <c r="O290" s="86"/>
      <c r="P290" s="86"/>
      <c r="Q290" s="86"/>
      <c r="R290" s="86"/>
      <c r="S290" s="85"/>
      <c r="T290" s="85"/>
      <c r="U290" s="85"/>
      <c r="V290" s="85"/>
      <c r="W290" s="85"/>
      <c r="X290" s="85"/>
      <c r="Y290" s="87"/>
      <c r="Z290" s="87"/>
      <c r="AA290" s="87"/>
      <c r="AB290" s="87"/>
      <c r="AC290" s="87"/>
      <c r="AD290" s="87"/>
    </row>
    <row r="291" ht="15.75" customHeight="1">
      <c r="G291" s="85"/>
      <c r="H291" s="85"/>
      <c r="I291" s="85"/>
      <c r="J291" s="85"/>
      <c r="K291" s="85"/>
      <c r="L291" s="85"/>
      <c r="M291" s="86"/>
      <c r="N291" s="86"/>
      <c r="O291" s="86"/>
      <c r="P291" s="86"/>
      <c r="Q291" s="86"/>
      <c r="R291" s="86"/>
      <c r="S291" s="85"/>
      <c r="T291" s="85"/>
      <c r="U291" s="85"/>
      <c r="V291" s="85"/>
      <c r="W291" s="85"/>
      <c r="X291" s="85"/>
      <c r="Y291" s="87"/>
      <c r="Z291" s="87"/>
      <c r="AA291" s="87"/>
      <c r="AB291" s="87"/>
      <c r="AC291" s="87"/>
      <c r="AD291" s="87"/>
    </row>
    <row r="292" ht="15.75" customHeight="1">
      <c r="G292" s="85"/>
      <c r="H292" s="85"/>
      <c r="I292" s="85"/>
      <c r="J292" s="85"/>
      <c r="K292" s="85"/>
      <c r="L292" s="85"/>
      <c r="M292" s="86"/>
      <c r="N292" s="86"/>
      <c r="O292" s="86"/>
      <c r="P292" s="86"/>
      <c r="Q292" s="86"/>
      <c r="R292" s="86"/>
      <c r="S292" s="85"/>
      <c r="T292" s="85"/>
      <c r="U292" s="85"/>
      <c r="V292" s="85"/>
      <c r="W292" s="85"/>
      <c r="X292" s="85"/>
      <c r="Y292" s="87"/>
      <c r="Z292" s="87"/>
      <c r="AA292" s="87"/>
      <c r="AB292" s="87"/>
      <c r="AC292" s="87"/>
      <c r="AD292" s="87"/>
    </row>
    <row r="293" ht="15.75" customHeight="1">
      <c r="G293" s="85"/>
      <c r="H293" s="85"/>
      <c r="I293" s="85"/>
      <c r="J293" s="85"/>
      <c r="K293" s="85"/>
      <c r="L293" s="85"/>
      <c r="M293" s="86"/>
      <c r="N293" s="86"/>
      <c r="O293" s="86"/>
      <c r="P293" s="86"/>
      <c r="Q293" s="86"/>
      <c r="R293" s="86"/>
      <c r="S293" s="85"/>
      <c r="T293" s="85"/>
      <c r="U293" s="85"/>
      <c r="V293" s="85"/>
      <c r="W293" s="85"/>
      <c r="X293" s="85"/>
      <c r="Y293" s="87"/>
      <c r="Z293" s="87"/>
      <c r="AA293" s="87"/>
      <c r="AB293" s="87"/>
      <c r="AC293" s="87"/>
      <c r="AD293" s="87"/>
    </row>
    <row r="294" ht="15.75" customHeight="1">
      <c r="G294" s="85"/>
      <c r="H294" s="85"/>
      <c r="I294" s="85"/>
      <c r="J294" s="85"/>
      <c r="K294" s="85"/>
      <c r="L294" s="85"/>
      <c r="M294" s="86"/>
      <c r="N294" s="86"/>
      <c r="O294" s="86"/>
      <c r="P294" s="86"/>
      <c r="Q294" s="86"/>
      <c r="R294" s="86"/>
      <c r="S294" s="85"/>
      <c r="T294" s="85"/>
      <c r="U294" s="85"/>
      <c r="V294" s="85"/>
      <c r="W294" s="85"/>
      <c r="X294" s="85"/>
      <c r="Y294" s="87"/>
      <c r="Z294" s="87"/>
      <c r="AA294" s="87"/>
      <c r="AB294" s="87"/>
      <c r="AC294" s="87"/>
      <c r="AD294" s="87"/>
    </row>
    <row r="295" ht="15.75" customHeight="1">
      <c r="G295" s="85"/>
      <c r="H295" s="85"/>
      <c r="I295" s="85"/>
      <c r="J295" s="85"/>
      <c r="K295" s="85"/>
      <c r="L295" s="85"/>
      <c r="M295" s="86"/>
      <c r="N295" s="86"/>
      <c r="O295" s="86"/>
      <c r="P295" s="86"/>
      <c r="Q295" s="86"/>
      <c r="R295" s="86"/>
      <c r="S295" s="85"/>
      <c r="T295" s="85"/>
      <c r="U295" s="85"/>
      <c r="V295" s="85"/>
      <c r="W295" s="85"/>
      <c r="X295" s="85"/>
      <c r="Y295" s="87"/>
      <c r="Z295" s="87"/>
      <c r="AA295" s="87"/>
      <c r="AB295" s="87"/>
      <c r="AC295" s="87"/>
      <c r="AD295" s="87"/>
    </row>
    <row r="296" ht="15.75" customHeight="1">
      <c r="G296" s="85"/>
      <c r="H296" s="85"/>
      <c r="I296" s="85"/>
      <c r="J296" s="85"/>
      <c r="K296" s="85"/>
      <c r="L296" s="85"/>
      <c r="M296" s="86"/>
      <c r="N296" s="86"/>
      <c r="O296" s="86"/>
      <c r="P296" s="86"/>
      <c r="Q296" s="86"/>
      <c r="R296" s="86"/>
      <c r="S296" s="85"/>
      <c r="T296" s="85"/>
      <c r="U296" s="85"/>
      <c r="V296" s="85"/>
      <c r="W296" s="85"/>
      <c r="X296" s="85"/>
      <c r="Y296" s="87"/>
      <c r="Z296" s="87"/>
      <c r="AA296" s="87"/>
      <c r="AB296" s="87"/>
      <c r="AC296" s="87"/>
      <c r="AD296" s="87"/>
    </row>
    <row r="297" ht="15.75" customHeight="1">
      <c r="G297" s="85"/>
      <c r="H297" s="85"/>
      <c r="I297" s="85"/>
      <c r="J297" s="85"/>
      <c r="K297" s="85"/>
      <c r="L297" s="85"/>
      <c r="M297" s="86"/>
      <c r="N297" s="86"/>
      <c r="O297" s="86"/>
      <c r="P297" s="86"/>
      <c r="Q297" s="86"/>
      <c r="R297" s="86"/>
      <c r="S297" s="85"/>
      <c r="T297" s="85"/>
      <c r="U297" s="85"/>
      <c r="V297" s="85"/>
      <c r="W297" s="85"/>
      <c r="X297" s="85"/>
      <c r="Y297" s="87"/>
      <c r="Z297" s="87"/>
      <c r="AA297" s="87"/>
      <c r="AB297" s="87"/>
      <c r="AC297" s="87"/>
      <c r="AD297" s="87"/>
    </row>
    <row r="298" ht="15.75" customHeight="1">
      <c r="G298" s="85"/>
      <c r="H298" s="85"/>
      <c r="I298" s="85"/>
      <c r="J298" s="85"/>
      <c r="K298" s="85"/>
      <c r="L298" s="85"/>
      <c r="M298" s="86"/>
      <c r="N298" s="86"/>
      <c r="O298" s="86"/>
      <c r="P298" s="86"/>
      <c r="Q298" s="86"/>
      <c r="R298" s="86"/>
      <c r="S298" s="85"/>
      <c r="T298" s="85"/>
      <c r="U298" s="85"/>
      <c r="V298" s="85"/>
      <c r="W298" s="85"/>
      <c r="X298" s="85"/>
      <c r="Y298" s="87"/>
      <c r="Z298" s="87"/>
      <c r="AA298" s="87"/>
      <c r="AB298" s="87"/>
      <c r="AC298" s="87"/>
      <c r="AD298" s="87"/>
    </row>
    <row r="299" ht="15.75" customHeight="1">
      <c r="G299" s="85"/>
      <c r="H299" s="85"/>
      <c r="I299" s="85"/>
      <c r="J299" s="85"/>
      <c r="K299" s="85"/>
      <c r="L299" s="85"/>
      <c r="M299" s="86"/>
      <c r="N299" s="86"/>
      <c r="O299" s="86"/>
      <c r="P299" s="86"/>
      <c r="Q299" s="86"/>
      <c r="R299" s="86"/>
      <c r="S299" s="85"/>
      <c r="T299" s="85"/>
      <c r="U299" s="85"/>
      <c r="V299" s="85"/>
      <c r="W299" s="85"/>
      <c r="X299" s="85"/>
      <c r="Y299" s="87"/>
      <c r="Z299" s="87"/>
      <c r="AA299" s="87"/>
      <c r="AB299" s="87"/>
      <c r="AC299" s="87"/>
      <c r="AD299" s="87"/>
    </row>
    <row r="300" ht="15.75" customHeight="1">
      <c r="G300" s="85"/>
      <c r="H300" s="85"/>
      <c r="I300" s="85"/>
      <c r="J300" s="85"/>
      <c r="K300" s="85"/>
      <c r="L300" s="85"/>
      <c r="M300" s="86"/>
      <c r="N300" s="86"/>
      <c r="O300" s="86"/>
      <c r="P300" s="86"/>
      <c r="Q300" s="86"/>
      <c r="R300" s="86"/>
      <c r="S300" s="85"/>
      <c r="T300" s="85"/>
      <c r="U300" s="85"/>
      <c r="V300" s="85"/>
      <c r="W300" s="85"/>
      <c r="X300" s="85"/>
      <c r="Y300" s="87"/>
      <c r="Z300" s="87"/>
      <c r="AA300" s="87"/>
      <c r="AB300" s="87"/>
      <c r="AC300" s="87"/>
      <c r="AD300" s="87"/>
    </row>
    <row r="301" ht="15.75" customHeight="1">
      <c r="G301" s="85"/>
      <c r="H301" s="85"/>
      <c r="I301" s="85"/>
      <c r="J301" s="85"/>
      <c r="K301" s="85"/>
      <c r="L301" s="85"/>
      <c r="M301" s="86"/>
      <c r="N301" s="86"/>
      <c r="O301" s="86"/>
      <c r="P301" s="86"/>
      <c r="Q301" s="86"/>
      <c r="R301" s="86"/>
      <c r="S301" s="85"/>
      <c r="T301" s="85"/>
      <c r="U301" s="85"/>
      <c r="V301" s="85"/>
      <c r="W301" s="85"/>
      <c r="X301" s="85"/>
      <c r="Y301" s="87"/>
      <c r="Z301" s="87"/>
      <c r="AA301" s="87"/>
      <c r="AB301" s="87"/>
      <c r="AC301" s="87"/>
      <c r="AD301" s="87"/>
    </row>
    <row r="302" ht="15.75" customHeight="1">
      <c r="G302" s="85"/>
      <c r="H302" s="85"/>
      <c r="I302" s="85"/>
      <c r="J302" s="85"/>
      <c r="K302" s="85"/>
      <c r="L302" s="85"/>
      <c r="M302" s="86"/>
      <c r="N302" s="86"/>
      <c r="O302" s="86"/>
      <c r="P302" s="86"/>
      <c r="Q302" s="86"/>
      <c r="R302" s="86"/>
      <c r="S302" s="85"/>
      <c r="T302" s="85"/>
      <c r="U302" s="85"/>
      <c r="V302" s="85"/>
      <c r="W302" s="85"/>
      <c r="X302" s="85"/>
      <c r="Y302" s="87"/>
      <c r="Z302" s="87"/>
      <c r="AA302" s="87"/>
      <c r="AB302" s="87"/>
      <c r="AC302" s="87"/>
      <c r="AD302" s="87"/>
    </row>
    <row r="303" ht="15.75" customHeight="1">
      <c r="G303" s="85"/>
      <c r="H303" s="85"/>
      <c r="I303" s="85"/>
      <c r="J303" s="85"/>
      <c r="K303" s="85"/>
      <c r="L303" s="85"/>
      <c r="M303" s="86"/>
      <c r="N303" s="86"/>
      <c r="O303" s="86"/>
      <c r="P303" s="86"/>
      <c r="Q303" s="86"/>
      <c r="R303" s="86"/>
      <c r="S303" s="85"/>
      <c r="T303" s="85"/>
      <c r="U303" s="85"/>
      <c r="V303" s="85"/>
      <c r="W303" s="85"/>
      <c r="X303" s="85"/>
      <c r="Y303" s="87"/>
      <c r="Z303" s="87"/>
      <c r="AA303" s="87"/>
      <c r="AB303" s="87"/>
      <c r="AC303" s="87"/>
      <c r="AD303" s="87"/>
    </row>
    <row r="304" ht="15.75" customHeight="1">
      <c r="G304" s="85"/>
      <c r="H304" s="85"/>
      <c r="I304" s="85"/>
      <c r="J304" s="85"/>
      <c r="K304" s="85"/>
      <c r="L304" s="85"/>
      <c r="M304" s="86"/>
      <c r="N304" s="86"/>
      <c r="O304" s="86"/>
      <c r="P304" s="86"/>
      <c r="Q304" s="86"/>
      <c r="R304" s="86"/>
      <c r="S304" s="85"/>
      <c r="T304" s="85"/>
      <c r="U304" s="85"/>
      <c r="V304" s="85"/>
      <c r="W304" s="85"/>
      <c r="X304" s="85"/>
      <c r="Y304" s="87"/>
      <c r="Z304" s="87"/>
      <c r="AA304" s="87"/>
      <c r="AB304" s="87"/>
      <c r="AC304" s="87"/>
      <c r="AD304" s="87"/>
    </row>
    <row r="305" ht="15.75" customHeight="1">
      <c r="G305" s="85"/>
      <c r="H305" s="85"/>
      <c r="I305" s="85"/>
      <c r="J305" s="85"/>
      <c r="K305" s="85"/>
      <c r="L305" s="85"/>
      <c r="M305" s="86"/>
      <c r="N305" s="86"/>
      <c r="O305" s="86"/>
      <c r="P305" s="86"/>
      <c r="Q305" s="86"/>
      <c r="R305" s="86"/>
      <c r="S305" s="85"/>
      <c r="T305" s="85"/>
      <c r="U305" s="85"/>
      <c r="V305" s="85"/>
      <c r="W305" s="85"/>
      <c r="X305" s="85"/>
      <c r="Y305" s="87"/>
      <c r="Z305" s="87"/>
      <c r="AA305" s="87"/>
      <c r="AB305" s="87"/>
      <c r="AC305" s="87"/>
      <c r="AD305" s="87"/>
    </row>
    <row r="306" ht="15.75" customHeight="1">
      <c r="G306" s="85"/>
      <c r="H306" s="85"/>
      <c r="I306" s="85"/>
      <c r="J306" s="85"/>
      <c r="K306" s="85"/>
      <c r="L306" s="85"/>
      <c r="M306" s="86"/>
      <c r="N306" s="86"/>
      <c r="O306" s="86"/>
      <c r="P306" s="86"/>
      <c r="Q306" s="86"/>
      <c r="R306" s="86"/>
      <c r="S306" s="85"/>
      <c r="T306" s="85"/>
      <c r="U306" s="85"/>
      <c r="V306" s="85"/>
      <c r="W306" s="85"/>
      <c r="X306" s="85"/>
      <c r="Y306" s="87"/>
      <c r="Z306" s="87"/>
      <c r="AA306" s="87"/>
      <c r="AB306" s="87"/>
      <c r="AC306" s="87"/>
      <c r="AD306" s="87"/>
    </row>
    <row r="307" ht="15.75" customHeight="1">
      <c r="G307" s="85"/>
      <c r="H307" s="85"/>
      <c r="I307" s="85"/>
      <c r="J307" s="85"/>
      <c r="K307" s="85"/>
      <c r="L307" s="85"/>
      <c r="M307" s="86"/>
      <c r="N307" s="86"/>
      <c r="O307" s="86"/>
      <c r="P307" s="86"/>
      <c r="Q307" s="86"/>
      <c r="R307" s="86"/>
      <c r="S307" s="85"/>
      <c r="T307" s="85"/>
      <c r="U307" s="85"/>
      <c r="V307" s="85"/>
      <c r="W307" s="85"/>
      <c r="X307" s="85"/>
      <c r="Y307" s="87"/>
      <c r="Z307" s="87"/>
      <c r="AA307" s="87"/>
      <c r="AB307" s="87"/>
      <c r="AC307" s="87"/>
      <c r="AD307" s="87"/>
    </row>
    <row r="308" ht="15.75" customHeight="1">
      <c r="G308" s="85"/>
      <c r="H308" s="85"/>
      <c r="I308" s="85"/>
      <c r="J308" s="85"/>
      <c r="K308" s="85"/>
      <c r="L308" s="85"/>
      <c r="M308" s="86"/>
      <c r="N308" s="86"/>
      <c r="O308" s="86"/>
      <c r="P308" s="86"/>
      <c r="Q308" s="86"/>
      <c r="R308" s="86"/>
      <c r="S308" s="85"/>
      <c r="T308" s="85"/>
      <c r="U308" s="85"/>
      <c r="V308" s="85"/>
      <c r="W308" s="85"/>
      <c r="X308" s="85"/>
      <c r="Y308" s="87"/>
      <c r="Z308" s="87"/>
      <c r="AA308" s="87"/>
      <c r="AB308" s="87"/>
      <c r="AC308" s="87"/>
      <c r="AD308" s="87"/>
    </row>
    <row r="309" ht="15.75" customHeight="1">
      <c r="G309" s="85"/>
      <c r="H309" s="85"/>
      <c r="I309" s="85"/>
      <c r="J309" s="85"/>
      <c r="K309" s="85"/>
      <c r="L309" s="85"/>
      <c r="M309" s="86"/>
      <c r="N309" s="86"/>
      <c r="O309" s="86"/>
      <c r="P309" s="86"/>
      <c r="Q309" s="86"/>
      <c r="R309" s="86"/>
      <c r="S309" s="85"/>
      <c r="T309" s="85"/>
      <c r="U309" s="85"/>
      <c r="V309" s="85"/>
      <c r="W309" s="85"/>
      <c r="X309" s="85"/>
      <c r="Y309" s="87"/>
      <c r="Z309" s="87"/>
      <c r="AA309" s="87"/>
      <c r="AB309" s="87"/>
      <c r="AC309" s="87"/>
      <c r="AD309" s="87"/>
    </row>
    <row r="310" ht="15.75" customHeight="1">
      <c r="G310" s="85"/>
      <c r="H310" s="85"/>
      <c r="I310" s="85"/>
      <c r="J310" s="85"/>
      <c r="K310" s="85"/>
      <c r="L310" s="85"/>
      <c r="M310" s="86"/>
      <c r="N310" s="86"/>
      <c r="O310" s="86"/>
      <c r="P310" s="86"/>
      <c r="Q310" s="86"/>
      <c r="R310" s="86"/>
      <c r="S310" s="85"/>
      <c r="T310" s="85"/>
      <c r="U310" s="85"/>
      <c r="V310" s="85"/>
      <c r="W310" s="85"/>
      <c r="X310" s="85"/>
      <c r="Y310" s="87"/>
      <c r="Z310" s="87"/>
      <c r="AA310" s="87"/>
      <c r="AB310" s="87"/>
      <c r="AC310" s="87"/>
      <c r="AD310" s="87"/>
    </row>
    <row r="311" ht="15.75" customHeight="1">
      <c r="G311" s="85"/>
      <c r="H311" s="85"/>
      <c r="I311" s="85"/>
      <c r="J311" s="85"/>
      <c r="K311" s="85"/>
      <c r="L311" s="85"/>
      <c r="M311" s="86"/>
      <c r="N311" s="86"/>
      <c r="O311" s="86"/>
      <c r="P311" s="86"/>
      <c r="Q311" s="86"/>
      <c r="R311" s="86"/>
      <c r="S311" s="85"/>
      <c r="T311" s="85"/>
      <c r="U311" s="85"/>
      <c r="V311" s="85"/>
      <c r="W311" s="85"/>
      <c r="X311" s="85"/>
      <c r="Y311" s="87"/>
      <c r="Z311" s="87"/>
      <c r="AA311" s="87"/>
      <c r="AB311" s="87"/>
      <c r="AC311" s="87"/>
      <c r="AD311" s="87"/>
    </row>
    <row r="312" ht="15.75" customHeight="1">
      <c r="G312" s="85"/>
      <c r="H312" s="85"/>
      <c r="I312" s="85"/>
      <c r="J312" s="85"/>
      <c r="K312" s="85"/>
      <c r="L312" s="85"/>
      <c r="M312" s="86"/>
      <c r="N312" s="86"/>
      <c r="O312" s="86"/>
      <c r="P312" s="86"/>
      <c r="Q312" s="86"/>
      <c r="R312" s="86"/>
      <c r="S312" s="85"/>
      <c r="T312" s="85"/>
      <c r="U312" s="85"/>
      <c r="V312" s="85"/>
      <c r="W312" s="85"/>
      <c r="X312" s="85"/>
      <c r="Y312" s="87"/>
      <c r="Z312" s="87"/>
      <c r="AA312" s="87"/>
      <c r="AB312" s="87"/>
      <c r="AC312" s="87"/>
      <c r="AD312" s="87"/>
    </row>
    <row r="313" ht="15.75" customHeight="1">
      <c r="G313" s="85"/>
      <c r="H313" s="85"/>
      <c r="I313" s="85"/>
      <c r="J313" s="85"/>
      <c r="K313" s="85"/>
      <c r="L313" s="85"/>
      <c r="M313" s="86"/>
      <c r="N313" s="86"/>
      <c r="O313" s="86"/>
      <c r="P313" s="86"/>
      <c r="Q313" s="86"/>
      <c r="R313" s="86"/>
      <c r="S313" s="85"/>
      <c r="T313" s="85"/>
      <c r="U313" s="85"/>
      <c r="V313" s="85"/>
      <c r="W313" s="85"/>
      <c r="X313" s="85"/>
      <c r="Y313" s="87"/>
      <c r="Z313" s="87"/>
      <c r="AA313" s="87"/>
      <c r="AB313" s="87"/>
      <c r="AC313" s="87"/>
      <c r="AD313" s="87"/>
    </row>
    <row r="314" ht="15.75" customHeight="1">
      <c r="G314" s="85"/>
      <c r="H314" s="85"/>
      <c r="I314" s="85"/>
      <c r="J314" s="85"/>
      <c r="K314" s="85"/>
      <c r="L314" s="85"/>
      <c r="M314" s="86"/>
      <c r="N314" s="86"/>
      <c r="O314" s="86"/>
      <c r="P314" s="86"/>
      <c r="Q314" s="86"/>
      <c r="R314" s="86"/>
      <c r="S314" s="85"/>
      <c r="T314" s="85"/>
      <c r="U314" s="85"/>
      <c r="V314" s="85"/>
      <c r="W314" s="85"/>
      <c r="X314" s="85"/>
      <c r="Y314" s="87"/>
      <c r="Z314" s="87"/>
      <c r="AA314" s="87"/>
      <c r="AB314" s="87"/>
      <c r="AC314" s="87"/>
      <c r="AD314" s="87"/>
    </row>
    <row r="315" ht="15.75" customHeight="1">
      <c r="G315" s="85"/>
      <c r="H315" s="85"/>
      <c r="I315" s="85"/>
      <c r="J315" s="85"/>
      <c r="K315" s="85"/>
      <c r="L315" s="85"/>
      <c r="M315" s="86"/>
      <c r="N315" s="86"/>
      <c r="O315" s="86"/>
      <c r="P315" s="86"/>
      <c r="Q315" s="86"/>
      <c r="R315" s="86"/>
      <c r="S315" s="85"/>
      <c r="T315" s="85"/>
      <c r="U315" s="85"/>
      <c r="V315" s="85"/>
      <c r="W315" s="85"/>
      <c r="X315" s="85"/>
      <c r="Y315" s="87"/>
      <c r="Z315" s="87"/>
      <c r="AA315" s="87"/>
      <c r="AB315" s="87"/>
      <c r="AC315" s="87"/>
      <c r="AD315" s="87"/>
    </row>
    <row r="316" ht="15.75" customHeight="1">
      <c r="G316" s="85"/>
      <c r="H316" s="85"/>
      <c r="I316" s="85"/>
      <c r="J316" s="85"/>
      <c r="K316" s="85"/>
      <c r="L316" s="85"/>
      <c r="M316" s="86"/>
      <c r="N316" s="86"/>
      <c r="O316" s="86"/>
      <c r="P316" s="86"/>
      <c r="Q316" s="86"/>
      <c r="R316" s="86"/>
      <c r="S316" s="85"/>
      <c r="T316" s="85"/>
      <c r="U316" s="85"/>
      <c r="V316" s="85"/>
      <c r="W316" s="85"/>
      <c r="X316" s="85"/>
      <c r="Y316" s="87"/>
      <c r="Z316" s="87"/>
      <c r="AA316" s="87"/>
      <c r="AB316" s="87"/>
      <c r="AC316" s="87"/>
      <c r="AD316" s="87"/>
    </row>
    <row r="317" ht="15.75" customHeight="1">
      <c r="G317" s="85"/>
      <c r="H317" s="85"/>
      <c r="I317" s="85"/>
      <c r="J317" s="85"/>
      <c r="K317" s="85"/>
      <c r="L317" s="85"/>
      <c r="M317" s="86"/>
      <c r="N317" s="86"/>
      <c r="O317" s="86"/>
      <c r="P317" s="86"/>
      <c r="Q317" s="86"/>
      <c r="R317" s="86"/>
      <c r="S317" s="85"/>
      <c r="T317" s="85"/>
      <c r="U317" s="85"/>
      <c r="V317" s="85"/>
      <c r="W317" s="85"/>
      <c r="X317" s="85"/>
      <c r="Y317" s="87"/>
      <c r="Z317" s="87"/>
      <c r="AA317" s="87"/>
      <c r="AB317" s="87"/>
      <c r="AC317" s="87"/>
      <c r="AD317" s="87"/>
    </row>
    <row r="318" ht="15.75" customHeight="1">
      <c r="G318" s="85"/>
      <c r="H318" s="85"/>
      <c r="I318" s="85"/>
      <c r="J318" s="85"/>
      <c r="K318" s="85"/>
      <c r="L318" s="85"/>
      <c r="M318" s="86"/>
      <c r="N318" s="86"/>
      <c r="O318" s="86"/>
      <c r="P318" s="86"/>
      <c r="Q318" s="86"/>
      <c r="R318" s="86"/>
      <c r="S318" s="85"/>
      <c r="T318" s="85"/>
      <c r="U318" s="85"/>
      <c r="V318" s="85"/>
      <c r="W318" s="85"/>
      <c r="X318" s="85"/>
      <c r="Y318" s="87"/>
      <c r="Z318" s="87"/>
      <c r="AA318" s="87"/>
      <c r="AB318" s="87"/>
      <c r="AC318" s="87"/>
      <c r="AD318" s="87"/>
    </row>
    <row r="319" ht="15.75" customHeight="1">
      <c r="G319" s="85"/>
      <c r="H319" s="85"/>
      <c r="I319" s="85"/>
      <c r="J319" s="85"/>
      <c r="K319" s="85"/>
      <c r="L319" s="85"/>
      <c r="M319" s="86"/>
      <c r="N319" s="86"/>
      <c r="O319" s="86"/>
      <c r="P319" s="86"/>
      <c r="Q319" s="86"/>
      <c r="R319" s="86"/>
      <c r="S319" s="85"/>
      <c r="T319" s="85"/>
      <c r="U319" s="85"/>
      <c r="V319" s="85"/>
      <c r="W319" s="85"/>
      <c r="X319" s="85"/>
      <c r="Y319" s="87"/>
      <c r="Z319" s="87"/>
      <c r="AA319" s="87"/>
      <c r="AB319" s="87"/>
      <c r="AC319" s="87"/>
      <c r="AD319" s="87"/>
    </row>
    <row r="320" ht="15.75" customHeight="1">
      <c r="G320" s="85"/>
      <c r="H320" s="85"/>
      <c r="I320" s="85"/>
      <c r="J320" s="85"/>
      <c r="K320" s="85"/>
      <c r="L320" s="85"/>
      <c r="M320" s="86"/>
      <c r="N320" s="86"/>
      <c r="O320" s="86"/>
      <c r="P320" s="86"/>
      <c r="Q320" s="86"/>
      <c r="R320" s="86"/>
      <c r="S320" s="85"/>
      <c r="T320" s="85"/>
      <c r="U320" s="85"/>
      <c r="V320" s="85"/>
      <c r="W320" s="85"/>
      <c r="X320" s="85"/>
      <c r="Y320" s="87"/>
      <c r="Z320" s="87"/>
      <c r="AA320" s="87"/>
      <c r="AB320" s="87"/>
      <c r="AC320" s="87"/>
      <c r="AD320" s="87"/>
    </row>
    <row r="321" ht="15.75" customHeight="1">
      <c r="G321" s="85"/>
      <c r="H321" s="85"/>
      <c r="I321" s="85"/>
      <c r="J321" s="85"/>
      <c r="K321" s="85"/>
      <c r="L321" s="85"/>
      <c r="M321" s="86"/>
      <c r="N321" s="86"/>
      <c r="O321" s="86"/>
      <c r="P321" s="86"/>
      <c r="Q321" s="86"/>
      <c r="R321" s="86"/>
      <c r="S321" s="85"/>
      <c r="T321" s="85"/>
      <c r="U321" s="85"/>
      <c r="V321" s="85"/>
      <c r="W321" s="85"/>
      <c r="X321" s="85"/>
      <c r="Y321" s="87"/>
      <c r="Z321" s="87"/>
      <c r="AA321" s="87"/>
      <c r="AB321" s="87"/>
      <c r="AC321" s="87"/>
      <c r="AD321" s="87"/>
    </row>
    <row r="322" ht="15.75" customHeight="1">
      <c r="G322" s="85"/>
      <c r="H322" s="85"/>
      <c r="I322" s="85"/>
      <c r="J322" s="85"/>
      <c r="K322" s="85"/>
      <c r="L322" s="85"/>
      <c r="M322" s="86"/>
      <c r="N322" s="86"/>
      <c r="O322" s="86"/>
      <c r="P322" s="86"/>
      <c r="Q322" s="86"/>
      <c r="R322" s="86"/>
      <c r="S322" s="85"/>
      <c r="T322" s="85"/>
      <c r="U322" s="85"/>
      <c r="V322" s="85"/>
      <c r="W322" s="85"/>
      <c r="X322" s="85"/>
      <c r="Y322" s="87"/>
      <c r="Z322" s="87"/>
      <c r="AA322" s="87"/>
      <c r="AB322" s="87"/>
      <c r="AC322" s="87"/>
      <c r="AD322" s="87"/>
    </row>
    <row r="323" ht="15.75" customHeight="1">
      <c r="G323" s="85"/>
      <c r="H323" s="85"/>
      <c r="I323" s="85"/>
      <c r="J323" s="85"/>
      <c r="K323" s="85"/>
      <c r="L323" s="85"/>
      <c r="M323" s="86"/>
      <c r="N323" s="86"/>
      <c r="O323" s="86"/>
      <c r="P323" s="86"/>
      <c r="Q323" s="86"/>
      <c r="R323" s="86"/>
      <c r="S323" s="85"/>
      <c r="T323" s="85"/>
      <c r="U323" s="85"/>
      <c r="V323" s="85"/>
      <c r="W323" s="85"/>
      <c r="X323" s="85"/>
      <c r="Y323" s="87"/>
      <c r="Z323" s="87"/>
      <c r="AA323" s="87"/>
      <c r="AB323" s="87"/>
      <c r="AC323" s="87"/>
      <c r="AD323" s="87"/>
    </row>
    <row r="324" ht="15.75" customHeight="1">
      <c r="G324" s="85"/>
      <c r="H324" s="85"/>
      <c r="I324" s="85"/>
      <c r="J324" s="85"/>
      <c r="K324" s="85"/>
      <c r="L324" s="85"/>
      <c r="M324" s="86"/>
      <c r="N324" s="86"/>
      <c r="O324" s="86"/>
      <c r="P324" s="86"/>
      <c r="Q324" s="86"/>
      <c r="R324" s="86"/>
      <c r="S324" s="85"/>
      <c r="T324" s="85"/>
      <c r="U324" s="85"/>
      <c r="V324" s="85"/>
      <c r="W324" s="85"/>
      <c r="X324" s="85"/>
      <c r="Y324" s="87"/>
      <c r="Z324" s="87"/>
      <c r="AA324" s="87"/>
      <c r="AB324" s="87"/>
      <c r="AC324" s="87"/>
      <c r="AD324" s="87"/>
    </row>
    <row r="325" ht="15.75" customHeight="1">
      <c r="G325" s="85"/>
      <c r="H325" s="85"/>
      <c r="I325" s="85"/>
      <c r="J325" s="85"/>
      <c r="K325" s="85"/>
      <c r="L325" s="85"/>
      <c r="M325" s="86"/>
      <c r="N325" s="86"/>
      <c r="O325" s="86"/>
      <c r="P325" s="86"/>
      <c r="Q325" s="86"/>
      <c r="R325" s="86"/>
      <c r="S325" s="85"/>
      <c r="T325" s="85"/>
      <c r="U325" s="85"/>
      <c r="V325" s="85"/>
      <c r="W325" s="85"/>
      <c r="X325" s="85"/>
      <c r="Y325" s="87"/>
      <c r="Z325" s="87"/>
      <c r="AA325" s="87"/>
      <c r="AB325" s="87"/>
      <c r="AC325" s="87"/>
      <c r="AD325" s="87"/>
    </row>
    <row r="326" ht="15.75" customHeight="1">
      <c r="G326" s="85"/>
      <c r="H326" s="85"/>
      <c r="I326" s="85"/>
      <c r="J326" s="85"/>
      <c r="K326" s="85"/>
      <c r="L326" s="85"/>
      <c r="M326" s="86"/>
      <c r="N326" s="86"/>
      <c r="O326" s="86"/>
      <c r="P326" s="86"/>
      <c r="Q326" s="86"/>
      <c r="R326" s="86"/>
      <c r="S326" s="85"/>
      <c r="T326" s="85"/>
      <c r="U326" s="85"/>
      <c r="V326" s="85"/>
      <c r="W326" s="85"/>
      <c r="X326" s="85"/>
      <c r="Y326" s="87"/>
      <c r="Z326" s="87"/>
      <c r="AA326" s="87"/>
      <c r="AB326" s="87"/>
      <c r="AC326" s="87"/>
      <c r="AD326" s="87"/>
    </row>
    <row r="327" ht="15.75" customHeight="1">
      <c r="G327" s="85"/>
      <c r="H327" s="85"/>
      <c r="I327" s="85"/>
      <c r="J327" s="85"/>
      <c r="K327" s="85"/>
      <c r="L327" s="85"/>
      <c r="M327" s="86"/>
      <c r="N327" s="86"/>
      <c r="O327" s="86"/>
      <c r="P327" s="86"/>
      <c r="Q327" s="86"/>
      <c r="R327" s="86"/>
      <c r="S327" s="85"/>
      <c r="T327" s="85"/>
      <c r="U327" s="85"/>
      <c r="V327" s="85"/>
      <c r="W327" s="85"/>
      <c r="X327" s="85"/>
      <c r="Y327" s="87"/>
      <c r="Z327" s="87"/>
      <c r="AA327" s="87"/>
      <c r="AB327" s="87"/>
      <c r="AC327" s="87"/>
      <c r="AD327" s="87"/>
    </row>
    <row r="328" ht="15.75" customHeight="1">
      <c r="G328" s="85"/>
      <c r="H328" s="85"/>
      <c r="I328" s="85"/>
      <c r="J328" s="85"/>
      <c r="K328" s="85"/>
      <c r="L328" s="85"/>
      <c r="M328" s="86"/>
      <c r="N328" s="86"/>
      <c r="O328" s="86"/>
      <c r="P328" s="86"/>
      <c r="Q328" s="86"/>
      <c r="R328" s="86"/>
      <c r="S328" s="85"/>
      <c r="T328" s="85"/>
      <c r="U328" s="85"/>
      <c r="V328" s="85"/>
      <c r="W328" s="85"/>
      <c r="X328" s="85"/>
      <c r="Y328" s="87"/>
      <c r="Z328" s="87"/>
      <c r="AA328" s="87"/>
      <c r="AB328" s="87"/>
      <c r="AC328" s="87"/>
      <c r="AD328" s="87"/>
    </row>
    <row r="329" ht="15.75" customHeight="1">
      <c r="G329" s="85"/>
      <c r="H329" s="85"/>
      <c r="I329" s="85"/>
      <c r="J329" s="85"/>
      <c r="K329" s="85"/>
      <c r="L329" s="85"/>
      <c r="M329" s="86"/>
      <c r="N329" s="86"/>
      <c r="O329" s="86"/>
      <c r="P329" s="86"/>
      <c r="Q329" s="86"/>
      <c r="R329" s="86"/>
      <c r="S329" s="85"/>
      <c r="T329" s="85"/>
      <c r="U329" s="85"/>
      <c r="V329" s="85"/>
      <c r="W329" s="85"/>
      <c r="X329" s="85"/>
      <c r="Y329" s="87"/>
      <c r="Z329" s="87"/>
      <c r="AA329" s="87"/>
      <c r="AB329" s="87"/>
      <c r="AC329" s="87"/>
      <c r="AD329" s="87"/>
    </row>
    <row r="330" ht="15.75" customHeight="1">
      <c r="G330" s="85"/>
      <c r="H330" s="85"/>
      <c r="I330" s="85"/>
      <c r="J330" s="85"/>
      <c r="K330" s="85"/>
      <c r="L330" s="85"/>
      <c r="M330" s="86"/>
      <c r="N330" s="86"/>
      <c r="O330" s="86"/>
      <c r="P330" s="86"/>
      <c r="Q330" s="86"/>
      <c r="R330" s="86"/>
      <c r="S330" s="85"/>
      <c r="T330" s="85"/>
      <c r="U330" s="85"/>
      <c r="V330" s="85"/>
      <c r="W330" s="85"/>
      <c r="X330" s="85"/>
      <c r="Y330" s="87"/>
      <c r="Z330" s="87"/>
      <c r="AA330" s="87"/>
      <c r="AB330" s="87"/>
      <c r="AC330" s="87"/>
      <c r="AD330" s="87"/>
    </row>
    <row r="331" ht="15.75" customHeight="1">
      <c r="G331" s="85"/>
      <c r="H331" s="85"/>
      <c r="I331" s="85"/>
      <c r="J331" s="85"/>
      <c r="K331" s="85"/>
      <c r="L331" s="85"/>
      <c r="M331" s="86"/>
      <c r="N331" s="86"/>
      <c r="O331" s="86"/>
      <c r="P331" s="86"/>
      <c r="Q331" s="86"/>
      <c r="R331" s="86"/>
      <c r="S331" s="85"/>
      <c r="T331" s="85"/>
      <c r="U331" s="85"/>
      <c r="V331" s="85"/>
      <c r="W331" s="85"/>
      <c r="X331" s="85"/>
      <c r="Y331" s="87"/>
      <c r="Z331" s="87"/>
      <c r="AA331" s="87"/>
      <c r="AB331" s="87"/>
      <c r="AC331" s="87"/>
      <c r="AD331" s="87"/>
    </row>
    <row r="332" ht="15.75" customHeight="1">
      <c r="G332" s="85"/>
      <c r="H332" s="85"/>
      <c r="I332" s="85"/>
      <c r="J332" s="85"/>
      <c r="K332" s="85"/>
      <c r="L332" s="85"/>
      <c r="M332" s="86"/>
      <c r="N332" s="86"/>
      <c r="O332" s="86"/>
      <c r="P332" s="86"/>
      <c r="Q332" s="86"/>
      <c r="R332" s="86"/>
      <c r="S332" s="85"/>
      <c r="T332" s="85"/>
      <c r="U332" s="85"/>
      <c r="V332" s="85"/>
      <c r="W332" s="85"/>
      <c r="X332" s="85"/>
      <c r="Y332" s="87"/>
      <c r="Z332" s="87"/>
      <c r="AA332" s="87"/>
      <c r="AB332" s="87"/>
      <c r="AC332" s="87"/>
      <c r="AD332" s="87"/>
    </row>
    <row r="333" ht="15.75" customHeight="1">
      <c r="G333" s="85"/>
      <c r="H333" s="85"/>
      <c r="I333" s="85"/>
      <c r="J333" s="85"/>
      <c r="K333" s="85"/>
      <c r="L333" s="85"/>
      <c r="M333" s="86"/>
      <c r="N333" s="86"/>
      <c r="O333" s="86"/>
      <c r="P333" s="86"/>
      <c r="Q333" s="86"/>
      <c r="R333" s="86"/>
      <c r="S333" s="85"/>
      <c r="T333" s="85"/>
      <c r="U333" s="85"/>
      <c r="V333" s="85"/>
      <c r="W333" s="85"/>
      <c r="X333" s="85"/>
      <c r="Y333" s="87"/>
      <c r="Z333" s="87"/>
      <c r="AA333" s="87"/>
      <c r="AB333" s="87"/>
      <c r="AC333" s="87"/>
      <c r="AD333" s="87"/>
    </row>
    <row r="334" ht="15.75" customHeight="1">
      <c r="G334" s="85"/>
      <c r="H334" s="85"/>
      <c r="I334" s="85"/>
      <c r="J334" s="85"/>
      <c r="K334" s="85"/>
      <c r="L334" s="85"/>
      <c r="M334" s="86"/>
      <c r="N334" s="86"/>
      <c r="O334" s="86"/>
      <c r="P334" s="86"/>
      <c r="Q334" s="86"/>
      <c r="R334" s="86"/>
      <c r="S334" s="85"/>
      <c r="T334" s="85"/>
      <c r="U334" s="85"/>
      <c r="V334" s="85"/>
      <c r="W334" s="85"/>
      <c r="X334" s="85"/>
      <c r="Y334" s="87"/>
      <c r="Z334" s="87"/>
      <c r="AA334" s="87"/>
      <c r="AB334" s="87"/>
      <c r="AC334" s="87"/>
      <c r="AD334" s="87"/>
    </row>
    <row r="335" ht="15.75" customHeight="1">
      <c r="G335" s="85"/>
      <c r="H335" s="85"/>
      <c r="I335" s="85"/>
      <c r="J335" s="85"/>
      <c r="K335" s="85"/>
      <c r="L335" s="85"/>
      <c r="M335" s="86"/>
      <c r="N335" s="86"/>
      <c r="O335" s="86"/>
      <c r="P335" s="86"/>
      <c r="Q335" s="86"/>
      <c r="R335" s="86"/>
      <c r="S335" s="85"/>
      <c r="T335" s="85"/>
      <c r="U335" s="85"/>
      <c r="V335" s="85"/>
      <c r="W335" s="85"/>
      <c r="X335" s="85"/>
      <c r="Y335" s="87"/>
      <c r="Z335" s="87"/>
      <c r="AA335" s="87"/>
      <c r="AB335" s="87"/>
      <c r="AC335" s="87"/>
      <c r="AD335" s="87"/>
    </row>
    <row r="336" ht="15.75" customHeight="1">
      <c r="G336" s="85"/>
      <c r="H336" s="85"/>
      <c r="I336" s="85"/>
      <c r="J336" s="85"/>
      <c r="K336" s="85"/>
      <c r="L336" s="85"/>
      <c r="M336" s="86"/>
      <c r="N336" s="86"/>
      <c r="O336" s="86"/>
      <c r="P336" s="86"/>
      <c r="Q336" s="86"/>
      <c r="R336" s="86"/>
      <c r="S336" s="85"/>
      <c r="T336" s="85"/>
      <c r="U336" s="85"/>
      <c r="V336" s="85"/>
      <c r="W336" s="85"/>
      <c r="X336" s="85"/>
      <c r="Y336" s="87"/>
      <c r="Z336" s="87"/>
      <c r="AA336" s="87"/>
      <c r="AB336" s="87"/>
      <c r="AC336" s="87"/>
      <c r="AD336" s="87"/>
    </row>
    <row r="337" ht="15.75" customHeight="1">
      <c r="G337" s="85"/>
      <c r="H337" s="85"/>
      <c r="I337" s="85"/>
      <c r="J337" s="85"/>
      <c r="K337" s="85"/>
      <c r="L337" s="85"/>
      <c r="M337" s="86"/>
      <c r="N337" s="86"/>
      <c r="O337" s="86"/>
      <c r="P337" s="86"/>
      <c r="Q337" s="86"/>
      <c r="R337" s="86"/>
      <c r="S337" s="85"/>
      <c r="T337" s="85"/>
      <c r="U337" s="85"/>
      <c r="V337" s="85"/>
      <c r="W337" s="85"/>
      <c r="X337" s="85"/>
      <c r="Y337" s="87"/>
      <c r="Z337" s="87"/>
      <c r="AA337" s="87"/>
      <c r="AB337" s="87"/>
      <c r="AC337" s="87"/>
      <c r="AD337" s="87"/>
    </row>
    <row r="338" ht="15.75" customHeight="1">
      <c r="G338" s="85"/>
      <c r="H338" s="85"/>
      <c r="I338" s="85"/>
      <c r="J338" s="85"/>
      <c r="K338" s="85"/>
      <c r="L338" s="85"/>
      <c r="M338" s="86"/>
      <c r="N338" s="86"/>
      <c r="O338" s="86"/>
      <c r="P338" s="86"/>
      <c r="Q338" s="86"/>
      <c r="R338" s="86"/>
      <c r="S338" s="85"/>
      <c r="T338" s="85"/>
      <c r="U338" s="85"/>
      <c r="V338" s="85"/>
      <c r="W338" s="85"/>
      <c r="X338" s="85"/>
      <c r="Y338" s="87"/>
      <c r="Z338" s="87"/>
      <c r="AA338" s="87"/>
      <c r="AB338" s="87"/>
      <c r="AC338" s="87"/>
      <c r="AD338" s="87"/>
    </row>
    <row r="339" ht="15.75" customHeight="1">
      <c r="G339" s="85"/>
      <c r="H339" s="85"/>
      <c r="I339" s="85"/>
      <c r="J339" s="85"/>
      <c r="K339" s="85"/>
      <c r="L339" s="85"/>
      <c r="M339" s="86"/>
      <c r="N339" s="86"/>
      <c r="O339" s="86"/>
      <c r="P339" s="86"/>
      <c r="Q339" s="86"/>
      <c r="R339" s="86"/>
      <c r="S339" s="85"/>
      <c r="T339" s="85"/>
      <c r="U339" s="85"/>
      <c r="V339" s="85"/>
      <c r="W339" s="85"/>
      <c r="X339" s="85"/>
      <c r="Y339" s="87"/>
      <c r="Z339" s="87"/>
      <c r="AA339" s="87"/>
      <c r="AB339" s="87"/>
      <c r="AC339" s="87"/>
      <c r="AD339" s="87"/>
    </row>
    <row r="340" ht="15.75" customHeight="1">
      <c r="G340" s="85"/>
      <c r="H340" s="85"/>
      <c r="I340" s="85"/>
      <c r="J340" s="85"/>
      <c r="K340" s="85"/>
      <c r="L340" s="85"/>
      <c r="M340" s="86"/>
      <c r="N340" s="86"/>
      <c r="O340" s="86"/>
      <c r="P340" s="86"/>
      <c r="Q340" s="86"/>
      <c r="R340" s="86"/>
      <c r="S340" s="85"/>
      <c r="T340" s="85"/>
      <c r="U340" s="85"/>
      <c r="V340" s="85"/>
      <c r="W340" s="85"/>
      <c r="X340" s="85"/>
      <c r="Y340" s="87"/>
      <c r="Z340" s="87"/>
      <c r="AA340" s="87"/>
      <c r="AB340" s="87"/>
      <c r="AC340" s="87"/>
      <c r="AD340" s="87"/>
    </row>
    <row r="341" ht="15.75" customHeight="1">
      <c r="G341" s="85"/>
      <c r="H341" s="85"/>
      <c r="I341" s="85"/>
      <c r="J341" s="85"/>
      <c r="K341" s="85"/>
      <c r="L341" s="85"/>
      <c r="M341" s="86"/>
      <c r="N341" s="86"/>
      <c r="O341" s="86"/>
      <c r="P341" s="86"/>
      <c r="Q341" s="86"/>
      <c r="R341" s="86"/>
      <c r="S341" s="85"/>
      <c r="T341" s="85"/>
      <c r="U341" s="85"/>
      <c r="V341" s="85"/>
      <c r="W341" s="85"/>
      <c r="X341" s="85"/>
      <c r="Y341" s="87"/>
      <c r="Z341" s="87"/>
      <c r="AA341" s="87"/>
      <c r="AB341" s="87"/>
      <c r="AC341" s="87"/>
      <c r="AD341" s="87"/>
    </row>
    <row r="342" ht="15.75" customHeight="1">
      <c r="G342" s="85"/>
      <c r="H342" s="85"/>
      <c r="I342" s="85"/>
      <c r="J342" s="85"/>
      <c r="K342" s="85"/>
      <c r="L342" s="85"/>
      <c r="M342" s="86"/>
      <c r="N342" s="86"/>
      <c r="O342" s="86"/>
      <c r="P342" s="86"/>
      <c r="Q342" s="86"/>
      <c r="R342" s="86"/>
      <c r="S342" s="85"/>
      <c r="T342" s="85"/>
      <c r="U342" s="85"/>
      <c r="V342" s="85"/>
      <c r="W342" s="85"/>
      <c r="X342" s="85"/>
      <c r="Y342" s="87"/>
      <c r="Z342" s="87"/>
      <c r="AA342" s="87"/>
      <c r="AB342" s="87"/>
      <c r="AC342" s="87"/>
      <c r="AD342" s="87"/>
    </row>
    <row r="343" ht="15.75" customHeight="1">
      <c r="G343" s="85"/>
      <c r="H343" s="85"/>
      <c r="I343" s="85"/>
      <c r="J343" s="85"/>
      <c r="K343" s="85"/>
      <c r="L343" s="85"/>
      <c r="M343" s="86"/>
      <c r="N343" s="86"/>
      <c r="O343" s="86"/>
      <c r="P343" s="86"/>
      <c r="Q343" s="86"/>
      <c r="R343" s="86"/>
      <c r="S343" s="85"/>
      <c r="T343" s="85"/>
      <c r="U343" s="85"/>
      <c r="V343" s="85"/>
      <c r="W343" s="85"/>
      <c r="X343" s="85"/>
      <c r="Y343" s="87"/>
      <c r="Z343" s="87"/>
      <c r="AA343" s="87"/>
      <c r="AB343" s="87"/>
      <c r="AC343" s="87"/>
      <c r="AD343" s="87"/>
    </row>
    <row r="344" ht="15.75" customHeight="1">
      <c r="G344" s="85"/>
      <c r="H344" s="85"/>
      <c r="I344" s="85"/>
      <c r="J344" s="85"/>
      <c r="K344" s="85"/>
      <c r="L344" s="85"/>
      <c r="M344" s="86"/>
      <c r="N344" s="86"/>
      <c r="O344" s="86"/>
      <c r="P344" s="86"/>
      <c r="Q344" s="86"/>
      <c r="R344" s="86"/>
      <c r="S344" s="85"/>
      <c r="T344" s="85"/>
      <c r="U344" s="85"/>
      <c r="V344" s="85"/>
      <c r="W344" s="85"/>
      <c r="X344" s="85"/>
      <c r="Y344" s="87"/>
      <c r="Z344" s="87"/>
      <c r="AA344" s="87"/>
      <c r="AB344" s="87"/>
      <c r="AC344" s="87"/>
      <c r="AD344" s="87"/>
    </row>
    <row r="345" ht="15.75" customHeight="1">
      <c r="G345" s="85"/>
      <c r="H345" s="85"/>
      <c r="I345" s="85"/>
      <c r="J345" s="85"/>
      <c r="K345" s="85"/>
      <c r="L345" s="85"/>
      <c r="M345" s="86"/>
      <c r="N345" s="86"/>
      <c r="O345" s="86"/>
      <c r="P345" s="86"/>
      <c r="Q345" s="86"/>
      <c r="R345" s="86"/>
      <c r="S345" s="85"/>
      <c r="T345" s="85"/>
      <c r="U345" s="85"/>
      <c r="V345" s="85"/>
      <c r="W345" s="85"/>
      <c r="X345" s="85"/>
      <c r="Y345" s="87"/>
      <c r="Z345" s="87"/>
      <c r="AA345" s="87"/>
      <c r="AB345" s="87"/>
      <c r="AC345" s="87"/>
      <c r="AD345" s="87"/>
    </row>
    <row r="346" ht="15.75" customHeight="1">
      <c r="G346" s="85"/>
      <c r="H346" s="85"/>
      <c r="I346" s="85"/>
      <c r="J346" s="85"/>
      <c r="K346" s="85"/>
      <c r="L346" s="85"/>
      <c r="M346" s="86"/>
      <c r="N346" s="86"/>
      <c r="O346" s="86"/>
      <c r="P346" s="86"/>
      <c r="Q346" s="86"/>
      <c r="R346" s="86"/>
      <c r="S346" s="85"/>
      <c r="T346" s="85"/>
      <c r="U346" s="85"/>
      <c r="V346" s="85"/>
      <c r="W346" s="85"/>
      <c r="X346" s="85"/>
      <c r="Y346" s="87"/>
      <c r="Z346" s="87"/>
      <c r="AA346" s="87"/>
      <c r="AB346" s="87"/>
      <c r="AC346" s="87"/>
      <c r="AD346" s="87"/>
    </row>
    <row r="347" ht="15.75" customHeight="1">
      <c r="G347" s="85"/>
      <c r="H347" s="85"/>
      <c r="I347" s="85"/>
      <c r="J347" s="85"/>
      <c r="K347" s="85"/>
      <c r="L347" s="85"/>
      <c r="M347" s="86"/>
      <c r="N347" s="86"/>
      <c r="O347" s="86"/>
      <c r="P347" s="86"/>
      <c r="Q347" s="86"/>
      <c r="R347" s="86"/>
      <c r="S347" s="85"/>
      <c r="T347" s="85"/>
      <c r="U347" s="85"/>
      <c r="V347" s="85"/>
      <c r="W347" s="85"/>
      <c r="X347" s="85"/>
      <c r="Y347" s="87"/>
      <c r="Z347" s="87"/>
      <c r="AA347" s="87"/>
      <c r="AB347" s="87"/>
      <c r="AC347" s="87"/>
      <c r="AD347" s="87"/>
    </row>
    <row r="348" ht="15.75" customHeight="1">
      <c r="G348" s="85"/>
      <c r="H348" s="85"/>
      <c r="I348" s="85"/>
      <c r="J348" s="85"/>
      <c r="K348" s="85"/>
      <c r="L348" s="85"/>
      <c r="M348" s="86"/>
      <c r="N348" s="86"/>
      <c r="O348" s="86"/>
      <c r="P348" s="86"/>
      <c r="Q348" s="86"/>
      <c r="R348" s="86"/>
      <c r="S348" s="85"/>
      <c r="T348" s="85"/>
      <c r="U348" s="85"/>
      <c r="V348" s="85"/>
      <c r="W348" s="85"/>
      <c r="X348" s="85"/>
      <c r="Y348" s="87"/>
      <c r="Z348" s="87"/>
      <c r="AA348" s="87"/>
      <c r="AB348" s="87"/>
      <c r="AC348" s="87"/>
      <c r="AD348" s="87"/>
    </row>
    <row r="349" ht="15.75" customHeight="1">
      <c r="G349" s="85"/>
      <c r="H349" s="85"/>
      <c r="I349" s="85"/>
      <c r="J349" s="85"/>
      <c r="K349" s="85"/>
      <c r="L349" s="85"/>
      <c r="M349" s="86"/>
      <c r="N349" s="86"/>
      <c r="O349" s="86"/>
      <c r="P349" s="86"/>
      <c r="Q349" s="86"/>
      <c r="R349" s="86"/>
      <c r="S349" s="85"/>
      <c r="T349" s="85"/>
      <c r="U349" s="85"/>
      <c r="V349" s="85"/>
      <c r="W349" s="85"/>
      <c r="X349" s="85"/>
      <c r="Y349" s="87"/>
      <c r="Z349" s="87"/>
      <c r="AA349" s="87"/>
      <c r="AB349" s="87"/>
      <c r="AC349" s="87"/>
      <c r="AD349" s="87"/>
    </row>
    <row r="350" ht="15.75" customHeight="1">
      <c r="G350" s="85"/>
      <c r="H350" s="85"/>
      <c r="I350" s="85"/>
      <c r="J350" s="85"/>
      <c r="K350" s="85"/>
      <c r="L350" s="85"/>
      <c r="M350" s="86"/>
      <c r="N350" s="86"/>
      <c r="O350" s="86"/>
      <c r="P350" s="86"/>
      <c r="Q350" s="86"/>
      <c r="R350" s="86"/>
      <c r="S350" s="85"/>
      <c r="T350" s="85"/>
      <c r="U350" s="85"/>
      <c r="V350" s="85"/>
      <c r="W350" s="85"/>
      <c r="X350" s="85"/>
      <c r="Y350" s="87"/>
      <c r="Z350" s="87"/>
      <c r="AA350" s="87"/>
      <c r="AB350" s="87"/>
      <c r="AC350" s="87"/>
      <c r="AD350" s="87"/>
    </row>
    <row r="351" ht="15.75" customHeight="1">
      <c r="G351" s="85"/>
      <c r="H351" s="85"/>
      <c r="I351" s="85"/>
      <c r="J351" s="85"/>
      <c r="K351" s="85"/>
      <c r="L351" s="85"/>
      <c r="M351" s="86"/>
      <c r="N351" s="86"/>
      <c r="O351" s="86"/>
      <c r="P351" s="86"/>
      <c r="Q351" s="86"/>
      <c r="R351" s="86"/>
      <c r="S351" s="85"/>
      <c r="T351" s="85"/>
      <c r="U351" s="85"/>
      <c r="V351" s="85"/>
      <c r="W351" s="85"/>
      <c r="X351" s="85"/>
      <c r="Y351" s="87"/>
      <c r="Z351" s="87"/>
      <c r="AA351" s="87"/>
      <c r="AB351" s="87"/>
      <c r="AC351" s="87"/>
      <c r="AD351" s="87"/>
    </row>
    <row r="352" ht="15.75" customHeight="1">
      <c r="G352" s="85"/>
      <c r="H352" s="85"/>
      <c r="I352" s="85"/>
      <c r="J352" s="85"/>
      <c r="K352" s="85"/>
      <c r="L352" s="85"/>
      <c r="M352" s="86"/>
      <c r="N352" s="86"/>
      <c r="O352" s="86"/>
      <c r="P352" s="86"/>
      <c r="Q352" s="86"/>
      <c r="R352" s="86"/>
      <c r="S352" s="85"/>
      <c r="T352" s="85"/>
      <c r="U352" s="85"/>
      <c r="V352" s="85"/>
      <c r="W352" s="85"/>
      <c r="X352" s="85"/>
      <c r="Y352" s="87"/>
      <c r="Z352" s="87"/>
      <c r="AA352" s="87"/>
      <c r="AB352" s="87"/>
      <c r="AC352" s="87"/>
      <c r="AD352" s="87"/>
    </row>
    <row r="353" ht="15.75" customHeight="1">
      <c r="G353" s="85"/>
      <c r="H353" s="85"/>
      <c r="I353" s="85"/>
      <c r="J353" s="85"/>
      <c r="K353" s="85"/>
      <c r="L353" s="85"/>
      <c r="M353" s="86"/>
      <c r="N353" s="86"/>
      <c r="O353" s="86"/>
      <c r="P353" s="86"/>
      <c r="Q353" s="86"/>
      <c r="R353" s="86"/>
      <c r="S353" s="85"/>
      <c r="T353" s="85"/>
      <c r="U353" s="85"/>
      <c r="V353" s="85"/>
      <c r="W353" s="85"/>
      <c r="X353" s="85"/>
      <c r="Y353" s="87"/>
      <c r="Z353" s="87"/>
      <c r="AA353" s="87"/>
      <c r="AB353" s="87"/>
      <c r="AC353" s="87"/>
      <c r="AD353" s="87"/>
    </row>
    <row r="354" ht="15.75" customHeight="1">
      <c r="G354" s="85"/>
      <c r="H354" s="85"/>
      <c r="I354" s="85"/>
      <c r="J354" s="85"/>
      <c r="K354" s="85"/>
      <c r="L354" s="85"/>
      <c r="M354" s="86"/>
      <c r="N354" s="86"/>
      <c r="O354" s="86"/>
      <c r="P354" s="86"/>
      <c r="Q354" s="86"/>
      <c r="R354" s="86"/>
      <c r="S354" s="85"/>
      <c r="T354" s="85"/>
      <c r="U354" s="85"/>
      <c r="V354" s="85"/>
      <c r="W354" s="85"/>
      <c r="X354" s="85"/>
      <c r="Y354" s="87"/>
      <c r="Z354" s="87"/>
      <c r="AA354" s="87"/>
      <c r="AB354" s="87"/>
      <c r="AC354" s="87"/>
      <c r="AD354" s="87"/>
    </row>
    <row r="355" ht="15.75" customHeight="1">
      <c r="G355" s="85"/>
      <c r="H355" s="85"/>
      <c r="I355" s="85"/>
      <c r="J355" s="85"/>
      <c r="K355" s="85"/>
      <c r="L355" s="85"/>
      <c r="M355" s="86"/>
      <c r="N355" s="86"/>
      <c r="O355" s="86"/>
      <c r="P355" s="86"/>
      <c r="Q355" s="86"/>
      <c r="R355" s="86"/>
      <c r="S355" s="85"/>
      <c r="T355" s="85"/>
      <c r="U355" s="85"/>
      <c r="V355" s="85"/>
      <c r="W355" s="85"/>
      <c r="X355" s="85"/>
      <c r="Y355" s="87"/>
      <c r="Z355" s="87"/>
      <c r="AA355" s="87"/>
      <c r="AB355" s="87"/>
      <c r="AC355" s="87"/>
      <c r="AD355" s="87"/>
    </row>
    <row r="356" ht="15.75" customHeight="1">
      <c r="G356" s="85"/>
      <c r="H356" s="85"/>
      <c r="I356" s="85"/>
      <c r="J356" s="85"/>
      <c r="K356" s="85"/>
      <c r="L356" s="85"/>
      <c r="M356" s="86"/>
      <c r="N356" s="86"/>
      <c r="O356" s="86"/>
      <c r="P356" s="86"/>
      <c r="Q356" s="86"/>
      <c r="R356" s="86"/>
      <c r="S356" s="85"/>
      <c r="T356" s="85"/>
      <c r="U356" s="85"/>
      <c r="V356" s="85"/>
      <c r="W356" s="85"/>
      <c r="X356" s="85"/>
      <c r="Y356" s="87"/>
      <c r="Z356" s="87"/>
      <c r="AA356" s="87"/>
      <c r="AB356" s="87"/>
      <c r="AC356" s="87"/>
      <c r="AD356" s="87"/>
    </row>
    <row r="357" ht="15.75" customHeight="1">
      <c r="G357" s="85"/>
      <c r="H357" s="85"/>
      <c r="I357" s="85"/>
      <c r="J357" s="85"/>
      <c r="K357" s="85"/>
      <c r="L357" s="85"/>
      <c r="M357" s="86"/>
      <c r="N357" s="86"/>
      <c r="O357" s="86"/>
      <c r="P357" s="86"/>
      <c r="Q357" s="86"/>
      <c r="R357" s="86"/>
      <c r="S357" s="85"/>
      <c r="T357" s="85"/>
      <c r="U357" s="85"/>
      <c r="V357" s="85"/>
      <c r="W357" s="85"/>
      <c r="X357" s="85"/>
      <c r="Y357" s="87"/>
      <c r="Z357" s="87"/>
      <c r="AA357" s="87"/>
      <c r="AB357" s="87"/>
      <c r="AC357" s="87"/>
      <c r="AD357" s="87"/>
    </row>
    <row r="358" ht="15.75" customHeight="1">
      <c r="G358" s="85"/>
      <c r="H358" s="85"/>
      <c r="I358" s="85"/>
      <c r="J358" s="85"/>
      <c r="K358" s="85"/>
      <c r="L358" s="85"/>
      <c r="M358" s="86"/>
      <c r="N358" s="86"/>
      <c r="O358" s="86"/>
      <c r="P358" s="86"/>
      <c r="Q358" s="86"/>
      <c r="R358" s="86"/>
      <c r="S358" s="85"/>
      <c r="T358" s="85"/>
      <c r="U358" s="85"/>
      <c r="V358" s="85"/>
      <c r="W358" s="85"/>
      <c r="X358" s="85"/>
      <c r="Y358" s="87"/>
      <c r="Z358" s="87"/>
      <c r="AA358" s="87"/>
      <c r="AB358" s="87"/>
      <c r="AC358" s="87"/>
      <c r="AD358" s="87"/>
    </row>
    <row r="359" ht="15.75" customHeight="1">
      <c r="G359" s="85"/>
      <c r="H359" s="85"/>
      <c r="I359" s="85"/>
      <c r="J359" s="85"/>
      <c r="K359" s="85"/>
      <c r="L359" s="85"/>
      <c r="M359" s="86"/>
      <c r="N359" s="86"/>
      <c r="O359" s="86"/>
      <c r="P359" s="86"/>
      <c r="Q359" s="86"/>
      <c r="R359" s="86"/>
      <c r="S359" s="85"/>
      <c r="T359" s="85"/>
      <c r="U359" s="85"/>
      <c r="V359" s="85"/>
      <c r="W359" s="85"/>
      <c r="X359" s="85"/>
      <c r="Y359" s="87"/>
      <c r="Z359" s="87"/>
      <c r="AA359" s="87"/>
      <c r="AB359" s="87"/>
      <c r="AC359" s="87"/>
      <c r="AD359" s="87"/>
    </row>
    <row r="360" ht="15.75" customHeight="1">
      <c r="G360" s="85"/>
      <c r="H360" s="85"/>
      <c r="I360" s="85"/>
      <c r="J360" s="85"/>
      <c r="K360" s="85"/>
      <c r="L360" s="85"/>
      <c r="M360" s="86"/>
      <c r="N360" s="86"/>
      <c r="O360" s="86"/>
      <c r="P360" s="86"/>
      <c r="Q360" s="86"/>
      <c r="R360" s="86"/>
      <c r="S360" s="85"/>
      <c r="T360" s="85"/>
      <c r="U360" s="85"/>
      <c r="V360" s="85"/>
      <c r="W360" s="85"/>
      <c r="X360" s="85"/>
      <c r="Y360" s="87"/>
      <c r="Z360" s="87"/>
      <c r="AA360" s="87"/>
      <c r="AB360" s="87"/>
      <c r="AC360" s="87"/>
      <c r="AD360" s="87"/>
    </row>
    <row r="361" ht="15.75" customHeight="1">
      <c r="G361" s="85"/>
      <c r="H361" s="85"/>
      <c r="I361" s="85"/>
      <c r="J361" s="85"/>
      <c r="K361" s="85"/>
      <c r="L361" s="85"/>
      <c r="M361" s="86"/>
      <c r="N361" s="86"/>
      <c r="O361" s="86"/>
      <c r="P361" s="86"/>
      <c r="Q361" s="86"/>
      <c r="R361" s="86"/>
      <c r="S361" s="85"/>
      <c r="T361" s="85"/>
      <c r="U361" s="85"/>
      <c r="V361" s="85"/>
      <c r="W361" s="85"/>
      <c r="X361" s="85"/>
      <c r="Y361" s="87"/>
      <c r="Z361" s="87"/>
      <c r="AA361" s="87"/>
      <c r="AB361" s="87"/>
      <c r="AC361" s="87"/>
      <c r="AD361" s="87"/>
    </row>
    <row r="362" ht="15.75" customHeight="1">
      <c r="G362" s="85"/>
      <c r="H362" s="85"/>
      <c r="I362" s="85"/>
      <c r="J362" s="85"/>
      <c r="K362" s="85"/>
      <c r="L362" s="85"/>
      <c r="M362" s="86"/>
      <c r="N362" s="86"/>
      <c r="O362" s="86"/>
      <c r="P362" s="86"/>
      <c r="Q362" s="86"/>
      <c r="R362" s="86"/>
      <c r="S362" s="85"/>
      <c r="T362" s="85"/>
      <c r="U362" s="85"/>
      <c r="V362" s="85"/>
      <c r="W362" s="85"/>
      <c r="X362" s="85"/>
      <c r="Y362" s="87"/>
      <c r="Z362" s="87"/>
      <c r="AA362" s="87"/>
      <c r="AB362" s="87"/>
      <c r="AC362" s="87"/>
      <c r="AD362" s="87"/>
    </row>
    <row r="363" ht="15.75" customHeight="1">
      <c r="G363" s="85"/>
      <c r="H363" s="85"/>
      <c r="I363" s="85"/>
      <c r="J363" s="85"/>
      <c r="K363" s="85"/>
      <c r="L363" s="85"/>
      <c r="M363" s="86"/>
      <c r="N363" s="86"/>
      <c r="O363" s="86"/>
      <c r="P363" s="86"/>
      <c r="Q363" s="86"/>
      <c r="R363" s="86"/>
      <c r="S363" s="85"/>
      <c r="T363" s="85"/>
      <c r="U363" s="85"/>
      <c r="V363" s="85"/>
      <c r="W363" s="85"/>
      <c r="X363" s="85"/>
      <c r="Y363" s="87"/>
      <c r="Z363" s="87"/>
      <c r="AA363" s="87"/>
      <c r="AB363" s="87"/>
      <c r="AC363" s="87"/>
      <c r="AD363" s="87"/>
    </row>
    <row r="364" ht="15.75" customHeight="1">
      <c r="G364" s="85"/>
      <c r="H364" s="85"/>
      <c r="I364" s="85"/>
      <c r="J364" s="85"/>
      <c r="K364" s="85"/>
      <c r="L364" s="85"/>
      <c r="M364" s="86"/>
      <c r="N364" s="86"/>
      <c r="O364" s="86"/>
      <c r="P364" s="86"/>
      <c r="Q364" s="86"/>
      <c r="R364" s="86"/>
      <c r="S364" s="85"/>
      <c r="T364" s="85"/>
      <c r="U364" s="85"/>
      <c r="V364" s="85"/>
      <c r="W364" s="85"/>
      <c r="X364" s="85"/>
      <c r="Y364" s="87"/>
      <c r="Z364" s="87"/>
      <c r="AA364" s="87"/>
      <c r="AB364" s="87"/>
      <c r="AC364" s="87"/>
      <c r="AD364" s="87"/>
    </row>
    <row r="365" ht="15.75" customHeight="1">
      <c r="G365" s="85"/>
      <c r="H365" s="85"/>
      <c r="I365" s="85"/>
      <c r="J365" s="85"/>
      <c r="K365" s="85"/>
      <c r="L365" s="85"/>
      <c r="M365" s="86"/>
      <c r="N365" s="86"/>
      <c r="O365" s="86"/>
      <c r="P365" s="86"/>
      <c r="Q365" s="86"/>
      <c r="R365" s="86"/>
      <c r="S365" s="85"/>
      <c r="T365" s="85"/>
      <c r="U365" s="85"/>
      <c r="V365" s="85"/>
      <c r="W365" s="85"/>
      <c r="X365" s="85"/>
      <c r="Y365" s="87"/>
      <c r="Z365" s="87"/>
      <c r="AA365" s="87"/>
      <c r="AB365" s="87"/>
      <c r="AC365" s="87"/>
      <c r="AD365" s="87"/>
    </row>
    <row r="366" ht="15.75" customHeight="1">
      <c r="G366" s="85"/>
      <c r="H366" s="85"/>
      <c r="I366" s="85"/>
      <c r="J366" s="85"/>
      <c r="K366" s="85"/>
      <c r="L366" s="85"/>
      <c r="M366" s="86"/>
      <c r="N366" s="86"/>
      <c r="O366" s="86"/>
      <c r="P366" s="86"/>
      <c r="Q366" s="86"/>
      <c r="R366" s="86"/>
      <c r="S366" s="85"/>
      <c r="T366" s="85"/>
      <c r="U366" s="85"/>
      <c r="V366" s="85"/>
      <c r="W366" s="85"/>
      <c r="X366" s="85"/>
      <c r="Y366" s="87"/>
      <c r="Z366" s="87"/>
      <c r="AA366" s="87"/>
      <c r="AB366" s="87"/>
      <c r="AC366" s="87"/>
      <c r="AD366" s="87"/>
    </row>
    <row r="367" ht="15.75" customHeight="1">
      <c r="G367" s="85"/>
      <c r="H367" s="85"/>
      <c r="I367" s="85"/>
      <c r="J367" s="85"/>
      <c r="K367" s="85"/>
      <c r="L367" s="85"/>
      <c r="M367" s="86"/>
      <c r="N367" s="86"/>
      <c r="O367" s="86"/>
      <c r="P367" s="86"/>
      <c r="Q367" s="86"/>
      <c r="R367" s="86"/>
      <c r="S367" s="85"/>
      <c r="T367" s="85"/>
      <c r="U367" s="85"/>
      <c r="V367" s="85"/>
      <c r="W367" s="85"/>
      <c r="X367" s="85"/>
      <c r="Y367" s="87"/>
      <c r="Z367" s="87"/>
      <c r="AA367" s="87"/>
      <c r="AB367" s="87"/>
      <c r="AC367" s="87"/>
      <c r="AD367" s="87"/>
    </row>
    <row r="368" ht="15.75" customHeight="1">
      <c r="G368" s="85"/>
      <c r="H368" s="85"/>
      <c r="I368" s="85"/>
      <c r="J368" s="85"/>
      <c r="K368" s="85"/>
      <c r="L368" s="85"/>
      <c r="M368" s="86"/>
      <c r="N368" s="86"/>
      <c r="O368" s="86"/>
      <c r="P368" s="86"/>
      <c r="Q368" s="86"/>
      <c r="R368" s="86"/>
      <c r="S368" s="85"/>
      <c r="T368" s="85"/>
      <c r="U368" s="85"/>
      <c r="V368" s="85"/>
      <c r="W368" s="85"/>
      <c r="X368" s="85"/>
      <c r="Y368" s="87"/>
      <c r="Z368" s="87"/>
      <c r="AA368" s="87"/>
      <c r="AB368" s="87"/>
      <c r="AC368" s="87"/>
      <c r="AD368" s="87"/>
    </row>
    <row r="369" ht="15.75" customHeight="1">
      <c r="G369" s="85"/>
      <c r="H369" s="85"/>
      <c r="I369" s="85"/>
      <c r="J369" s="85"/>
      <c r="K369" s="85"/>
      <c r="L369" s="85"/>
      <c r="M369" s="86"/>
      <c r="N369" s="86"/>
      <c r="O369" s="86"/>
      <c r="P369" s="86"/>
      <c r="Q369" s="86"/>
      <c r="R369" s="86"/>
      <c r="S369" s="85"/>
      <c r="T369" s="85"/>
      <c r="U369" s="85"/>
      <c r="V369" s="85"/>
      <c r="W369" s="85"/>
      <c r="X369" s="85"/>
      <c r="Y369" s="87"/>
      <c r="Z369" s="87"/>
      <c r="AA369" s="87"/>
      <c r="AB369" s="87"/>
      <c r="AC369" s="87"/>
      <c r="AD369" s="87"/>
    </row>
    <row r="370" ht="15.75" customHeight="1">
      <c r="G370" s="85"/>
      <c r="H370" s="85"/>
      <c r="I370" s="85"/>
      <c r="J370" s="85"/>
      <c r="K370" s="85"/>
      <c r="L370" s="85"/>
      <c r="M370" s="86"/>
      <c r="N370" s="86"/>
      <c r="O370" s="86"/>
      <c r="P370" s="86"/>
      <c r="Q370" s="86"/>
      <c r="R370" s="86"/>
      <c r="S370" s="85"/>
      <c r="T370" s="85"/>
      <c r="U370" s="85"/>
      <c r="V370" s="85"/>
      <c r="W370" s="85"/>
      <c r="X370" s="85"/>
      <c r="Y370" s="87"/>
      <c r="Z370" s="87"/>
      <c r="AA370" s="87"/>
      <c r="AB370" s="87"/>
      <c r="AC370" s="87"/>
      <c r="AD370" s="87"/>
    </row>
    <row r="371" ht="15.75" customHeight="1">
      <c r="G371" s="85"/>
      <c r="H371" s="85"/>
      <c r="I371" s="85"/>
      <c r="J371" s="85"/>
      <c r="K371" s="85"/>
      <c r="L371" s="85"/>
      <c r="M371" s="86"/>
      <c r="N371" s="86"/>
      <c r="O371" s="86"/>
      <c r="P371" s="86"/>
      <c r="Q371" s="86"/>
      <c r="R371" s="86"/>
      <c r="S371" s="85"/>
      <c r="T371" s="85"/>
      <c r="U371" s="85"/>
      <c r="V371" s="85"/>
      <c r="W371" s="85"/>
      <c r="X371" s="85"/>
      <c r="Y371" s="87"/>
      <c r="Z371" s="87"/>
      <c r="AA371" s="87"/>
      <c r="AB371" s="87"/>
      <c r="AC371" s="87"/>
      <c r="AD371" s="87"/>
    </row>
    <row r="372" ht="15.75" customHeight="1">
      <c r="G372" s="85"/>
      <c r="H372" s="85"/>
      <c r="I372" s="85"/>
      <c r="J372" s="85"/>
      <c r="K372" s="85"/>
      <c r="L372" s="85"/>
      <c r="M372" s="86"/>
      <c r="N372" s="86"/>
      <c r="O372" s="86"/>
      <c r="P372" s="86"/>
      <c r="Q372" s="86"/>
      <c r="R372" s="86"/>
      <c r="S372" s="85"/>
      <c r="T372" s="85"/>
      <c r="U372" s="85"/>
      <c r="V372" s="85"/>
      <c r="W372" s="85"/>
      <c r="X372" s="85"/>
      <c r="Y372" s="87"/>
      <c r="Z372" s="87"/>
      <c r="AA372" s="87"/>
      <c r="AB372" s="87"/>
      <c r="AC372" s="87"/>
      <c r="AD372" s="87"/>
    </row>
    <row r="373" ht="15.75" customHeight="1">
      <c r="G373" s="85"/>
      <c r="H373" s="85"/>
      <c r="I373" s="85"/>
      <c r="J373" s="85"/>
      <c r="K373" s="85"/>
      <c r="L373" s="85"/>
      <c r="M373" s="86"/>
      <c r="N373" s="86"/>
      <c r="O373" s="86"/>
      <c r="P373" s="86"/>
      <c r="Q373" s="86"/>
      <c r="R373" s="86"/>
      <c r="S373" s="85"/>
      <c r="T373" s="85"/>
      <c r="U373" s="85"/>
      <c r="V373" s="85"/>
      <c r="W373" s="85"/>
      <c r="X373" s="85"/>
      <c r="Y373" s="87"/>
      <c r="Z373" s="87"/>
      <c r="AA373" s="87"/>
      <c r="AB373" s="87"/>
      <c r="AC373" s="87"/>
      <c r="AD373" s="87"/>
    </row>
    <row r="374" ht="15.75" customHeight="1">
      <c r="G374" s="85"/>
      <c r="H374" s="85"/>
      <c r="I374" s="85"/>
      <c r="J374" s="85"/>
      <c r="K374" s="85"/>
      <c r="L374" s="85"/>
      <c r="M374" s="86"/>
      <c r="N374" s="86"/>
      <c r="O374" s="86"/>
      <c r="P374" s="86"/>
      <c r="Q374" s="86"/>
      <c r="R374" s="86"/>
      <c r="S374" s="85"/>
      <c r="T374" s="85"/>
      <c r="U374" s="85"/>
      <c r="V374" s="85"/>
      <c r="W374" s="85"/>
      <c r="X374" s="85"/>
      <c r="Y374" s="87"/>
      <c r="Z374" s="87"/>
      <c r="AA374" s="87"/>
      <c r="AB374" s="87"/>
      <c r="AC374" s="87"/>
      <c r="AD374" s="87"/>
    </row>
    <row r="375" ht="15.75" customHeight="1">
      <c r="G375" s="85"/>
      <c r="H375" s="85"/>
      <c r="I375" s="85"/>
      <c r="J375" s="85"/>
      <c r="K375" s="85"/>
      <c r="L375" s="85"/>
      <c r="M375" s="86"/>
      <c r="N375" s="86"/>
      <c r="O375" s="86"/>
      <c r="P375" s="86"/>
      <c r="Q375" s="86"/>
      <c r="R375" s="86"/>
      <c r="S375" s="85"/>
      <c r="T375" s="85"/>
      <c r="U375" s="85"/>
      <c r="V375" s="85"/>
      <c r="W375" s="85"/>
      <c r="X375" s="85"/>
      <c r="Y375" s="87"/>
      <c r="Z375" s="87"/>
      <c r="AA375" s="87"/>
      <c r="AB375" s="87"/>
      <c r="AC375" s="87"/>
      <c r="AD375" s="87"/>
    </row>
    <row r="376" ht="15.75" customHeight="1">
      <c r="G376" s="85"/>
      <c r="H376" s="85"/>
      <c r="I376" s="85"/>
      <c r="J376" s="85"/>
      <c r="K376" s="85"/>
      <c r="L376" s="85"/>
      <c r="M376" s="86"/>
      <c r="N376" s="86"/>
      <c r="O376" s="86"/>
      <c r="P376" s="86"/>
      <c r="Q376" s="86"/>
      <c r="R376" s="86"/>
      <c r="S376" s="85"/>
      <c r="T376" s="85"/>
      <c r="U376" s="85"/>
      <c r="V376" s="85"/>
      <c r="W376" s="85"/>
      <c r="X376" s="85"/>
      <c r="Y376" s="87"/>
      <c r="Z376" s="87"/>
      <c r="AA376" s="87"/>
      <c r="AB376" s="87"/>
      <c r="AC376" s="87"/>
      <c r="AD376" s="87"/>
    </row>
    <row r="377" ht="15.75" customHeight="1">
      <c r="G377" s="85"/>
      <c r="H377" s="85"/>
      <c r="I377" s="85"/>
      <c r="J377" s="85"/>
      <c r="K377" s="85"/>
      <c r="L377" s="85"/>
      <c r="M377" s="86"/>
      <c r="N377" s="86"/>
      <c r="O377" s="86"/>
      <c r="P377" s="86"/>
      <c r="Q377" s="86"/>
      <c r="R377" s="86"/>
      <c r="S377" s="85"/>
      <c r="T377" s="85"/>
      <c r="U377" s="85"/>
      <c r="V377" s="85"/>
      <c r="W377" s="85"/>
      <c r="X377" s="85"/>
      <c r="Y377" s="87"/>
      <c r="Z377" s="87"/>
      <c r="AA377" s="87"/>
      <c r="AB377" s="87"/>
      <c r="AC377" s="87"/>
      <c r="AD377" s="87"/>
    </row>
    <row r="378" ht="15.75" customHeight="1">
      <c r="G378" s="85"/>
      <c r="H378" s="85"/>
      <c r="I378" s="85"/>
      <c r="J378" s="85"/>
      <c r="K378" s="85"/>
      <c r="L378" s="85"/>
      <c r="M378" s="86"/>
      <c r="N378" s="86"/>
      <c r="O378" s="86"/>
      <c r="P378" s="86"/>
      <c r="Q378" s="86"/>
      <c r="R378" s="86"/>
      <c r="S378" s="85"/>
      <c r="T378" s="85"/>
      <c r="U378" s="85"/>
      <c r="V378" s="85"/>
      <c r="W378" s="85"/>
      <c r="X378" s="85"/>
      <c r="Y378" s="87"/>
      <c r="Z378" s="87"/>
      <c r="AA378" s="87"/>
      <c r="AB378" s="87"/>
      <c r="AC378" s="87"/>
      <c r="AD378" s="87"/>
    </row>
    <row r="379" ht="15.75" customHeight="1">
      <c r="G379" s="85"/>
      <c r="H379" s="85"/>
      <c r="I379" s="85"/>
      <c r="J379" s="85"/>
      <c r="K379" s="85"/>
      <c r="L379" s="85"/>
      <c r="M379" s="86"/>
      <c r="N379" s="86"/>
      <c r="O379" s="86"/>
      <c r="P379" s="86"/>
      <c r="Q379" s="86"/>
      <c r="R379" s="86"/>
      <c r="S379" s="85"/>
      <c r="T379" s="85"/>
      <c r="U379" s="85"/>
      <c r="V379" s="85"/>
      <c r="W379" s="85"/>
      <c r="X379" s="85"/>
      <c r="Y379" s="87"/>
      <c r="Z379" s="87"/>
      <c r="AA379" s="87"/>
      <c r="AB379" s="87"/>
      <c r="AC379" s="87"/>
      <c r="AD379" s="87"/>
    </row>
    <row r="380" ht="15.75" customHeight="1">
      <c r="G380" s="85"/>
      <c r="H380" s="85"/>
      <c r="I380" s="85"/>
      <c r="J380" s="85"/>
      <c r="K380" s="85"/>
      <c r="L380" s="85"/>
      <c r="M380" s="86"/>
      <c r="N380" s="86"/>
      <c r="O380" s="86"/>
      <c r="P380" s="86"/>
      <c r="Q380" s="86"/>
      <c r="R380" s="86"/>
      <c r="S380" s="85"/>
      <c r="T380" s="85"/>
      <c r="U380" s="85"/>
      <c r="V380" s="85"/>
      <c r="W380" s="85"/>
      <c r="X380" s="85"/>
      <c r="Y380" s="87"/>
      <c r="Z380" s="87"/>
      <c r="AA380" s="87"/>
      <c r="AB380" s="87"/>
      <c r="AC380" s="87"/>
      <c r="AD380" s="87"/>
    </row>
    <row r="381" ht="15.75" customHeight="1">
      <c r="G381" s="85"/>
      <c r="H381" s="85"/>
      <c r="I381" s="85"/>
      <c r="J381" s="85"/>
      <c r="K381" s="85"/>
      <c r="L381" s="85"/>
      <c r="M381" s="86"/>
      <c r="N381" s="86"/>
      <c r="O381" s="86"/>
      <c r="P381" s="86"/>
      <c r="Q381" s="86"/>
      <c r="R381" s="86"/>
      <c r="S381" s="85"/>
      <c r="T381" s="85"/>
      <c r="U381" s="85"/>
      <c r="V381" s="85"/>
      <c r="W381" s="85"/>
      <c r="X381" s="85"/>
      <c r="Y381" s="87"/>
      <c r="Z381" s="87"/>
      <c r="AA381" s="87"/>
      <c r="AB381" s="87"/>
      <c r="AC381" s="87"/>
      <c r="AD381" s="87"/>
    </row>
    <row r="382" ht="15.75" customHeight="1">
      <c r="G382" s="85"/>
      <c r="H382" s="85"/>
      <c r="I382" s="85"/>
      <c r="J382" s="85"/>
      <c r="K382" s="85"/>
      <c r="L382" s="85"/>
      <c r="M382" s="86"/>
      <c r="N382" s="86"/>
      <c r="O382" s="86"/>
      <c r="P382" s="86"/>
      <c r="Q382" s="86"/>
      <c r="R382" s="86"/>
      <c r="S382" s="85"/>
      <c r="T382" s="85"/>
      <c r="U382" s="85"/>
      <c r="V382" s="85"/>
      <c r="W382" s="85"/>
      <c r="X382" s="85"/>
      <c r="Y382" s="87"/>
      <c r="Z382" s="87"/>
      <c r="AA382" s="87"/>
      <c r="AB382" s="87"/>
      <c r="AC382" s="87"/>
      <c r="AD382" s="87"/>
    </row>
    <row r="383" ht="15.75" customHeight="1">
      <c r="G383" s="85"/>
      <c r="H383" s="85"/>
      <c r="I383" s="85"/>
      <c r="J383" s="85"/>
      <c r="K383" s="85"/>
      <c r="L383" s="85"/>
      <c r="M383" s="86"/>
      <c r="N383" s="86"/>
      <c r="O383" s="86"/>
      <c r="P383" s="86"/>
      <c r="Q383" s="86"/>
      <c r="R383" s="86"/>
      <c r="S383" s="85"/>
      <c r="T383" s="85"/>
      <c r="U383" s="85"/>
      <c r="V383" s="85"/>
      <c r="W383" s="85"/>
      <c r="X383" s="85"/>
      <c r="Y383" s="87"/>
      <c r="Z383" s="87"/>
      <c r="AA383" s="87"/>
      <c r="AB383" s="87"/>
      <c r="AC383" s="87"/>
      <c r="AD383" s="87"/>
    </row>
    <row r="384" ht="15.75" customHeight="1">
      <c r="G384" s="85"/>
      <c r="H384" s="85"/>
      <c r="I384" s="85"/>
      <c r="J384" s="85"/>
      <c r="K384" s="85"/>
      <c r="L384" s="85"/>
      <c r="M384" s="86"/>
      <c r="N384" s="86"/>
      <c r="O384" s="86"/>
      <c r="P384" s="86"/>
      <c r="Q384" s="86"/>
      <c r="R384" s="86"/>
      <c r="S384" s="85"/>
      <c r="T384" s="85"/>
      <c r="U384" s="85"/>
      <c r="V384" s="85"/>
      <c r="W384" s="85"/>
      <c r="X384" s="85"/>
      <c r="Y384" s="87"/>
      <c r="Z384" s="87"/>
      <c r="AA384" s="87"/>
      <c r="AB384" s="87"/>
      <c r="AC384" s="87"/>
      <c r="AD384" s="87"/>
    </row>
    <row r="385" ht="15.75" customHeight="1">
      <c r="G385" s="85"/>
      <c r="H385" s="85"/>
      <c r="I385" s="85"/>
      <c r="J385" s="85"/>
      <c r="K385" s="85"/>
      <c r="L385" s="85"/>
      <c r="M385" s="86"/>
      <c r="N385" s="86"/>
      <c r="O385" s="86"/>
      <c r="P385" s="86"/>
      <c r="Q385" s="86"/>
      <c r="R385" s="86"/>
      <c r="S385" s="85"/>
      <c r="T385" s="85"/>
      <c r="U385" s="85"/>
      <c r="V385" s="85"/>
      <c r="W385" s="85"/>
      <c r="X385" s="85"/>
      <c r="Y385" s="87"/>
      <c r="Z385" s="87"/>
      <c r="AA385" s="87"/>
      <c r="AB385" s="87"/>
      <c r="AC385" s="87"/>
      <c r="AD385" s="87"/>
    </row>
    <row r="386" ht="15.75" customHeight="1">
      <c r="G386" s="85"/>
      <c r="H386" s="85"/>
      <c r="I386" s="85"/>
      <c r="J386" s="85"/>
      <c r="K386" s="85"/>
      <c r="L386" s="85"/>
      <c r="M386" s="86"/>
      <c r="N386" s="86"/>
      <c r="O386" s="86"/>
      <c r="P386" s="86"/>
      <c r="Q386" s="86"/>
      <c r="R386" s="86"/>
      <c r="S386" s="85"/>
      <c r="T386" s="85"/>
      <c r="U386" s="85"/>
      <c r="V386" s="85"/>
      <c r="W386" s="85"/>
      <c r="X386" s="85"/>
      <c r="Y386" s="87"/>
      <c r="Z386" s="87"/>
      <c r="AA386" s="87"/>
      <c r="AB386" s="87"/>
      <c r="AC386" s="87"/>
      <c r="AD386" s="87"/>
    </row>
    <row r="387" ht="15.75" customHeight="1">
      <c r="G387" s="85"/>
      <c r="H387" s="85"/>
      <c r="I387" s="85"/>
      <c r="J387" s="85"/>
      <c r="K387" s="85"/>
      <c r="L387" s="85"/>
      <c r="M387" s="86"/>
      <c r="N387" s="86"/>
      <c r="O387" s="86"/>
      <c r="P387" s="86"/>
      <c r="Q387" s="86"/>
      <c r="R387" s="86"/>
      <c r="S387" s="85"/>
      <c r="T387" s="85"/>
      <c r="U387" s="85"/>
      <c r="V387" s="85"/>
      <c r="W387" s="85"/>
      <c r="X387" s="85"/>
      <c r="Y387" s="87"/>
      <c r="Z387" s="87"/>
      <c r="AA387" s="87"/>
      <c r="AB387" s="87"/>
      <c r="AC387" s="87"/>
      <c r="AD387" s="87"/>
    </row>
    <row r="388" ht="15.75" customHeight="1">
      <c r="G388" s="85"/>
      <c r="H388" s="85"/>
      <c r="I388" s="85"/>
      <c r="J388" s="85"/>
      <c r="K388" s="85"/>
      <c r="L388" s="85"/>
      <c r="M388" s="86"/>
      <c r="N388" s="86"/>
      <c r="O388" s="86"/>
      <c r="P388" s="86"/>
      <c r="Q388" s="86"/>
      <c r="R388" s="86"/>
      <c r="S388" s="85"/>
      <c r="T388" s="85"/>
      <c r="U388" s="85"/>
      <c r="V388" s="85"/>
      <c r="W388" s="85"/>
      <c r="X388" s="85"/>
      <c r="Y388" s="87"/>
      <c r="Z388" s="87"/>
      <c r="AA388" s="87"/>
      <c r="AB388" s="87"/>
      <c r="AC388" s="87"/>
      <c r="AD388" s="87"/>
    </row>
    <row r="389" ht="15.75" customHeight="1">
      <c r="G389" s="85"/>
      <c r="H389" s="85"/>
      <c r="I389" s="85"/>
      <c r="J389" s="85"/>
      <c r="K389" s="85"/>
      <c r="L389" s="85"/>
      <c r="M389" s="86"/>
      <c r="N389" s="86"/>
      <c r="O389" s="86"/>
      <c r="P389" s="86"/>
      <c r="Q389" s="86"/>
      <c r="R389" s="86"/>
      <c r="S389" s="85"/>
      <c r="T389" s="85"/>
      <c r="U389" s="85"/>
      <c r="V389" s="85"/>
      <c r="W389" s="85"/>
      <c r="X389" s="85"/>
      <c r="Y389" s="87"/>
      <c r="Z389" s="87"/>
      <c r="AA389" s="87"/>
      <c r="AB389" s="87"/>
      <c r="AC389" s="87"/>
      <c r="AD389" s="87"/>
    </row>
    <row r="390" ht="15.75" customHeight="1">
      <c r="G390" s="85"/>
      <c r="H390" s="85"/>
      <c r="I390" s="85"/>
      <c r="J390" s="85"/>
      <c r="K390" s="85"/>
      <c r="L390" s="85"/>
      <c r="M390" s="86"/>
      <c r="N390" s="86"/>
      <c r="O390" s="86"/>
      <c r="P390" s="86"/>
      <c r="Q390" s="86"/>
      <c r="R390" s="86"/>
      <c r="S390" s="85"/>
      <c r="T390" s="85"/>
      <c r="U390" s="85"/>
      <c r="V390" s="85"/>
      <c r="W390" s="85"/>
      <c r="X390" s="85"/>
      <c r="Y390" s="87"/>
      <c r="Z390" s="87"/>
      <c r="AA390" s="87"/>
      <c r="AB390" s="87"/>
      <c r="AC390" s="87"/>
      <c r="AD390" s="87"/>
    </row>
    <row r="391" ht="15.75" customHeight="1">
      <c r="G391" s="85"/>
      <c r="H391" s="85"/>
      <c r="I391" s="85"/>
      <c r="J391" s="85"/>
      <c r="K391" s="85"/>
      <c r="L391" s="85"/>
      <c r="M391" s="86"/>
      <c r="N391" s="86"/>
      <c r="O391" s="86"/>
      <c r="P391" s="86"/>
      <c r="Q391" s="86"/>
      <c r="R391" s="86"/>
      <c r="S391" s="85"/>
      <c r="T391" s="85"/>
      <c r="U391" s="85"/>
      <c r="V391" s="85"/>
      <c r="W391" s="85"/>
      <c r="X391" s="85"/>
      <c r="Y391" s="87"/>
      <c r="Z391" s="87"/>
      <c r="AA391" s="87"/>
      <c r="AB391" s="87"/>
      <c r="AC391" s="87"/>
      <c r="AD391" s="87"/>
    </row>
    <row r="392" ht="15.75" customHeight="1">
      <c r="G392" s="85"/>
      <c r="H392" s="85"/>
      <c r="I392" s="85"/>
      <c r="J392" s="85"/>
      <c r="K392" s="85"/>
      <c r="L392" s="85"/>
      <c r="M392" s="86"/>
      <c r="N392" s="86"/>
      <c r="O392" s="86"/>
      <c r="P392" s="86"/>
      <c r="Q392" s="86"/>
      <c r="R392" s="86"/>
      <c r="S392" s="85"/>
      <c r="T392" s="85"/>
      <c r="U392" s="85"/>
      <c r="V392" s="85"/>
      <c r="W392" s="85"/>
      <c r="X392" s="85"/>
      <c r="Y392" s="87"/>
      <c r="Z392" s="87"/>
      <c r="AA392" s="87"/>
      <c r="AB392" s="87"/>
      <c r="AC392" s="87"/>
      <c r="AD392" s="87"/>
    </row>
    <row r="393" ht="15.75" customHeight="1">
      <c r="G393" s="85"/>
      <c r="H393" s="85"/>
      <c r="I393" s="85"/>
      <c r="J393" s="85"/>
      <c r="K393" s="85"/>
      <c r="L393" s="85"/>
      <c r="M393" s="86"/>
      <c r="N393" s="86"/>
      <c r="O393" s="86"/>
      <c r="P393" s="86"/>
      <c r="Q393" s="86"/>
      <c r="R393" s="86"/>
      <c r="S393" s="85"/>
      <c r="T393" s="85"/>
      <c r="U393" s="85"/>
      <c r="V393" s="85"/>
      <c r="W393" s="85"/>
      <c r="X393" s="85"/>
      <c r="Y393" s="87"/>
      <c r="Z393" s="87"/>
      <c r="AA393" s="87"/>
      <c r="AB393" s="87"/>
      <c r="AC393" s="87"/>
      <c r="AD393" s="87"/>
    </row>
    <row r="394" ht="15.75" customHeight="1">
      <c r="G394" s="85"/>
      <c r="H394" s="85"/>
      <c r="I394" s="85"/>
      <c r="J394" s="85"/>
      <c r="K394" s="85"/>
      <c r="L394" s="85"/>
      <c r="M394" s="86"/>
      <c r="N394" s="86"/>
      <c r="O394" s="86"/>
      <c r="P394" s="86"/>
      <c r="Q394" s="86"/>
      <c r="R394" s="86"/>
      <c r="S394" s="85"/>
      <c r="T394" s="85"/>
      <c r="U394" s="85"/>
      <c r="V394" s="85"/>
      <c r="W394" s="85"/>
      <c r="X394" s="85"/>
      <c r="Y394" s="87"/>
      <c r="Z394" s="87"/>
      <c r="AA394" s="87"/>
      <c r="AB394" s="87"/>
      <c r="AC394" s="87"/>
      <c r="AD394" s="87"/>
    </row>
    <row r="395" ht="15.75" customHeight="1">
      <c r="G395" s="85"/>
      <c r="H395" s="85"/>
      <c r="I395" s="85"/>
      <c r="J395" s="85"/>
      <c r="K395" s="85"/>
      <c r="L395" s="85"/>
      <c r="M395" s="86"/>
      <c r="N395" s="86"/>
      <c r="O395" s="86"/>
      <c r="P395" s="86"/>
      <c r="Q395" s="86"/>
      <c r="R395" s="86"/>
      <c r="S395" s="85"/>
      <c r="T395" s="85"/>
      <c r="U395" s="85"/>
      <c r="V395" s="85"/>
      <c r="W395" s="85"/>
      <c r="X395" s="85"/>
      <c r="Y395" s="87"/>
      <c r="Z395" s="87"/>
      <c r="AA395" s="87"/>
      <c r="AB395" s="87"/>
      <c r="AC395" s="87"/>
      <c r="AD395" s="87"/>
    </row>
    <row r="396" ht="15.75" customHeight="1">
      <c r="G396" s="85"/>
      <c r="H396" s="85"/>
      <c r="I396" s="85"/>
      <c r="J396" s="85"/>
      <c r="K396" s="85"/>
      <c r="L396" s="85"/>
      <c r="M396" s="86"/>
      <c r="N396" s="86"/>
      <c r="O396" s="86"/>
      <c r="P396" s="86"/>
      <c r="Q396" s="86"/>
      <c r="R396" s="86"/>
      <c r="S396" s="85"/>
      <c r="T396" s="85"/>
      <c r="U396" s="85"/>
      <c r="V396" s="85"/>
      <c r="W396" s="85"/>
      <c r="X396" s="85"/>
      <c r="Y396" s="87"/>
      <c r="Z396" s="87"/>
      <c r="AA396" s="87"/>
      <c r="AB396" s="87"/>
      <c r="AC396" s="87"/>
      <c r="AD396" s="87"/>
    </row>
    <row r="397" ht="15.75" customHeight="1">
      <c r="G397" s="85"/>
      <c r="H397" s="85"/>
      <c r="I397" s="85"/>
      <c r="J397" s="85"/>
      <c r="K397" s="85"/>
      <c r="L397" s="85"/>
      <c r="M397" s="86"/>
      <c r="N397" s="86"/>
      <c r="O397" s="86"/>
      <c r="P397" s="86"/>
      <c r="Q397" s="86"/>
      <c r="R397" s="86"/>
      <c r="S397" s="85"/>
      <c r="T397" s="85"/>
      <c r="U397" s="85"/>
      <c r="V397" s="85"/>
      <c r="W397" s="85"/>
      <c r="X397" s="85"/>
      <c r="Y397" s="87"/>
      <c r="Z397" s="87"/>
      <c r="AA397" s="87"/>
      <c r="AB397" s="87"/>
      <c r="AC397" s="87"/>
      <c r="AD397" s="87"/>
    </row>
    <row r="398" ht="15.75" customHeight="1">
      <c r="G398" s="85"/>
      <c r="H398" s="85"/>
      <c r="I398" s="85"/>
      <c r="J398" s="85"/>
      <c r="K398" s="85"/>
      <c r="L398" s="85"/>
      <c r="M398" s="86"/>
      <c r="N398" s="86"/>
      <c r="O398" s="86"/>
      <c r="P398" s="86"/>
      <c r="Q398" s="86"/>
      <c r="R398" s="86"/>
      <c r="S398" s="85"/>
      <c r="T398" s="85"/>
      <c r="U398" s="85"/>
      <c r="V398" s="85"/>
      <c r="W398" s="85"/>
      <c r="X398" s="85"/>
      <c r="Y398" s="87"/>
      <c r="Z398" s="87"/>
      <c r="AA398" s="87"/>
      <c r="AB398" s="87"/>
      <c r="AC398" s="87"/>
      <c r="AD398" s="87"/>
    </row>
    <row r="399" ht="15.75" customHeight="1">
      <c r="G399" s="85"/>
      <c r="H399" s="85"/>
      <c r="I399" s="85"/>
      <c r="J399" s="85"/>
      <c r="K399" s="85"/>
      <c r="L399" s="85"/>
      <c r="M399" s="86"/>
      <c r="N399" s="86"/>
      <c r="O399" s="86"/>
      <c r="P399" s="86"/>
      <c r="Q399" s="86"/>
      <c r="R399" s="86"/>
      <c r="S399" s="85"/>
      <c r="T399" s="85"/>
      <c r="U399" s="85"/>
      <c r="V399" s="85"/>
      <c r="W399" s="85"/>
      <c r="X399" s="85"/>
      <c r="Y399" s="87"/>
      <c r="Z399" s="87"/>
      <c r="AA399" s="87"/>
      <c r="AB399" s="87"/>
      <c r="AC399" s="87"/>
      <c r="AD399" s="87"/>
    </row>
    <row r="400" ht="15.75" customHeight="1">
      <c r="G400" s="85"/>
      <c r="H400" s="85"/>
      <c r="I400" s="85"/>
      <c r="J400" s="85"/>
      <c r="K400" s="85"/>
      <c r="L400" s="85"/>
      <c r="M400" s="86"/>
      <c r="N400" s="86"/>
      <c r="O400" s="86"/>
      <c r="P400" s="86"/>
      <c r="Q400" s="86"/>
      <c r="R400" s="86"/>
      <c r="S400" s="85"/>
      <c r="T400" s="85"/>
      <c r="U400" s="85"/>
      <c r="V400" s="85"/>
      <c r="W400" s="85"/>
      <c r="X400" s="85"/>
      <c r="Y400" s="87"/>
      <c r="Z400" s="87"/>
      <c r="AA400" s="87"/>
      <c r="AB400" s="87"/>
      <c r="AC400" s="87"/>
      <c r="AD400" s="87"/>
    </row>
    <row r="401" ht="15.75" customHeight="1">
      <c r="G401" s="85"/>
      <c r="H401" s="85"/>
      <c r="I401" s="85"/>
      <c r="J401" s="85"/>
      <c r="K401" s="85"/>
      <c r="L401" s="85"/>
      <c r="M401" s="86"/>
      <c r="N401" s="86"/>
      <c r="O401" s="86"/>
      <c r="P401" s="86"/>
      <c r="Q401" s="86"/>
      <c r="R401" s="86"/>
      <c r="S401" s="85"/>
      <c r="T401" s="85"/>
      <c r="U401" s="85"/>
      <c r="V401" s="85"/>
      <c r="W401" s="85"/>
      <c r="X401" s="85"/>
      <c r="Y401" s="87"/>
      <c r="Z401" s="87"/>
      <c r="AA401" s="87"/>
      <c r="AB401" s="87"/>
      <c r="AC401" s="87"/>
      <c r="AD401" s="87"/>
    </row>
    <row r="402" ht="15.75" customHeight="1">
      <c r="G402" s="85"/>
      <c r="H402" s="85"/>
      <c r="I402" s="85"/>
      <c r="J402" s="85"/>
      <c r="K402" s="85"/>
      <c r="L402" s="85"/>
      <c r="M402" s="86"/>
      <c r="N402" s="86"/>
      <c r="O402" s="86"/>
      <c r="P402" s="86"/>
      <c r="Q402" s="86"/>
      <c r="R402" s="86"/>
      <c r="S402" s="85"/>
      <c r="T402" s="85"/>
      <c r="U402" s="85"/>
      <c r="V402" s="85"/>
      <c r="W402" s="85"/>
      <c r="X402" s="85"/>
      <c r="Y402" s="87"/>
      <c r="Z402" s="87"/>
      <c r="AA402" s="87"/>
      <c r="AB402" s="87"/>
      <c r="AC402" s="87"/>
      <c r="AD402" s="87"/>
    </row>
    <row r="403" ht="15.75" customHeight="1">
      <c r="G403" s="85"/>
      <c r="H403" s="85"/>
      <c r="I403" s="85"/>
      <c r="J403" s="85"/>
      <c r="K403" s="85"/>
      <c r="L403" s="85"/>
      <c r="M403" s="86"/>
      <c r="N403" s="86"/>
      <c r="O403" s="86"/>
      <c r="P403" s="86"/>
      <c r="Q403" s="86"/>
      <c r="R403" s="86"/>
      <c r="S403" s="85"/>
      <c r="T403" s="85"/>
      <c r="U403" s="85"/>
      <c r="V403" s="85"/>
      <c r="W403" s="85"/>
      <c r="X403" s="85"/>
      <c r="Y403" s="87"/>
      <c r="Z403" s="87"/>
      <c r="AA403" s="87"/>
      <c r="AB403" s="87"/>
      <c r="AC403" s="87"/>
      <c r="AD403" s="87"/>
    </row>
    <row r="404" ht="15.75" customHeight="1">
      <c r="G404" s="85"/>
      <c r="H404" s="85"/>
      <c r="I404" s="85"/>
      <c r="J404" s="85"/>
      <c r="K404" s="85"/>
      <c r="L404" s="85"/>
      <c r="M404" s="86"/>
      <c r="N404" s="86"/>
      <c r="O404" s="86"/>
      <c r="P404" s="86"/>
      <c r="Q404" s="86"/>
      <c r="R404" s="86"/>
      <c r="S404" s="85"/>
      <c r="T404" s="85"/>
      <c r="U404" s="85"/>
      <c r="V404" s="85"/>
      <c r="W404" s="85"/>
      <c r="X404" s="85"/>
      <c r="Y404" s="87"/>
      <c r="Z404" s="87"/>
      <c r="AA404" s="87"/>
      <c r="AB404" s="87"/>
      <c r="AC404" s="87"/>
      <c r="AD404" s="87"/>
    </row>
    <row r="405" ht="15.75" customHeight="1">
      <c r="G405" s="85"/>
      <c r="H405" s="85"/>
      <c r="I405" s="85"/>
      <c r="J405" s="85"/>
      <c r="K405" s="85"/>
      <c r="L405" s="85"/>
      <c r="M405" s="86"/>
      <c r="N405" s="86"/>
      <c r="O405" s="86"/>
      <c r="P405" s="86"/>
      <c r="Q405" s="86"/>
      <c r="R405" s="86"/>
      <c r="S405" s="85"/>
      <c r="T405" s="85"/>
      <c r="U405" s="85"/>
      <c r="V405" s="85"/>
      <c r="W405" s="85"/>
      <c r="X405" s="85"/>
      <c r="Y405" s="87"/>
      <c r="Z405" s="87"/>
      <c r="AA405" s="87"/>
      <c r="AB405" s="87"/>
      <c r="AC405" s="87"/>
      <c r="AD405" s="87"/>
    </row>
    <row r="406" ht="15.75" customHeight="1">
      <c r="G406" s="85"/>
      <c r="H406" s="85"/>
      <c r="I406" s="85"/>
      <c r="J406" s="85"/>
      <c r="K406" s="85"/>
      <c r="L406" s="85"/>
      <c r="M406" s="86"/>
      <c r="N406" s="86"/>
      <c r="O406" s="86"/>
      <c r="P406" s="86"/>
      <c r="Q406" s="86"/>
      <c r="R406" s="86"/>
      <c r="S406" s="85"/>
      <c r="T406" s="85"/>
      <c r="U406" s="85"/>
      <c r="V406" s="85"/>
      <c r="W406" s="85"/>
      <c r="X406" s="85"/>
      <c r="Y406" s="87"/>
      <c r="Z406" s="87"/>
      <c r="AA406" s="87"/>
      <c r="AB406" s="87"/>
      <c r="AC406" s="87"/>
      <c r="AD406" s="87"/>
    </row>
    <row r="407" ht="15.75" customHeight="1">
      <c r="G407" s="85"/>
      <c r="H407" s="85"/>
      <c r="I407" s="85"/>
      <c r="J407" s="85"/>
      <c r="K407" s="85"/>
      <c r="L407" s="85"/>
      <c r="M407" s="86"/>
      <c r="N407" s="86"/>
      <c r="O407" s="86"/>
      <c r="P407" s="86"/>
      <c r="Q407" s="86"/>
      <c r="R407" s="86"/>
      <c r="S407" s="85"/>
      <c r="T407" s="85"/>
      <c r="U407" s="85"/>
      <c r="V407" s="85"/>
      <c r="W407" s="85"/>
      <c r="X407" s="85"/>
      <c r="Y407" s="87"/>
      <c r="Z407" s="87"/>
      <c r="AA407" s="87"/>
      <c r="AB407" s="87"/>
      <c r="AC407" s="87"/>
      <c r="AD407" s="87"/>
    </row>
    <row r="408" ht="15.75" customHeight="1">
      <c r="G408" s="85"/>
      <c r="H408" s="85"/>
      <c r="I408" s="85"/>
      <c r="J408" s="85"/>
      <c r="K408" s="85"/>
      <c r="L408" s="85"/>
      <c r="M408" s="86"/>
      <c r="N408" s="86"/>
      <c r="O408" s="86"/>
      <c r="P408" s="86"/>
      <c r="Q408" s="86"/>
      <c r="R408" s="86"/>
      <c r="S408" s="85"/>
      <c r="T408" s="85"/>
      <c r="U408" s="85"/>
      <c r="V408" s="85"/>
      <c r="W408" s="85"/>
      <c r="X408" s="85"/>
      <c r="Y408" s="87"/>
      <c r="Z408" s="87"/>
      <c r="AA408" s="87"/>
      <c r="AB408" s="87"/>
      <c r="AC408" s="87"/>
      <c r="AD408" s="87"/>
    </row>
    <row r="409" ht="15.75" customHeight="1">
      <c r="G409" s="85"/>
      <c r="H409" s="85"/>
      <c r="I409" s="85"/>
      <c r="J409" s="85"/>
      <c r="K409" s="85"/>
      <c r="L409" s="85"/>
      <c r="M409" s="86"/>
      <c r="N409" s="86"/>
      <c r="O409" s="86"/>
      <c r="P409" s="86"/>
      <c r="Q409" s="86"/>
      <c r="R409" s="86"/>
      <c r="S409" s="85"/>
      <c r="T409" s="85"/>
      <c r="U409" s="85"/>
      <c r="V409" s="85"/>
      <c r="W409" s="85"/>
      <c r="X409" s="85"/>
      <c r="Y409" s="87"/>
      <c r="Z409" s="87"/>
      <c r="AA409" s="87"/>
      <c r="AB409" s="87"/>
      <c r="AC409" s="87"/>
      <c r="AD409" s="87"/>
    </row>
    <row r="410" ht="15.75" customHeight="1">
      <c r="G410" s="85"/>
      <c r="H410" s="85"/>
      <c r="I410" s="85"/>
      <c r="J410" s="85"/>
      <c r="K410" s="85"/>
      <c r="L410" s="85"/>
      <c r="M410" s="86"/>
      <c r="N410" s="86"/>
      <c r="O410" s="86"/>
      <c r="P410" s="86"/>
      <c r="Q410" s="86"/>
      <c r="R410" s="86"/>
      <c r="S410" s="85"/>
      <c r="T410" s="85"/>
      <c r="U410" s="85"/>
      <c r="V410" s="85"/>
      <c r="W410" s="85"/>
      <c r="X410" s="85"/>
      <c r="Y410" s="87"/>
      <c r="Z410" s="87"/>
      <c r="AA410" s="87"/>
      <c r="AB410" s="87"/>
      <c r="AC410" s="87"/>
      <c r="AD410" s="87"/>
    </row>
    <row r="411" ht="15.75" customHeight="1">
      <c r="G411" s="85"/>
      <c r="H411" s="85"/>
      <c r="I411" s="85"/>
      <c r="J411" s="85"/>
      <c r="K411" s="85"/>
      <c r="L411" s="85"/>
      <c r="M411" s="86"/>
      <c r="N411" s="86"/>
      <c r="O411" s="86"/>
      <c r="P411" s="86"/>
      <c r="Q411" s="86"/>
      <c r="R411" s="86"/>
      <c r="S411" s="85"/>
      <c r="T411" s="85"/>
      <c r="U411" s="85"/>
      <c r="V411" s="85"/>
      <c r="W411" s="85"/>
      <c r="X411" s="85"/>
      <c r="Y411" s="87"/>
      <c r="Z411" s="87"/>
      <c r="AA411" s="87"/>
      <c r="AB411" s="87"/>
      <c r="AC411" s="87"/>
      <c r="AD411" s="87"/>
    </row>
    <row r="412" ht="15.75" customHeight="1">
      <c r="G412" s="85"/>
      <c r="H412" s="85"/>
      <c r="I412" s="85"/>
      <c r="J412" s="85"/>
      <c r="K412" s="85"/>
      <c r="L412" s="85"/>
      <c r="M412" s="86"/>
      <c r="N412" s="86"/>
      <c r="O412" s="86"/>
      <c r="P412" s="86"/>
      <c r="Q412" s="86"/>
      <c r="R412" s="86"/>
      <c r="S412" s="85"/>
      <c r="T412" s="85"/>
      <c r="U412" s="85"/>
      <c r="V412" s="85"/>
      <c r="W412" s="85"/>
      <c r="X412" s="85"/>
      <c r="Y412" s="87"/>
      <c r="Z412" s="87"/>
      <c r="AA412" s="87"/>
      <c r="AB412" s="87"/>
      <c r="AC412" s="87"/>
      <c r="AD412" s="87"/>
    </row>
    <row r="413" ht="15.75" customHeight="1">
      <c r="G413" s="85"/>
      <c r="H413" s="85"/>
      <c r="I413" s="85"/>
      <c r="J413" s="85"/>
      <c r="K413" s="85"/>
      <c r="L413" s="85"/>
      <c r="M413" s="86"/>
      <c r="N413" s="86"/>
      <c r="O413" s="86"/>
      <c r="P413" s="86"/>
      <c r="Q413" s="86"/>
      <c r="R413" s="86"/>
      <c r="S413" s="85"/>
      <c r="T413" s="85"/>
      <c r="U413" s="85"/>
      <c r="V413" s="85"/>
      <c r="W413" s="85"/>
      <c r="X413" s="85"/>
      <c r="Y413" s="87"/>
      <c r="Z413" s="87"/>
      <c r="AA413" s="87"/>
      <c r="AB413" s="87"/>
      <c r="AC413" s="87"/>
      <c r="AD413" s="87"/>
    </row>
    <row r="414" ht="15.75" customHeight="1">
      <c r="G414" s="85"/>
      <c r="H414" s="85"/>
      <c r="I414" s="85"/>
      <c r="J414" s="85"/>
      <c r="K414" s="85"/>
      <c r="L414" s="85"/>
      <c r="M414" s="86"/>
      <c r="N414" s="86"/>
      <c r="O414" s="86"/>
      <c r="P414" s="86"/>
      <c r="Q414" s="86"/>
      <c r="R414" s="86"/>
      <c r="S414" s="85"/>
      <c r="T414" s="85"/>
      <c r="U414" s="85"/>
      <c r="V414" s="85"/>
      <c r="W414" s="85"/>
      <c r="X414" s="85"/>
      <c r="Y414" s="87"/>
      <c r="Z414" s="87"/>
      <c r="AA414" s="87"/>
      <c r="AB414" s="87"/>
      <c r="AC414" s="87"/>
      <c r="AD414" s="87"/>
    </row>
    <row r="415" ht="15.75" customHeight="1">
      <c r="G415" s="85"/>
      <c r="H415" s="85"/>
      <c r="I415" s="85"/>
      <c r="J415" s="85"/>
      <c r="K415" s="85"/>
      <c r="L415" s="85"/>
      <c r="M415" s="86"/>
      <c r="N415" s="86"/>
      <c r="O415" s="86"/>
      <c r="P415" s="86"/>
      <c r="Q415" s="86"/>
      <c r="R415" s="86"/>
      <c r="S415" s="85"/>
      <c r="T415" s="85"/>
      <c r="U415" s="85"/>
      <c r="V415" s="85"/>
      <c r="W415" s="85"/>
      <c r="X415" s="85"/>
      <c r="Y415" s="87"/>
      <c r="Z415" s="87"/>
      <c r="AA415" s="87"/>
      <c r="AB415" s="87"/>
      <c r="AC415" s="87"/>
      <c r="AD415" s="87"/>
    </row>
    <row r="416" ht="15.75" customHeight="1">
      <c r="G416" s="85"/>
      <c r="H416" s="85"/>
      <c r="I416" s="85"/>
      <c r="J416" s="85"/>
      <c r="K416" s="85"/>
      <c r="L416" s="85"/>
      <c r="M416" s="86"/>
      <c r="N416" s="86"/>
      <c r="O416" s="86"/>
      <c r="P416" s="86"/>
      <c r="Q416" s="86"/>
      <c r="R416" s="86"/>
      <c r="S416" s="85"/>
      <c r="T416" s="85"/>
      <c r="U416" s="85"/>
      <c r="V416" s="85"/>
      <c r="W416" s="85"/>
      <c r="X416" s="85"/>
      <c r="Y416" s="87"/>
      <c r="Z416" s="87"/>
      <c r="AA416" s="87"/>
      <c r="AB416" s="87"/>
      <c r="AC416" s="87"/>
      <c r="AD416" s="87"/>
    </row>
    <row r="417" ht="15.75" customHeight="1">
      <c r="G417" s="85"/>
      <c r="H417" s="85"/>
      <c r="I417" s="85"/>
      <c r="J417" s="85"/>
      <c r="K417" s="85"/>
      <c r="L417" s="85"/>
      <c r="M417" s="86"/>
      <c r="N417" s="86"/>
      <c r="O417" s="86"/>
      <c r="P417" s="86"/>
      <c r="Q417" s="86"/>
      <c r="R417" s="86"/>
      <c r="S417" s="85"/>
      <c r="T417" s="85"/>
      <c r="U417" s="85"/>
      <c r="V417" s="85"/>
      <c r="W417" s="85"/>
      <c r="X417" s="85"/>
      <c r="Y417" s="87"/>
      <c r="Z417" s="87"/>
      <c r="AA417" s="87"/>
      <c r="AB417" s="87"/>
      <c r="AC417" s="87"/>
      <c r="AD417" s="87"/>
    </row>
    <row r="418" ht="15.75" customHeight="1">
      <c r="G418" s="85"/>
      <c r="H418" s="85"/>
      <c r="I418" s="85"/>
      <c r="J418" s="85"/>
      <c r="K418" s="85"/>
      <c r="L418" s="85"/>
      <c r="M418" s="86"/>
      <c r="N418" s="86"/>
      <c r="O418" s="86"/>
      <c r="P418" s="86"/>
      <c r="Q418" s="86"/>
      <c r="R418" s="86"/>
      <c r="S418" s="85"/>
      <c r="T418" s="85"/>
      <c r="U418" s="85"/>
      <c r="V418" s="85"/>
      <c r="W418" s="85"/>
      <c r="X418" s="85"/>
      <c r="Y418" s="87"/>
      <c r="Z418" s="87"/>
      <c r="AA418" s="87"/>
      <c r="AB418" s="87"/>
      <c r="AC418" s="87"/>
      <c r="AD418" s="87"/>
    </row>
    <row r="419" ht="15.75" customHeight="1">
      <c r="G419" s="85"/>
      <c r="H419" s="85"/>
      <c r="I419" s="85"/>
      <c r="J419" s="85"/>
      <c r="K419" s="85"/>
      <c r="L419" s="85"/>
      <c r="M419" s="86"/>
      <c r="N419" s="86"/>
      <c r="O419" s="86"/>
      <c r="P419" s="86"/>
      <c r="Q419" s="86"/>
      <c r="R419" s="86"/>
      <c r="S419" s="85"/>
      <c r="T419" s="85"/>
      <c r="U419" s="85"/>
      <c r="V419" s="85"/>
      <c r="W419" s="85"/>
      <c r="X419" s="85"/>
      <c r="Y419" s="87"/>
      <c r="Z419" s="87"/>
      <c r="AA419" s="87"/>
      <c r="AB419" s="87"/>
      <c r="AC419" s="87"/>
      <c r="AD419" s="87"/>
    </row>
    <row r="420" ht="15.75" customHeight="1">
      <c r="G420" s="85"/>
      <c r="H420" s="85"/>
      <c r="I420" s="85"/>
      <c r="J420" s="85"/>
      <c r="K420" s="85"/>
      <c r="L420" s="85"/>
      <c r="M420" s="86"/>
      <c r="N420" s="86"/>
      <c r="O420" s="86"/>
      <c r="P420" s="86"/>
      <c r="Q420" s="86"/>
      <c r="R420" s="86"/>
      <c r="S420" s="85"/>
      <c r="T420" s="85"/>
      <c r="U420" s="85"/>
      <c r="V420" s="85"/>
      <c r="W420" s="85"/>
      <c r="X420" s="85"/>
      <c r="Y420" s="87"/>
      <c r="Z420" s="87"/>
      <c r="AA420" s="87"/>
      <c r="AB420" s="87"/>
      <c r="AC420" s="87"/>
      <c r="AD420" s="87"/>
    </row>
    <row r="421" ht="15.75" customHeight="1">
      <c r="G421" s="85"/>
      <c r="H421" s="85"/>
      <c r="I421" s="85"/>
      <c r="J421" s="85"/>
      <c r="K421" s="85"/>
      <c r="L421" s="85"/>
      <c r="M421" s="86"/>
      <c r="N421" s="86"/>
      <c r="O421" s="86"/>
      <c r="P421" s="86"/>
      <c r="Q421" s="86"/>
      <c r="R421" s="86"/>
      <c r="S421" s="85"/>
      <c r="T421" s="85"/>
      <c r="U421" s="85"/>
      <c r="V421" s="85"/>
      <c r="W421" s="85"/>
      <c r="X421" s="85"/>
      <c r="Y421" s="87"/>
      <c r="Z421" s="87"/>
      <c r="AA421" s="87"/>
      <c r="AB421" s="87"/>
      <c r="AC421" s="87"/>
      <c r="AD421" s="87"/>
    </row>
    <row r="422" ht="15.75" customHeight="1">
      <c r="G422" s="85"/>
      <c r="H422" s="85"/>
      <c r="I422" s="85"/>
      <c r="J422" s="85"/>
      <c r="K422" s="85"/>
      <c r="L422" s="85"/>
      <c r="M422" s="86"/>
      <c r="N422" s="86"/>
      <c r="O422" s="86"/>
      <c r="P422" s="86"/>
      <c r="Q422" s="86"/>
      <c r="R422" s="86"/>
      <c r="S422" s="85"/>
      <c r="T422" s="85"/>
      <c r="U422" s="85"/>
      <c r="V422" s="85"/>
      <c r="W422" s="85"/>
      <c r="X422" s="85"/>
      <c r="Y422" s="87"/>
      <c r="Z422" s="87"/>
      <c r="AA422" s="87"/>
      <c r="AB422" s="87"/>
      <c r="AC422" s="87"/>
      <c r="AD422" s="87"/>
    </row>
    <row r="423" ht="15.75" customHeight="1">
      <c r="G423" s="85"/>
      <c r="H423" s="85"/>
      <c r="I423" s="85"/>
      <c r="J423" s="85"/>
      <c r="K423" s="85"/>
      <c r="L423" s="85"/>
      <c r="M423" s="86"/>
      <c r="N423" s="86"/>
      <c r="O423" s="86"/>
      <c r="P423" s="86"/>
      <c r="Q423" s="86"/>
      <c r="R423" s="86"/>
      <c r="S423" s="85"/>
      <c r="T423" s="85"/>
      <c r="U423" s="85"/>
      <c r="V423" s="85"/>
      <c r="W423" s="85"/>
      <c r="X423" s="85"/>
      <c r="Y423" s="87"/>
      <c r="Z423" s="87"/>
      <c r="AA423" s="87"/>
      <c r="AB423" s="87"/>
      <c r="AC423" s="87"/>
      <c r="AD423" s="87"/>
    </row>
    <row r="424" ht="15.75" customHeight="1">
      <c r="G424" s="85"/>
      <c r="H424" s="85"/>
      <c r="I424" s="85"/>
      <c r="J424" s="85"/>
      <c r="K424" s="85"/>
      <c r="L424" s="85"/>
      <c r="M424" s="86"/>
      <c r="N424" s="86"/>
      <c r="O424" s="86"/>
      <c r="P424" s="86"/>
      <c r="Q424" s="86"/>
      <c r="R424" s="86"/>
      <c r="S424" s="85"/>
      <c r="T424" s="85"/>
      <c r="U424" s="85"/>
      <c r="V424" s="85"/>
      <c r="W424" s="85"/>
      <c r="X424" s="85"/>
      <c r="Y424" s="87"/>
      <c r="Z424" s="87"/>
      <c r="AA424" s="87"/>
      <c r="AB424" s="87"/>
      <c r="AC424" s="87"/>
      <c r="AD424" s="87"/>
    </row>
    <row r="425" ht="15.75" customHeight="1">
      <c r="G425" s="85"/>
      <c r="H425" s="85"/>
      <c r="I425" s="85"/>
      <c r="J425" s="85"/>
      <c r="K425" s="85"/>
      <c r="L425" s="85"/>
      <c r="M425" s="86"/>
      <c r="N425" s="86"/>
      <c r="O425" s="86"/>
      <c r="P425" s="86"/>
      <c r="Q425" s="86"/>
      <c r="R425" s="86"/>
      <c r="S425" s="85"/>
      <c r="T425" s="85"/>
      <c r="U425" s="85"/>
      <c r="V425" s="85"/>
      <c r="W425" s="85"/>
      <c r="X425" s="85"/>
      <c r="Y425" s="87"/>
      <c r="Z425" s="87"/>
      <c r="AA425" s="87"/>
      <c r="AB425" s="87"/>
      <c r="AC425" s="87"/>
      <c r="AD425" s="87"/>
    </row>
    <row r="426" ht="15.75" customHeight="1">
      <c r="G426" s="85"/>
      <c r="H426" s="85"/>
      <c r="I426" s="85"/>
      <c r="J426" s="85"/>
      <c r="K426" s="85"/>
      <c r="L426" s="85"/>
      <c r="M426" s="86"/>
      <c r="N426" s="86"/>
      <c r="O426" s="86"/>
      <c r="P426" s="86"/>
      <c r="Q426" s="86"/>
      <c r="R426" s="86"/>
      <c r="S426" s="85"/>
      <c r="T426" s="85"/>
      <c r="U426" s="85"/>
      <c r="V426" s="85"/>
      <c r="W426" s="85"/>
      <c r="X426" s="85"/>
      <c r="Y426" s="87"/>
      <c r="Z426" s="87"/>
      <c r="AA426" s="87"/>
      <c r="AB426" s="87"/>
      <c r="AC426" s="87"/>
      <c r="AD426" s="87"/>
    </row>
    <row r="427" ht="15.75" customHeight="1">
      <c r="G427" s="85"/>
      <c r="H427" s="85"/>
      <c r="I427" s="85"/>
      <c r="J427" s="85"/>
      <c r="K427" s="85"/>
      <c r="L427" s="85"/>
      <c r="M427" s="86"/>
      <c r="N427" s="86"/>
      <c r="O427" s="86"/>
      <c r="P427" s="86"/>
      <c r="Q427" s="86"/>
      <c r="R427" s="86"/>
      <c r="S427" s="85"/>
      <c r="T427" s="85"/>
      <c r="U427" s="85"/>
      <c r="V427" s="85"/>
      <c r="W427" s="85"/>
      <c r="X427" s="85"/>
      <c r="Y427" s="87"/>
      <c r="Z427" s="87"/>
      <c r="AA427" s="87"/>
      <c r="AB427" s="87"/>
      <c r="AC427" s="87"/>
      <c r="AD427" s="87"/>
    </row>
    <row r="428" ht="15.75" customHeight="1">
      <c r="G428" s="85"/>
      <c r="H428" s="85"/>
      <c r="I428" s="85"/>
      <c r="J428" s="85"/>
      <c r="K428" s="85"/>
      <c r="L428" s="85"/>
      <c r="M428" s="86"/>
      <c r="N428" s="86"/>
      <c r="O428" s="86"/>
      <c r="P428" s="86"/>
      <c r="Q428" s="86"/>
      <c r="R428" s="86"/>
      <c r="S428" s="85"/>
      <c r="T428" s="85"/>
      <c r="U428" s="85"/>
      <c r="V428" s="85"/>
      <c r="W428" s="85"/>
      <c r="X428" s="85"/>
      <c r="Y428" s="87"/>
      <c r="Z428" s="87"/>
      <c r="AA428" s="87"/>
      <c r="AB428" s="87"/>
      <c r="AC428" s="87"/>
      <c r="AD428" s="87"/>
    </row>
    <row r="429" ht="15.75" customHeight="1">
      <c r="G429" s="85"/>
      <c r="H429" s="85"/>
      <c r="I429" s="85"/>
      <c r="J429" s="85"/>
      <c r="K429" s="85"/>
      <c r="L429" s="85"/>
      <c r="M429" s="86"/>
      <c r="N429" s="86"/>
      <c r="O429" s="86"/>
      <c r="P429" s="86"/>
      <c r="Q429" s="86"/>
      <c r="R429" s="86"/>
      <c r="S429" s="85"/>
      <c r="T429" s="85"/>
      <c r="U429" s="85"/>
      <c r="V429" s="85"/>
      <c r="W429" s="85"/>
      <c r="X429" s="85"/>
      <c r="Y429" s="87"/>
      <c r="Z429" s="87"/>
      <c r="AA429" s="87"/>
      <c r="AB429" s="87"/>
      <c r="AC429" s="87"/>
      <c r="AD429" s="87"/>
    </row>
    <row r="430" ht="15.75" customHeight="1">
      <c r="G430" s="85"/>
      <c r="H430" s="85"/>
      <c r="I430" s="85"/>
      <c r="J430" s="85"/>
      <c r="K430" s="85"/>
      <c r="L430" s="85"/>
      <c r="M430" s="86"/>
      <c r="N430" s="86"/>
      <c r="O430" s="86"/>
      <c r="P430" s="86"/>
      <c r="Q430" s="86"/>
      <c r="R430" s="86"/>
      <c r="S430" s="85"/>
      <c r="T430" s="85"/>
      <c r="U430" s="85"/>
      <c r="V430" s="85"/>
      <c r="W430" s="85"/>
      <c r="X430" s="85"/>
      <c r="Y430" s="87"/>
      <c r="Z430" s="87"/>
      <c r="AA430" s="87"/>
      <c r="AB430" s="87"/>
      <c r="AC430" s="87"/>
      <c r="AD430" s="87"/>
    </row>
    <row r="431" ht="15.75" customHeight="1">
      <c r="G431" s="85"/>
      <c r="H431" s="85"/>
      <c r="I431" s="85"/>
      <c r="J431" s="85"/>
      <c r="K431" s="85"/>
      <c r="L431" s="85"/>
      <c r="M431" s="86"/>
      <c r="N431" s="86"/>
      <c r="O431" s="86"/>
      <c r="P431" s="86"/>
      <c r="Q431" s="86"/>
      <c r="R431" s="86"/>
      <c r="S431" s="85"/>
      <c r="T431" s="85"/>
      <c r="U431" s="85"/>
      <c r="V431" s="85"/>
      <c r="W431" s="85"/>
      <c r="X431" s="85"/>
      <c r="Y431" s="87"/>
      <c r="Z431" s="87"/>
      <c r="AA431" s="87"/>
      <c r="AB431" s="87"/>
      <c r="AC431" s="87"/>
      <c r="AD431" s="87"/>
    </row>
    <row r="432" ht="15.75" customHeight="1">
      <c r="G432" s="85"/>
      <c r="H432" s="85"/>
      <c r="I432" s="85"/>
      <c r="J432" s="85"/>
      <c r="K432" s="85"/>
      <c r="L432" s="85"/>
      <c r="M432" s="86"/>
      <c r="N432" s="86"/>
      <c r="O432" s="86"/>
      <c r="P432" s="86"/>
      <c r="Q432" s="86"/>
      <c r="R432" s="86"/>
      <c r="S432" s="85"/>
      <c r="T432" s="85"/>
      <c r="U432" s="85"/>
      <c r="V432" s="85"/>
      <c r="W432" s="85"/>
      <c r="X432" s="85"/>
      <c r="Y432" s="87"/>
      <c r="Z432" s="87"/>
      <c r="AA432" s="87"/>
      <c r="AB432" s="87"/>
      <c r="AC432" s="87"/>
      <c r="AD432" s="87"/>
    </row>
    <row r="433" ht="15.75" customHeight="1">
      <c r="G433" s="85"/>
      <c r="H433" s="85"/>
      <c r="I433" s="85"/>
      <c r="J433" s="85"/>
      <c r="K433" s="85"/>
      <c r="L433" s="85"/>
      <c r="M433" s="86"/>
      <c r="N433" s="86"/>
      <c r="O433" s="86"/>
      <c r="P433" s="86"/>
      <c r="Q433" s="86"/>
      <c r="R433" s="86"/>
      <c r="S433" s="85"/>
      <c r="T433" s="85"/>
      <c r="U433" s="85"/>
      <c r="V433" s="85"/>
      <c r="W433" s="85"/>
      <c r="X433" s="85"/>
      <c r="Y433" s="87"/>
      <c r="Z433" s="87"/>
      <c r="AA433" s="87"/>
      <c r="AB433" s="87"/>
      <c r="AC433" s="87"/>
      <c r="AD433" s="87"/>
    </row>
    <row r="434" ht="15.75" customHeight="1">
      <c r="G434" s="85"/>
      <c r="H434" s="85"/>
      <c r="I434" s="85"/>
      <c r="J434" s="85"/>
      <c r="K434" s="85"/>
      <c r="L434" s="85"/>
      <c r="M434" s="86"/>
      <c r="N434" s="86"/>
      <c r="O434" s="86"/>
      <c r="P434" s="86"/>
      <c r="Q434" s="86"/>
      <c r="R434" s="86"/>
      <c r="S434" s="85"/>
      <c r="T434" s="85"/>
      <c r="U434" s="85"/>
      <c r="V434" s="85"/>
      <c r="W434" s="85"/>
      <c r="X434" s="85"/>
      <c r="Y434" s="87"/>
      <c r="Z434" s="87"/>
      <c r="AA434" s="87"/>
      <c r="AB434" s="87"/>
      <c r="AC434" s="87"/>
      <c r="AD434" s="87"/>
    </row>
    <row r="435" ht="15.75" customHeight="1">
      <c r="G435" s="85"/>
      <c r="H435" s="85"/>
      <c r="I435" s="85"/>
      <c r="J435" s="85"/>
      <c r="K435" s="85"/>
      <c r="L435" s="85"/>
      <c r="M435" s="86"/>
      <c r="N435" s="86"/>
      <c r="O435" s="86"/>
      <c r="P435" s="86"/>
      <c r="Q435" s="86"/>
      <c r="R435" s="86"/>
      <c r="S435" s="85"/>
      <c r="T435" s="85"/>
      <c r="U435" s="85"/>
      <c r="V435" s="85"/>
      <c r="W435" s="85"/>
      <c r="X435" s="85"/>
      <c r="Y435" s="87"/>
      <c r="Z435" s="87"/>
      <c r="AA435" s="87"/>
      <c r="AB435" s="87"/>
      <c r="AC435" s="87"/>
      <c r="AD435" s="87"/>
    </row>
    <row r="436" ht="15.75" customHeight="1">
      <c r="G436" s="85"/>
      <c r="H436" s="85"/>
      <c r="I436" s="85"/>
      <c r="J436" s="85"/>
      <c r="K436" s="85"/>
      <c r="L436" s="85"/>
      <c r="M436" s="86"/>
      <c r="N436" s="86"/>
      <c r="O436" s="86"/>
      <c r="P436" s="86"/>
      <c r="Q436" s="86"/>
      <c r="R436" s="86"/>
      <c r="S436" s="85"/>
      <c r="T436" s="85"/>
      <c r="U436" s="85"/>
      <c r="V436" s="85"/>
      <c r="W436" s="85"/>
      <c r="X436" s="85"/>
      <c r="Y436" s="87"/>
      <c r="Z436" s="87"/>
      <c r="AA436" s="87"/>
      <c r="AB436" s="87"/>
      <c r="AC436" s="87"/>
      <c r="AD436" s="87"/>
    </row>
    <row r="437" ht="15.75" customHeight="1">
      <c r="G437" s="85"/>
      <c r="H437" s="85"/>
      <c r="I437" s="85"/>
      <c r="J437" s="85"/>
      <c r="K437" s="85"/>
      <c r="L437" s="85"/>
      <c r="M437" s="86"/>
      <c r="N437" s="86"/>
      <c r="O437" s="86"/>
      <c r="P437" s="86"/>
      <c r="Q437" s="86"/>
      <c r="R437" s="86"/>
      <c r="S437" s="85"/>
      <c r="T437" s="85"/>
      <c r="U437" s="85"/>
      <c r="V437" s="85"/>
      <c r="W437" s="85"/>
      <c r="X437" s="85"/>
      <c r="Y437" s="87"/>
      <c r="Z437" s="87"/>
      <c r="AA437" s="87"/>
      <c r="AB437" s="87"/>
      <c r="AC437" s="87"/>
      <c r="AD437" s="87"/>
    </row>
    <row r="438" ht="15.75" customHeight="1">
      <c r="G438" s="85"/>
      <c r="H438" s="85"/>
      <c r="I438" s="85"/>
      <c r="J438" s="85"/>
      <c r="K438" s="85"/>
      <c r="L438" s="85"/>
      <c r="M438" s="86"/>
      <c r="N438" s="86"/>
      <c r="O438" s="86"/>
      <c r="P438" s="86"/>
      <c r="Q438" s="86"/>
      <c r="R438" s="86"/>
      <c r="S438" s="85"/>
      <c r="T438" s="85"/>
      <c r="U438" s="85"/>
      <c r="V438" s="85"/>
      <c r="W438" s="85"/>
      <c r="X438" s="85"/>
      <c r="Y438" s="87"/>
      <c r="Z438" s="87"/>
      <c r="AA438" s="87"/>
      <c r="AB438" s="87"/>
      <c r="AC438" s="87"/>
      <c r="AD438" s="87"/>
    </row>
    <row r="439" ht="15.75" customHeight="1">
      <c r="G439" s="85"/>
      <c r="H439" s="85"/>
      <c r="I439" s="85"/>
      <c r="J439" s="85"/>
      <c r="K439" s="85"/>
      <c r="L439" s="85"/>
      <c r="M439" s="86"/>
      <c r="N439" s="86"/>
      <c r="O439" s="86"/>
      <c r="P439" s="86"/>
      <c r="Q439" s="86"/>
      <c r="R439" s="86"/>
      <c r="S439" s="85"/>
      <c r="T439" s="85"/>
      <c r="U439" s="85"/>
      <c r="V439" s="85"/>
      <c r="W439" s="85"/>
      <c r="X439" s="85"/>
      <c r="Y439" s="87"/>
      <c r="Z439" s="87"/>
      <c r="AA439" s="87"/>
      <c r="AB439" s="87"/>
      <c r="AC439" s="87"/>
      <c r="AD439" s="87"/>
    </row>
    <row r="440" ht="15.75" customHeight="1">
      <c r="G440" s="85"/>
      <c r="H440" s="85"/>
      <c r="I440" s="85"/>
      <c r="J440" s="85"/>
      <c r="K440" s="85"/>
      <c r="L440" s="85"/>
      <c r="M440" s="86"/>
      <c r="N440" s="86"/>
      <c r="O440" s="86"/>
      <c r="P440" s="86"/>
      <c r="Q440" s="86"/>
      <c r="R440" s="86"/>
      <c r="S440" s="85"/>
      <c r="T440" s="85"/>
      <c r="U440" s="85"/>
      <c r="V440" s="85"/>
      <c r="W440" s="85"/>
      <c r="X440" s="85"/>
      <c r="Y440" s="87"/>
      <c r="Z440" s="87"/>
      <c r="AA440" s="87"/>
      <c r="AB440" s="87"/>
      <c r="AC440" s="87"/>
      <c r="AD440" s="87"/>
    </row>
    <row r="441" ht="15.75" customHeight="1">
      <c r="G441" s="85"/>
      <c r="H441" s="85"/>
      <c r="I441" s="85"/>
      <c r="J441" s="85"/>
      <c r="K441" s="85"/>
      <c r="L441" s="85"/>
      <c r="M441" s="86"/>
      <c r="N441" s="86"/>
      <c r="O441" s="86"/>
      <c r="P441" s="86"/>
      <c r="Q441" s="86"/>
      <c r="R441" s="86"/>
      <c r="S441" s="85"/>
      <c r="T441" s="85"/>
      <c r="U441" s="85"/>
      <c r="V441" s="85"/>
      <c r="W441" s="85"/>
      <c r="X441" s="85"/>
      <c r="Y441" s="87"/>
      <c r="Z441" s="87"/>
      <c r="AA441" s="87"/>
      <c r="AB441" s="87"/>
      <c r="AC441" s="87"/>
      <c r="AD441" s="87"/>
    </row>
    <row r="442" ht="15.75" customHeight="1">
      <c r="G442" s="85"/>
      <c r="H442" s="85"/>
      <c r="I442" s="85"/>
      <c r="J442" s="85"/>
      <c r="K442" s="85"/>
      <c r="L442" s="85"/>
      <c r="M442" s="86"/>
      <c r="N442" s="86"/>
      <c r="O442" s="86"/>
      <c r="P442" s="86"/>
      <c r="Q442" s="86"/>
      <c r="R442" s="86"/>
      <c r="S442" s="85"/>
      <c r="T442" s="85"/>
      <c r="U442" s="85"/>
      <c r="V442" s="85"/>
      <c r="W442" s="85"/>
      <c r="X442" s="85"/>
      <c r="Y442" s="87"/>
      <c r="Z442" s="87"/>
      <c r="AA442" s="87"/>
      <c r="AB442" s="87"/>
      <c r="AC442" s="87"/>
      <c r="AD442" s="87"/>
    </row>
    <row r="443" ht="15.75" customHeight="1">
      <c r="G443" s="85"/>
      <c r="H443" s="85"/>
      <c r="I443" s="85"/>
      <c r="J443" s="85"/>
      <c r="K443" s="85"/>
      <c r="L443" s="85"/>
      <c r="M443" s="86"/>
      <c r="N443" s="86"/>
      <c r="O443" s="86"/>
      <c r="P443" s="86"/>
      <c r="Q443" s="86"/>
      <c r="R443" s="86"/>
      <c r="S443" s="85"/>
      <c r="T443" s="85"/>
      <c r="U443" s="85"/>
      <c r="V443" s="85"/>
      <c r="W443" s="85"/>
      <c r="X443" s="85"/>
      <c r="Y443" s="87"/>
      <c r="Z443" s="87"/>
      <c r="AA443" s="87"/>
      <c r="AB443" s="87"/>
      <c r="AC443" s="87"/>
      <c r="AD443" s="87"/>
    </row>
    <row r="444" ht="15.75" customHeight="1">
      <c r="G444" s="85"/>
      <c r="H444" s="85"/>
      <c r="I444" s="85"/>
      <c r="J444" s="85"/>
      <c r="K444" s="85"/>
      <c r="L444" s="85"/>
      <c r="M444" s="86"/>
      <c r="N444" s="86"/>
      <c r="O444" s="86"/>
      <c r="P444" s="86"/>
      <c r="Q444" s="86"/>
      <c r="R444" s="86"/>
      <c r="S444" s="85"/>
      <c r="T444" s="85"/>
      <c r="U444" s="85"/>
      <c r="V444" s="85"/>
      <c r="W444" s="85"/>
      <c r="X444" s="85"/>
      <c r="Y444" s="87"/>
      <c r="Z444" s="87"/>
      <c r="AA444" s="87"/>
      <c r="AB444" s="87"/>
      <c r="AC444" s="87"/>
      <c r="AD444" s="87"/>
    </row>
    <row r="445" ht="15.75" customHeight="1">
      <c r="G445" s="85"/>
      <c r="H445" s="85"/>
      <c r="I445" s="85"/>
      <c r="J445" s="85"/>
      <c r="K445" s="85"/>
      <c r="L445" s="85"/>
      <c r="M445" s="86"/>
      <c r="N445" s="86"/>
      <c r="O445" s="86"/>
      <c r="P445" s="86"/>
      <c r="Q445" s="86"/>
      <c r="R445" s="86"/>
      <c r="S445" s="85"/>
      <c r="T445" s="85"/>
      <c r="U445" s="85"/>
      <c r="V445" s="85"/>
      <c r="W445" s="85"/>
      <c r="X445" s="85"/>
      <c r="Y445" s="87"/>
      <c r="Z445" s="87"/>
      <c r="AA445" s="87"/>
      <c r="AB445" s="87"/>
      <c r="AC445" s="87"/>
      <c r="AD445" s="87"/>
    </row>
    <row r="446" ht="15.75" customHeight="1">
      <c r="G446" s="85"/>
      <c r="H446" s="85"/>
      <c r="I446" s="85"/>
      <c r="J446" s="85"/>
      <c r="K446" s="85"/>
      <c r="L446" s="85"/>
      <c r="M446" s="86"/>
      <c r="N446" s="86"/>
      <c r="O446" s="86"/>
      <c r="P446" s="86"/>
      <c r="Q446" s="86"/>
      <c r="R446" s="86"/>
      <c r="S446" s="85"/>
      <c r="T446" s="85"/>
      <c r="U446" s="85"/>
      <c r="V446" s="85"/>
      <c r="W446" s="85"/>
      <c r="X446" s="85"/>
      <c r="Y446" s="87"/>
      <c r="Z446" s="87"/>
      <c r="AA446" s="87"/>
      <c r="AB446" s="87"/>
      <c r="AC446" s="87"/>
      <c r="AD446" s="87"/>
    </row>
    <row r="447" ht="15.75" customHeight="1">
      <c r="G447" s="85"/>
      <c r="H447" s="85"/>
      <c r="I447" s="85"/>
      <c r="J447" s="85"/>
      <c r="K447" s="85"/>
      <c r="L447" s="85"/>
      <c r="M447" s="86"/>
      <c r="N447" s="86"/>
      <c r="O447" s="86"/>
      <c r="P447" s="86"/>
      <c r="Q447" s="86"/>
      <c r="R447" s="86"/>
      <c r="S447" s="85"/>
      <c r="T447" s="85"/>
      <c r="U447" s="85"/>
      <c r="V447" s="85"/>
      <c r="W447" s="85"/>
      <c r="X447" s="85"/>
      <c r="Y447" s="87"/>
      <c r="Z447" s="87"/>
      <c r="AA447" s="87"/>
      <c r="AB447" s="87"/>
      <c r="AC447" s="87"/>
      <c r="AD447" s="87"/>
    </row>
    <row r="448" ht="15.75" customHeight="1">
      <c r="G448" s="85"/>
      <c r="H448" s="85"/>
      <c r="I448" s="85"/>
      <c r="J448" s="85"/>
      <c r="K448" s="85"/>
      <c r="L448" s="85"/>
      <c r="M448" s="86"/>
      <c r="N448" s="86"/>
      <c r="O448" s="86"/>
      <c r="P448" s="86"/>
      <c r="Q448" s="86"/>
      <c r="R448" s="86"/>
      <c r="S448" s="85"/>
      <c r="T448" s="85"/>
      <c r="U448" s="85"/>
      <c r="V448" s="85"/>
      <c r="W448" s="85"/>
      <c r="X448" s="85"/>
      <c r="Y448" s="87"/>
      <c r="Z448" s="87"/>
      <c r="AA448" s="87"/>
      <c r="AB448" s="87"/>
      <c r="AC448" s="87"/>
      <c r="AD448" s="87"/>
    </row>
    <row r="449" ht="15.75" customHeight="1">
      <c r="G449" s="85"/>
      <c r="H449" s="85"/>
      <c r="I449" s="85"/>
      <c r="J449" s="85"/>
      <c r="K449" s="85"/>
      <c r="L449" s="85"/>
      <c r="M449" s="86"/>
      <c r="N449" s="86"/>
      <c r="O449" s="86"/>
      <c r="P449" s="86"/>
      <c r="Q449" s="86"/>
      <c r="R449" s="86"/>
      <c r="S449" s="85"/>
      <c r="T449" s="85"/>
      <c r="U449" s="85"/>
      <c r="V449" s="85"/>
      <c r="W449" s="85"/>
      <c r="X449" s="85"/>
      <c r="Y449" s="87"/>
      <c r="Z449" s="87"/>
      <c r="AA449" s="87"/>
      <c r="AB449" s="87"/>
      <c r="AC449" s="87"/>
      <c r="AD449" s="87"/>
    </row>
    <row r="450" ht="15.75" customHeight="1">
      <c r="G450" s="85"/>
      <c r="H450" s="85"/>
      <c r="I450" s="85"/>
      <c r="J450" s="85"/>
      <c r="K450" s="85"/>
      <c r="L450" s="85"/>
      <c r="M450" s="86"/>
      <c r="N450" s="86"/>
      <c r="O450" s="86"/>
      <c r="P450" s="86"/>
      <c r="Q450" s="86"/>
      <c r="R450" s="86"/>
      <c r="S450" s="85"/>
      <c r="T450" s="85"/>
      <c r="U450" s="85"/>
      <c r="V450" s="85"/>
      <c r="W450" s="85"/>
      <c r="X450" s="85"/>
      <c r="Y450" s="87"/>
      <c r="Z450" s="87"/>
      <c r="AA450" s="87"/>
      <c r="AB450" s="87"/>
      <c r="AC450" s="87"/>
      <c r="AD450" s="87"/>
    </row>
    <row r="451" ht="15.75" customHeight="1">
      <c r="G451" s="85"/>
      <c r="H451" s="85"/>
      <c r="I451" s="85"/>
      <c r="J451" s="85"/>
      <c r="K451" s="85"/>
      <c r="L451" s="85"/>
      <c r="M451" s="86"/>
      <c r="N451" s="86"/>
      <c r="O451" s="86"/>
      <c r="P451" s="86"/>
      <c r="Q451" s="86"/>
      <c r="R451" s="86"/>
      <c r="S451" s="85"/>
      <c r="T451" s="85"/>
      <c r="U451" s="85"/>
      <c r="V451" s="85"/>
      <c r="W451" s="85"/>
      <c r="X451" s="85"/>
      <c r="Y451" s="87"/>
      <c r="Z451" s="87"/>
      <c r="AA451" s="87"/>
      <c r="AB451" s="87"/>
      <c r="AC451" s="87"/>
      <c r="AD451" s="87"/>
    </row>
    <row r="452" ht="15.75" customHeight="1">
      <c r="G452" s="85"/>
      <c r="H452" s="85"/>
      <c r="I452" s="85"/>
      <c r="J452" s="85"/>
      <c r="K452" s="85"/>
      <c r="L452" s="85"/>
      <c r="M452" s="86"/>
      <c r="N452" s="86"/>
      <c r="O452" s="86"/>
      <c r="P452" s="86"/>
      <c r="Q452" s="86"/>
      <c r="R452" s="86"/>
      <c r="S452" s="85"/>
      <c r="T452" s="85"/>
      <c r="U452" s="85"/>
      <c r="V452" s="85"/>
      <c r="W452" s="85"/>
      <c r="X452" s="85"/>
      <c r="Y452" s="87"/>
      <c r="Z452" s="87"/>
      <c r="AA452" s="87"/>
      <c r="AB452" s="87"/>
      <c r="AC452" s="87"/>
      <c r="AD452" s="87"/>
    </row>
    <row r="453" ht="15.75" customHeight="1">
      <c r="G453" s="85"/>
      <c r="H453" s="85"/>
      <c r="I453" s="85"/>
      <c r="J453" s="85"/>
      <c r="K453" s="85"/>
      <c r="L453" s="85"/>
      <c r="M453" s="86"/>
      <c r="N453" s="86"/>
      <c r="O453" s="86"/>
      <c r="P453" s="86"/>
      <c r="Q453" s="86"/>
      <c r="R453" s="86"/>
      <c r="S453" s="85"/>
      <c r="T453" s="85"/>
      <c r="U453" s="85"/>
      <c r="V453" s="85"/>
      <c r="W453" s="85"/>
      <c r="X453" s="85"/>
      <c r="Y453" s="87"/>
      <c r="Z453" s="87"/>
      <c r="AA453" s="87"/>
      <c r="AB453" s="87"/>
      <c r="AC453" s="87"/>
      <c r="AD453" s="87"/>
    </row>
    <row r="454" ht="15.75" customHeight="1">
      <c r="G454" s="85"/>
      <c r="H454" s="85"/>
      <c r="I454" s="85"/>
      <c r="J454" s="85"/>
      <c r="K454" s="85"/>
      <c r="L454" s="85"/>
      <c r="M454" s="86"/>
      <c r="N454" s="86"/>
      <c r="O454" s="86"/>
      <c r="P454" s="86"/>
      <c r="Q454" s="86"/>
      <c r="R454" s="86"/>
      <c r="S454" s="85"/>
      <c r="T454" s="85"/>
      <c r="U454" s="85"/>
      <c r="V454" s="85"/>
      <c r="W454" s="85"/>
      <c r="X454" s="85"/>
      <c r="Y454" s="87"/>
      <c r="Z454" s="87"/>
      <c r="AA454" s="87"/>
      <c r="AB454" s="87"/>
      <c r="AC454" s="87"/>
      <c r="AD454" s="87"/>
    </row>
    <row r="455" ht="15.75" customHeight="1">
      <c r="G455" s="85"/>
      <c r="H455" s="85"/>
      <c r="I455" s="85"/>
      <c r="J455" s="85"/>
      <c r="K455" s="85"/>
      <c r="L455" s="85"/>
      <c r="M455" s="86"/>
      <c r="N455" s="86"/>
      <c r="O455" s="86"/>
      <c r="P455" s="86"/>
      <c r="Q455" s="86"/>
      <c r="R455" s="86"/>
      <c r="S455" s="85"/>
      <c r="T455" s="85"/>
      <c r="U455" s="85"/>
      <c r="V455" s="85"/>
      <c r="W455" s="85"/>
      <c r="X455" s="85"/>
      <c r="Y455" s="87"/>
      <c r="Z455" s="87"/>
      <c r="AA455" s="87"/>
      <c r="AB455" s="87"/>
      <c r="AC455" s="87"/>
      <c r="AD455" s="87"/>
    </row>
    <row r="456" ht="15.75" customHeight="1">
      <c r="G456" s="85"/>
      <c r="H456" s="85"/>
      <c r="I456" s="85"/>
      <c r="J456" s="85"/>
      <c r="K456" s="85"/>
      <c r="L456" s="85"/>
      <c r="M456" s="86"/>
      <c r="N456" s="86"/>
      <c r="O456" s="86"/>
      <c r="P456" s="86"/>
      <c r="Q456" s="86"/>
      <c r="R456" s="86"/>
      <c r="S456" s="85"/>
      <c r="T456" s="85"/>
      <c r="U456" s="85"/>
      <c r="V456" s="85"/>
      <c r="W456" s="85"/>
      <c r="X456" s="85"/>
      <c r="Y456" s="87"/>
      <c r="Z456" s="87"/>
      <c r="AA456" s="87"/>
      <c r="AB456" s="87"/>
      <c r="AC456" s="87"/>
      <c r="AD456" s="87"/>
    </row>
    <row r="457" ht="15.75" customHeight="1">
      <c r="G457" s="85"/>
      <c r="H457" s="85"/>
      <c r="I457" s="85"/>
      <c r="J457" s="85"/>
      <c r="K457" s="85"/>
      <c r="L457" s="85"/>
      <c r="M457" s="86"/>
      <c r="N457" s="86"/>
      <c r="O457" s="86"/>
      <c r="P457" s="86"/>
      <c r="Q457" s="86"/>
      <c r="R457" s="86"/>
      <c r="S457" s="85"/>
      <c r="T457" s="85"/>
      <c r="U457" s="85"/>
      <c r="V457" s="85"/>
      <c r="W457" s="85"/>
      <c r="X457" s="85"/>
      <c r="Y457" s="87"/>
      <c r="Z457" s="87"/>
      <c r="AA457" s="87"/>
      <c r="AB457" s="87"/>
      <c r="AC457" s="87"/>
      <c r="AD457" s="87"/>
    </row>
    <row r="458" ht="15.75" customHeight="1">
      <c r="G458" s="85"/>
      <c r="H458" s="85"/>
      <c r="I458" s="85"/>
      <c r="J458" s="85"/>
      <c r="K458" s="85"/>
      <c r="L458" s="85"/>
      <c r="M458" s="86"/>
      <c r="N458" s="86"/>
      <c r="O458" s="86"/>
      <c r="P458" s="86"/>
      <c r="Q458" s="86"/>
      <c r="R458" s="86"/>
      <c r="S458" s="85"/>
      <c r="T458" s="85"/>
      <c r="U458" s="85"/>
      <c r="V458" s="85"/>
      <c r="W458" s="85"/>
      <c r="X458" s="85"/>
      <c r="Y458" s="87"/>
      <c r="Z458" s="87"/>
      <c r="AA458" s="87"/>
      <c r="AB458" s="87"/>
      <c r="AC458" s="87"/>
      <c r="AD458" s="87"/>
    </row>
    <row r="459" ht="15.75" customHeight="1">
      <c r="G459" s="85"/>
      <c r="H459" s="85"/>
      <c r="I459" s="85"/>
      <c r="J459" s="85"/>
      <c r="K459" s="85"/>
      <c r="L459" s="85"/>
      <c r="M459" s="86"/>
      <c r="N459" s="86"/>
      <c r="O459" s="86"/>
      <c r="P459" s="86"/>
      <c r="Q459" s="86"/>
      <c r="R459" s="86"/>
      <c r="S459" s="85"/>
      <c r="T459" s="85"/>
      <c r="U459" s="85"/>
      <c r="V459" s="85"/>
      <c r="W459" s="85"/>
      <c r="X459" s="85"/>
      <c r="Y459" s="87"/>
      <c r="Z459" s="87"/>
      <c r="AA459" s="87"/>
      <c r="AB459" s="87"/>
      <c r="AC459" s="87"/>
      <c r="AD459" s="87"/>
    </row>
    <row r="460" ht="15.75" customHeight="1">
      <c r="G460" s="85"/>
      <c r="H460" s="85"/>
      <c r="I460" s="85"/>
      <c r="J460" s="85"/>
      <c r="K460" s="85"/>
      <c r="L460" s="85"/>
      <c r="M460" s="86"/>
      <c r="N460" s="86"/>
      <c r="O460" s="86"/>
      <c r="P460" s="86"/>
      <c r="Q460" s="86"/>
      <c r="R460" s="86"/>
      <c r="S460" s="85"/>
      <c r="T460" s="85"/>
      <c r="U460" s="85"/>
      <c r="V460" s="85"/>
      <c r="W460" s="85"/>
      <c r="X460" s="85"/>
      <c r="Y460" s="87"/>
      <c r="Z460" s="87"/>
      <c r="AA460" s="87"/>
      <c r="AB460" s="87"/>
      <c r="AC460" s="87"/>
      <c r="AD460" s="87"/>
    </row>
    <row r="461" ht="15.75" customHeight="1">
      <c r="G461" s="85"/>
      <c r="H461" s="85"/>
      <c r="I461" s="85"/>
      <c r="J461" s="85"/>
      <c r="K461" s="85"/>
      <c r="L461" s="85"/>
      <c r="M461" s="86"/>
      <c r="N461" s="86"/>
      <c r="O461" s="86"/>
      <c r="P461" s="86"/>
      <c r="Q461" s="86"/>
      <c r="R461" s="86"/>
      <c r="S461" s="85"/>
      <c r="T461" s="85"/>
      <c r="U461" s="85"/>
      <c r="V461" s="85"/>
      <c r="W461" s="85"/>
      <c r="X461" s="85"/>
      <c r="Y461" s="87"/>
      <c r="Z461" s="87"/>
      <c r="AA461" s="87"/>
      <c r="AB461" s="87"/>
      <c r="AC461" s="87"/>
      <c r="AD461" s="87"/>
    </row>
    <row r="462" ht="15.75" customHeight="1">
      <c r="G462" s="85"/>
      <c r="H462" s="85"/>
      <c r="I462" s="85"/>
      <c r="J462" s="85"/>
      <c r="K462" s="85"/>
      <c r="L462" s="85"/>
      <c r="M462" s="86"/>
      <c r="N462" s="86"/>
      <c r="O462" s="86"/>
      <c r="P462" s="86"/>
      <c r="Q462" s="86"/>
      <c r="R462" s="86"/>
      <c r="S462" s="85"/>
      <c r="T462" s="85"/>
      <c r="U462" s="85"/>
      <c r="V462" s="85"/>
      <c r="W462" s="85"/>
      <c r="X462" s="85"/>
      <c r="Y462" s="87"/>
      <c r="Z462" s="87"/>
      <c r="AA462" s="87"/>
      <c r="AB462" s="87"/>
      <c r="AC462" s="87"/>
      <c r="AD462" s="87"/>
    </row>
    <row r="463" ht="15.75" customHeight="1">
      <c r="G463" s="85"/>
      <c r="H463" s="85"/>
      <c r="I463" s="85"/>
      <c r="J463" s="85"/>
      <c r="K463" s="85"/>
      <c r="L463" s="85"/>
      <c r="M463" s="86"/>
      <c r="N463" s="86"/>
      <c r="O463" s="86"/>
      <c r="P463" s="86"/>
      <c r="Q463" s="86"/>
      <c r="R463" s="86"/>
      <c r="S463" s="85"/>
      <c r="T463" s="85"/>
      <c r="U463" s="85"/>
      <c r="V463" s="85"/>
      <c r="W463" s="85"/>
      <c r="X463" s="85"/>
      <c r="Y463" s="87"/>
      <c r="Z463" s="87"/>
      <c r="AA463" s="87"/>
      <c r="AB463" s="87"/>
      <c r="AC463" s="87"/>
      <c r="AD463" s="87"/>
    </row>
    <row r="464" ht="15.75" customHeight="1">
      <c r="G464" s="85"/>
      <c r="H464" s="85"/>
      <c r="I464" s="85"/>
      <c r="J464" s="85"/>
      <c r="K464" s="85"/>
      <c r="L464" s="85"/>
      <c r="M464" s="86"/>
      <c r="N464" s="86"/>
      <c r="O464" s="86"/>
      <c r="P464" s="86"/>
      <c r="Q464" s="86"/>
      <c r="R464" s="86"/>
      <c r="S464" s="85"/>
      <c r="T464" s="85"/>
      <c r="U464" s="85"/>
      <c r="V464" s="85"/>
      <c r="W464" s="85"/>
      <c r="X464" s="85"/>
      <c r="Y464" s="87"/>
      <c r="Z464" s="87"/>
      <c r="AA464" s="87"/>
      <c r="AB464" s="87"/>
      <c r="AC464" s="87"/>
      <c r="AD464" s="87"/>
    </row>
    <row r="465" ht="15.75" customHeight="1">
      <c r="G465" s="85"/>
      <c r="H465" s="85"/>
      <c r="I465" s="85"/>
      <c r="J465" s="85"/>
      <c r="K465" s="85"/>
      <c r="L465" s="85"/>
      <c r="M465" s="86"/>
      <c r="N465" s="86"/>
      <c r="O465" s="86"/>
      <c r="P465" s="86"/>
      <c r="Q465" s="86"/>
      <c r="R465" s="86"/>
      <c r="S465" s="85"/>
      <c r="T465" s="85"/>
      <c r="U465" s="85"/>
      <c r="V465" s="85"/>
      <c r="W465" s="85"/>
      <c r="X465" s="85"/>
      <c r="Y465" s="87"/>
      <c r="Z465" s="87"/>
      <c r="AA465" s="87"/>
      <c r="AB465" s="87"/>
      <c r="AC465" s="87"/>
      <c r="AD465" s="87"/>
    </row>
    <row r="466" ht="15.75" customHeight="1">
      <c r="G466" s="85"/>
      <c r="H466" s="85"/>
      <c r="I466" s="85"/>
      <c r="J466" s="85"/>
      <c r="K466" s="85"/>
      <c r="L466" s="85"/>
      <c r="M466" s="86"/>
      <c r="N466" s="86"/>
      <c r="O466" s="86"/>
      <c r="P466" s="86"/>
      <c r="Q466" s="86"/>
      <c r="R466" s="86"/>
      <c r="S466" s="85"/>
      <c r="T466" s="85"/>
      <c r="U466" s="85"/>
      <c r="V466" s="85"/>
      <c r="W466" s="85"/>
      <c r="X466" s="85"/>
      <c r="Y466" s="87"/>
      <c r="Z466" s="87"/>
      <c r="AA466" s="87"/>
      <c r="AB466" s="87"/>
      <c r="AC466" s="87"/>
      <c r="AD466" s="87"/>
    </row>
    <row r="467" ht="15.75" customHeight="1">
      <c r="G467" s="85"/>
      <c r="H467" s="85"/>
      <c r="I467" s="85"/>
      <c r="J467" s="85"/>
      <c r="K467" s="85"/>
      <c r="L467" s="85"/>
      <c r="M467" s="86"/>
      <c r="N467" s="86"/>
      <c r="O467" s="86"/>
      <c r="P467" s="86"/>
      <c r="Q467" s="86"/>
      <c r="R467" s="86"/>
      <c r="S467" s="85"/>
      <c r="T467" s="85"/>
      <c r="U467" s="85"/>
      <c r="V467" s="85"/>
      <c r="W467" s="85"/>
      <c r="X467" s="85"/>
      <c r="Y467" s="87"/>
      <c r="Z467" s="87"/>
      <c r="AA467" s="87"/>
      <c r="AB467" s="87"/>
      <c r="AC467" s="87"/>
      <c r="AD467" s="87"/>
    </row>
    <row r="468" ht="15.75" customHeight="1">
      <c r="G468" s="85"/>
      <c r="H468" s="85"/>
      <c r="I468" s="85"/>
      <c r="J468" s="85"/>
      <c r="K468" s="85"/>
      <c r="L468" s="85"/>
      <c r="M468" s="86"/>
      <c r="N468" s="86"/>
      <c r="O468" s="86"/>
      <c r="P468" s="86"/>
      <c r="Q468" s="86"/>
      <c r="R468" s="86"/>
      <c r="S468" s="85"/>
      <c r="T468" s="85"/>
      <c r="U468" s="85"/>
      <c r="V468" s="85"/>
      <c r="W468" s="85"/>
      <c r="X468" s="85"/>
      <c r="Y468" s="87"/>
      <c r="Z468" s="87"/>
      <c r="AA468" s="87"/>
      <c r="AB468" s="87"/>
      <c r="AC468" s="87"/>
      <c r="AD468" s="87"/>
    </row>
    <row r="469" ht="15.75" customHeight="1">
      <c r="G469" s="85"/>
      <c r="H469" s="85"/>
      <c r="I469" s="85"/>
      <c r="J469" s="85"/>
      <c r="K469" s="85"/>
      <c r="L469" s="85"/>
      <c r="M469" s="86"/>
      <c r="N469" s="86"/>
      <c r="O469" s="86"/>
      <c r="P469" s="86"/>
      <c r="Q469" s="86"/>
      <c r="R469" s="86"/>
      <c r="S469" s="85"/>
      <c r="T469" s="85"/>
      <c r="U469" s="85"/>
      <c r="V469" s="85"/>
      <c r="W469" s="85"/>
      <c r="X469" s="85"/>
      <c r="Y469" s="87"/>
      <c r="Z469" s="87"/>
      <c r="AA469" s="87"/>
      <c r="AB469" s="87"/>
      <c r="AC469" s="87"/>
      <c r="AD469" s="87"/>
    </row>
    <row r="470" ht="15.75" customHeight="1">
      <c r="G470" s="85"/>
      <c r="H470" s="85"/>
      <c r="I470" s="85"/>
      <c r="J470" s="85"/>
      <c r="K470" s="85"/>
      <c r="L470" s="85"/>
      <c r="M470" s="86"/>
      <c r="N470" s="86"/>
      <c r="O470" s="86"/>
      <c r="P470" s="86"/>
      <c r="Q470" s="86"/>
      <c r="R470" s="86"/>
      <c r="S470" s="85"/>
      <c r="T470" s="85"/>
      <c r="U470" s="85"/>
      <c r="V470" s="85"/>
      <c r="W470" s="85"/>
      <c r="X470" s="85"/>
      <c r="Y470" s="87"/>
      <c r="Z470" s="87"/>
      <c r="AA470" s="87"/>
      <c r="AB470" s="87"/>
      <c r="AC470" s="87"/>
      <c r="AD470" s="87"/>
    </row>
    <row r="471" ht="15.75" customHeight="1">
      <c r="G471" s="85"/>
      <c r="H471" s="85"/>
      <c r="I471" s="85"/>
      <c r="J471" s="85"/>
      <c r="K471" s="85"/>
      <c r="L471" s="85"/>
      <c r="M471" s="86"/>
      <c r="N471" s="86"/>
      <c r="O471" s="86"/>
      <c r="P471" s="86"/>
      <c r="Q471" s="86"/>
      <c r="R471" s="86"/>
      <c r="S471" s="85"/>
      <c r="T471" s="85"/>
      <c r="U471" s="85"/>
      <c r="V471" s="85"/>
      <c r="W471" s="85"/>
      <c r="X471" s="85"/>
      <c r="Y471" s="87"/>
      <c r="Z471" s="87"/>
      <c r="AA471" s="87"/>
      <c r="AB471" s="87"/>
      <c r="AC471" s="87"/>
      <c r="AD471" s="87"/>
    </row>
    <row r="472" ht="15.75" customHeight="1">
      <c r="G472" s="85"/>
      <c r="H472" s="85"/>
      <c r="I472" s="85"/>
      <c r="J472" s="85"/>
      <c r="K472" s="85"/>
      <c r="L472" s="85"/>
      <c r="M472" s="86"/>
      <c r="N472" s="86"/>
      <c r="O472" s="86"/>
      <c r="P472" s="86"/>
      <c r="Q472" s="86"/>
      <c r="R472" s="86"/>
      <c r="S472" s="85"/>
      <c r="T472" s="85"/>
      <c r="U472" s="85"/>
      <c r="V472" s="85"/>
      <c r="W472" s="85"/>
      <c r="X472" s="85"/>
      <c r="Y472" s="87"/>
      <c r="Z472" s="87"/>
      <c r="AA472" s="87"/>
      <c r="AB472" s="87"/>
      <c r="AC472" s="87"/>
      <c r="AD472" s="87"/>
    </row>
    <row r="473" ht="15.75" customHeight="1">
      <c r="G473" s="85"/>
      <c r="H473" s="85"/>
      <c r="I473" s="85"/>
      <c r="J473" s="85"/>
      <c r="K473" s="85"/>
      <c r="L473" s="85"/>
      <c r="M473" s="86"/>
      <c r="N473" s="86"/>
      <c r="O473" s="86"/>
      <c r="P473" s="86"/>
      <c r="Q473" s="86"/>
      <c r="R473" s="86"/>
      <c r="S473" s="85"/>
      <c r="T473" s="85"/>
      <c r="U473" s="85"/>
      <c r="V473" s="85"/>
      <c r="W473" s="85"/>
      <c r="X473" s="85"/>
      <c r="Y473" s="87"/>
      <c r="Z473" s="87"/>
      <c r="AA473" s="87"/>
      <c r="AB473" s="87"/>
      <c r="AC473" s="87"/>
      <c r="AD473" s="87"/>
    </row>
    <row r="474" ht="15.75" customHeight="1">
      <c r="G474" s="85"/>
      <c r="H474" s="85"/>
      <c r="I474" s="85"/>
      <c r="J474" s="85"/>
      <c r="K474" s="85"/>
      <c r="L474" s="85"/>
      <c r="M474" s="86"/>
      <c r="N474" s="86"/>
      <c r="O474" s="86"/>
      <c r="P474" s="86"/>
      <c r="Q474" s="86"/>
      <c r="R474" s="86"/>
      <c r="S474" s="85"/>
      <c r="T474" s="85"/>
      <c r="U474" s="85"/>
      <c r="V474" s="85"/>
      <c r="W474" s="85"/>
      <c r="X474" s="85"/>
      <c r="Y474" s="87"/>
      <c r="Z474" s="87"/>
      <c r="AA474" s="87"/>
      <c r="AB474" s="87"/>
      <c r="AC474" s="87"/>
      <c r="AD474" s="87"/>
    </row>
    <row r="475" ht="15.75" customHeight="1">
      <c r="G475" s="85"/>
      <c r="H475" s="85"/>
      <c r="I475" s="85"/>
      <c r="J475" s="85"/>
      <c r="K475" s="85"/>
      <c r="L475" s="85"/>
      <c r="M475" s="86"/>
      <c r="N475" s="86"/>
      <c r="O475" s="86"/>
      <c r="P475" s="86"/>
      <c r="Q475" s="86"/>
      <c r="R475" s="86"/>
      <c r="S475" s="85"/>
      <c r="T475" s="85"/>
      <c r="U475" s="85"/>
      <c r="V475" s="85"/>
      <c r="W475" s="85"/>
      <c r="X475" s="85"/>
      <c r="Y475" s="87"/>
      <c r="Z475" s="87"/>
      <c r="AA475" s="87"/>
      <c r="AB475" s="87"/>
      <c r="AC475" s="87"/>
      <c r="AD475" s="87"/>
    </row>
    <row r="476" ht="15.75" customHeight="1">
      <c r="G476" s="85"/>
      <c r="H476" s="85"/>
      <c r="I476" s="85"/>
      <c r="J476" s="85"/>
      <c r="K476" s="85"/>
      <c r="L476" s="85"/>
      <c r="M476" s="86"/>
      <c r="N476" s="86"/>
      <c r="O476" s="86"/>
      <c r="P476" s="86"/>
      <c r="Q476" s="86"/>
      <c r="R476" s="86"/>
      <c r="S476" s="85"/>
      <c r="T476" s="85"/>
      <c r="U476" s="85"/>
      <c r="V476" s="85"/>
      <c r="W476" s="85"/>
      <c r="X476" s="85"/>
      <c r="Y476" s="87"/>
      <c r="Z476" s="87"/>
      <c r="AA476" s="87"/>
      <c r="AB476" s="87"/>
      <c r="AC476" s="87"/>
      <c r="AD476" s="87"/>
    </row>
    <row r="477" ht="15.75" customHeight="1">
      <c r="G477" s="85"/>
      <c r="H477" s="85"/>
      <c r="I477" s="85"/>
      <c r="J477" s="85"/>
      <c r="K477" s="85"/>
      <c r="L477" s="85"/>
      <c r="M477" s="86"/>
      <c r="N477" s="86"/>
      <c r="O477" s="86"/>
      <c r="P477" s="86"/>
      <c r="Q477" s="86"/>
      <c r="R477" s="86"/>
      <c r="S477" s="85"/>
      <c r="T477" s="85"/>
      <c r="U477" s="85"/>
      <c r="V477" s="85"/>
      <c r="W477" s="85"/>
      <c r="X477" s="85"/>
      <c r="Y477" s="87"/>
      <c r="Z477" s="87"/>
      <c r="AA477" s="87"/>
      <c r="AB477" s="87"/>
      <c r="AC477" s="87"/>
      <c r="AD477" s="87"/>
    </row>
    <row r="478" ht="15.75" customHeight="1">
      <c r="G478" s="85"/>
      <c r="H478" s="85"/>
      <c r="I478" s="85"/>
      <c r="J478" s="85"/>
      <c r="K478" s="85"/>
      <c r="L478" s="85"/>
      <c r="M478" s="86"/>
      <c r="N478" s="86"/>
      <c r="O478" s="86"/>
      <c r="P478" s="86"/>
      <c r="Q478" s="86"/>
      <c r="R478" s="86"/>
      <c r="S478" s="85"/>
      <c r="T478" s="85"/>
      <c r="U478" s="85"/>
      <c r="V478" s="85"/>
      <c r="W478" s="85"/>
      <c r="X478" s="85"/>
      <c r="Y478" s="87"/>
      <c r="Z478" s="87"/>
      <c r="AA478" s="87"/>
      <c r="AB478" s="87"/>
      <c r="AC478" s="87"/>
      <c r="AD478" s="87"/>
    </row>
    <row r="479" ht="15.75" customHeight="1">
      <c r="G479" s="85"/>
      <c r="H479" s="85"/>
      <c r="I479" s="85"/>
      <c r="J479" s="85"/>
      <c r="K479" s="85"/>
      <c r="L479" s="85"/>
      <c r="M479" s="86"/>
      <c r="N479" s="86"/>
      <c r="O479" s="86"/>
      <c r="P479" s="86"/>
      <c r="Q479" s="86"/>
      <c r="R479" s="86"/>
      <c r="S479" s="85"/>
      <c r="T479" s="85"/>
      <c r="U479" s="85"/>
      <c r="V479" s="85"/>
      <c r="W479" s="85"/>
      <c r="X479" s="85"/>
      <c r="Y479" s="87"/>
      <c r="Z479" s="87"/>
      <c r="AA479" s="87"/>
      <c r="AB479" s="87"/>
      <c r="AC479" s="87"/>
      <c r="AD479" s="87"/>
    </row>
    <row r="480" ht="15.75" customHeight="1">
      <c r="G480" s="85"/>
      <c r="H480" s="85"/>
      <c r="I480" s="85"/>
      <c r="J480" s="85"/>
      <c r="K480" s="85"/>
      <c r="L480" s="85"/>
      <c r="M480" s="86"/>
      <c r="N480" s="86"/>
      <c r="O480" s="86"/>
      <c r="P480" s="86"/>
      <c r="Q480" s="86"/>
      <c r="R480" s="86"/>
      <c r="S480" s="85"/>
      <c r="T480" s="85"/>
      <c r="U480" s="85"/>
      <c r="V480" s="85"/>
      <c r="W480" s="85"/>
      <c r="X480" s="85"/>
      <c r="Y480" s="87"/>
      <c r="Z480" s="87"/>
      <c r="AA480" s="87"/>
      <c r="AB480" s="87"/>
      <c r="AC480" s="87"/>
      <c r="AD480" s="87"/>
    </row>
    <row r="481" ht="15.75" customHeight="1">
      <c r="G481" s="85"/>
      <c r="H481" s="85"/>
      <c r="I481" s="85"/>
      <c r="J481" s="85"/>
      <c r="K481" s="85"/>
      <c r="L481" s="85"/>
      <c r="M481" s="86"/>
      <c r="N481" s="86"/>
      <c r="O481" s="86"/>
      <c r="P481" s="86"/>
      <c r="Q481" s="86"/>
      <c r="R481" s="86"/>
      <c r="S481" s="85"/>
      <c r="T481" s="85"/>
      <c r="U481" s="85"/>
      <c r="V481" s="85"/>
      <c r="W481" s="85"/>
      <c r="X481" s="85"/>
      <c r="Y481" s="87"/>
      <c r="Z481" s="87"/>
      <c r="AA481" s="87"/>
      <c r="AB481" s="87"/>
      <c r="AC481" s="87"/>
      <c r="AD481" s="87"/>
    </row>
    <row r="482" ht="15.75" customHeight="1">
      <c r="G482" s="85"/>
      <c r="H482" s="85"/>
      <c r="I482" s="85"/>
      <c r="J482" s="85"/>
      <c r="K482" s="85"/>
      <c r="L482" s="85"/>
      <c r="M482" s="86"/>
      <c r="N482" s="86"/>
      <c r="O482" s="86"/>
      <c r="P482" s="86"/>
      <c r="Q482" s="86"/>
      <c r="R482" s="86"/>
      <c r="S482" s="85"/>
      <c r="T482" s="85"/>
      <c r="U482" s="85"/>
      <c r="V482" s="85"/>
      <c r="W482" s="85"/>
      <c r="X482" s="85"/>
      <c r="Y482" s="87"/>
      <c r="Z482" s="87"/>
      <c r="AA482" s="87"/>
      <c r="AB482" s="87"/>
      <c r="AC482" s="87"/>
      <c r="AD482" s="87"/>
    </row>
    <row r="483" ht="15.75" customHeight="1">
      <c r="G483" s="85"/>
      <c r="H483" s="85"/>
      <c r="I483" s="85"/>
      <c r="J483" s="85"/>
      <c r="K483" s="85"/>
      <c r="L483" s="85"/>
      <c r="M483" s="86"/>
      <c r="N483" s="86"/>
      <c r="O483" s="86"/>
      <c r="P483" s="86"/>
      <c r="Q483" s="86"/>
      <c r="R483" s="86"/>
      <c r="S483" s="85"/>
      <c r="T483" s="85"/>
      <c r="U483" s="85"/>
      <c r="V483" s="85"/>
      <c r="W483" s="85"/>
      <c r="X483" s="85"/>
      <c r="Y483" s="87"/>
      <c r="Z483" s="87"/>
      <c r="AA483" s="87"/>
      <c r="AB483" s="87"/>
      <c r="AC483" s="87"/>
      <c r="AD483" s="87"/>
    </row>
    <row r="484" ht="15.75" customHeight="1">
      <c r="G484" s="85"/>
      <c r="H484" s="85"/>
      <c r="I484" s="85"/>
      <c r="J484" s="85"/>
      <c r="K484" s="85"/>
      <c r="L484" s="85"/>
      <c r="M484" s="86"/>
      <c r="N484" s="86"/>
      <c r="O484" s="86"/>
      <c r="P484" s="86"/>
      <c r="Q484" s="86"/>
      <c r="R484" s="86"/>
      <c r="S484" s="85"/>
      <c r="T484" s="85"/>
      <c r="U484" s="85"/>
      <c r="V484" s="85"/>
      <c r="W484" s="85"/>
      <c r="X484" s="85"/>
      <c r="Y484" s="87"/>
      <c r="Z484" s="87"/>
      <c r="AA484" s="87"/>
      <c r="AB484" s="87"/>
      <c r="AC484" s="87"/>
      <c r="AD484" s="87"/>
    </row>
    <row r="485" ht="15.75" customHeight="1">
      <c r="G485" s="85"/>
      <c r="H485" s="85"/>
      <c r="I485" s="85"/>
      <c r="J485" s="85"/>
      <c r="K485" s="85"/>
      <c r="L485" s="85"/>
      <c r="M485" s="86"/>
      <c r="N485" s="86"/>
      <c r="O485" s="86"/>
      <c r="P485" s="86"/>
      <c r="Q485" s="86"/>
      <c r="R485" s="86"/>
      <c r="S485" s="85"/>
      <c r="T485" s="85"/>
      <c r="U485" s="85"/>
      <c r="V485" s="85"/>
      <c r="W485" s="85"/>
      <c r="X485" s="85"/>
      <c r="Y485" s="87"/>
      <c r="Z485" s="87"/>
      <c r="AA485" s="87"/>
      <c r="AB485" s="87"/>
      <c r="AC485" s="87"/>
      <c r="AD485" s="87"/>
    </row>
    <row r="486" ht="15.75" customHeight="1">
      <c r="G486" s="85"/>
      <c r="H486" s="85"/>
      <c r="I486" s="85"/>
      <c r="J486" s="85"/>
      <c r="K486" s="85"/>
      <c r="L486" s="85"/>
      <c r="M486" s="86"/>
      <c r="N486" s="86"/>
      <c r="O486" s="86"/>
      <c r="P486" s="86"/>
      <c r="Q486" s="86"/>
      <c r="R486" s="86"/>
      <c r="S486" s="85"/>
      <c r="T486" s="85"/>
      <c r="U486" s="85"/>
      <c r="V486" s="85"/>
      <c r="W486" s="85"/>
      <c r="X486" s="85"/>
      <c r="Y486" s="87"/>
      <c r="Z486" s="87"/>
      <c r="AA486" s="87"/>
      <c r="AB486" s="87"/>
      <c r="AC486" s="87"/>
      <c r="AD486" s="87"/>
    </row>
    <row r="487" ht="15.75" customHeight="1">
      <c r="G487" s="85"/>
      <c r="H487" s="85"/>
      <c r="I487" s="85"/>
      <c r="J487" s="85"/>
      <c r="K487" s="85"/>
      <c r="L487" s="85"/>
      <c r="M487" s="86"/>
      <c r="N487" s="86"/>
      <c r="O487" s="86"/>
      <c r="P487" s="86"/>
      <c r="Q487" s="86"/>
      <c r="R487" s="86"/>
      <c r="S487" s="85"/>
      <c r="T487" s="85"/>
      <c r="U487" s="85"/>
      <c r="V487" s="85"/>
      <c r="W487" s="85"/>
      <c r="X487" s="85"/>
      <c r="Y487" s="87"/>
      <c r="Z487" s="87"/>
      <c r="AA487" s="87"/>
      <c r="AB487" s="87"/>
      <c r="AC487" s="87"/>
      <c r="AD487" s="87"/>
    </row>
    <row r="488" ht="15.75" customHeight="1">
      <c r="G488" s="85"/>
      <c r="H488" s="85"/>
      <c r="I488" s="85"/>
      <c r="J488" s="85"/>
      <c r="K488" s="85"/>
      <c r="L488" s="85"/>
      <c r="M488" s="86"/>
      <c r="N488" s="86"/>
      <c r="O488" s="86"/>
      <c r="P488" s="86"/>
      <c r="Q488" s="86"/>
      <c r="R488" s="86"/>
      <c r="S488" s="85"/>
      <c r="T488" s="85"/>
      <c r="U488" s="85"/>
      <c r="V488" s="85"/>
      <c r="W488" s="85"/>
      <c r="X488" s="85"/>
      <c r="Y488" s="87"/>
      <c r="Z488" s="87"/>
      <c r="AA488" s="87"/>
      <c r="AB488" s="87"/>
      <c r="AC488" s="87"/>
      <c r="AD488" s="87"/>
    </row>
    <row r="489" ht="15.75" customHeight="1">
      <c r="G489" s="85"/>
      <c r="H489" s="85"/>
      <c r="I489" s="85"/>
      <c r="J489" s="85"/>
      <c r="K489" s="85"/>
      <c r="L489" s="85"/>
      <c r="M489" s="86"/>
      <c r="N489" s="86"/>
      <c r="O489" s="86"/>
      <c r="P489" s="86"/>
      <c r="Q489" s="86"/>
      <c r="R489" s="86"/>
      <c r="S489" s="85"/>
      <c r="T489" s="85"/>
      <c r="U489" s="85"/>
      <c r="V489" s="85"/>
      <c r="W489" s="85"/>
      <c r="X489" s="85"/>
      <c r="Y489" s="87"/>
      <c r="Z489" s="87"/>
      <c r="AA489" s="87"/>
      <c r="AB489" s="87"/>
      <c r="AC489" s="87"/>
      <c r="AD489" s="87"/>
    </row>
    <row r="490" ht="15.75" customHeight="1">
      <c r="G490" s="85"/>
      <c r="H490" s="85"/>
      <c r="I490" s="85"/>
      <c r="J490" s="85"/>
      <c r="K490" s="85"/>
      <c r="L490" s="85"/>
      <c r="M490" s="86"/>
      <c r="N490" s="86"/>
      <c r="O490" s="86"/>
      <c r="P490" s="86"/>
      <c r="Q490" s="86"/>
      <c r="R490" s="86"/>
      <c r="S490" s="85"/>
      <c r="T490" s="85"/>
      <c r="U490" s="85"/>
      <c r="V490" s="85"/>
      <c r="W490" s="85"/>
      <c r="X490" s="85"/>
      <c r="Y490" s="87"/>
      <c r="Z490" s="87"/>
      <c r="AA490" s="87"/>
      <c r="AB490" s="87"/>
      <c r="AC490" s="87"/>
      <c r="AD490" s="87"/>
    </row>
    <row r="491" ht="15.75" customHeight="1">
      <c r="G491" s="85"/>
      <c r="H491" s="85"/>
      <c r="I491" s="85"/>
      <c r="J491" s="85"/>
      <c r="K491" s="85"/>
      <c r="L491" s="85"/>
      <c r="M491" s="86"/>
      <c r="N491" s="86"/>
      <c r="O491" s="86"/>
      <c r="P491" s="86"/>
      <c r="Q491" s="86"/>
      <c r="R491" s="86"/>
      <c r="S491" s="85"/>
      <c r="T491" s="85"/>
      <c r="U491" s="85"/>
      <c r="V491" s="85"/>
      <c r="W491" s="85"/>
      <c r="X491" s="85"/>
      <c r="Y491" s="87"/>
      <c r="Z491" s="87"/>
      <c r="AA491" s="87"/>
      <c r="AB491" s="87"/>
      <c r="AC491" s="87"/>
      <c r="AD491" s="87"/>
    </row>
    <row r="492" ht="15.75" customHeight="1">
      <c r="G492" s="85"/>
      <c r="H492" s="85"/>
      <c r="I492" s="85"/>
      <c r="J492" s="85"/>
      <c r="K492" s="85"/>
      <c r="L492" s="85"/>
      <c r="M492" s="86"/>
      <c r="N492" s="86"/>
      <c r="O492" s="86"/>
      <c r="P492" s="86"/>
      <c r="Q492" s="86"/>
      <c r="R492" s="86"/>
      <c r="S492" s="85"/>
      <c r="T492" s="85"/>
      <c r="U492" s="85"/>
      <c r="V492" s="85"/>
      <c r="W492" s="85"/>
      <c r="X492" s="85"/>
      <c r="Y492" s="87"/>
      <c r="Z492" s="87"/>
      <c r="AA492" s="87"/>
      <c r="AB492" s="87"/>
      <c r="AC492" s="87"/>
      <c r="AD492" s="87"/>
    </row>
    <row r="493" ht="15.75" customHeight="1">
      <c r="G493" s="85"/>
      <c r="H493" s="85"/>
      <c r="I493" s="85"/>
      <c r="J493" s="85"/>
      <c r="K493" s="85"/>
      <c r="L493" s="85"/>
      <c r="M493" s="86"/>
      <c r="N493" s="86"/>
      <c r="O493" s="86"/>
      <c r="P493" s="86"/>
      <c r="Q493" s="86"/>
      <c r="R493" s="86"/>
      <c r="S493" s="85"/>
      <c r="T493" s="85"/>
      <c r="U493" s="85"/>
      <c r="V493" s="85"/>
      <c r="W493" s="85"/>
      <c r="X493" s="85"/>
      <c r="Y493" s="87"/>
      <c r="Z493" s="87"/>
      <c r="AA493" s="87"/>
      <c r="AB493" s="87"/>
      <c r="AC493" s="87"/>
      <c r="AD493" s="87"/>
    </row>
    <row r="494" ht="15.75" customHeight="1">
      <c r="G494" s="85"/>
      <c r="H494" s="85"/>
      <c r="I494" s="85"/>
      <c r="J494" s="85"/>
      <c r="K494" s="85"/>
      <c r="L494" s="85"/>
      <c r="M494" s="86"/>
      <c r="N494" s="86"/>
      <c r="O494" s="86"/>
      <c r="P494" s="86"/>
      <c r="Q494" s="86"/>
      <c r="R494" s="86"/>
      <c r="S494" s="85"/>
      <c r="T494" s="85"/>
      <c r="U494" s="85"/>
      <c r="V494" s="85"/>
      <c r="W494" s="85"/>
      <c r="X494" s="85"/>
      <c r="Y494" s="87"/>
      <c r="Z494" s="87"/>
      <c r="AA494" s="87"/>
      <c r="AB494" s="87"/>
      <c r="AC494" s="87"/>
      <c r="AD494" s="87"/>
    </row>
    <row r="495" ht="15.75" customHeight="1">
      <c r="G495" s="85"/>
      <c r="H495" s="85"/>
      <c r="I495" s="85"/>
      <c r="J495" s="85"/>
      <c r="K495" s="85"/>
      <c r="L495" s="85"/>
      <c r="M495" s="86"/>
      <c r="N495" s="86"/>
      <c r="O495" s="86"/>
      <c r="P495" s="86"/>
      <c r="Q495" s="86"/>
      <c r="R495" s="86"/>
      <c r="S495" s="85"/>
      <c r="T495" s="85"/>
      <c r="U495" s="85"/>
      <c r="V495" s="85"/>
      <c r="W495" s="85"/>
      <c r="X495" s="85"/>
      <c r="Y495" s="87"/>
      <c r="Z495" s="87"/>
      <c r="AA495" s="87"/>
      <c r="AB495" s="87"/>
      <c r="AC495" s="87"/>
      <c r="AD495" s="87"/>
    </row>
    <row r="496" ht="15.75" customHeight="1">
      <c r="G496" s="85"/>
      <c r="H496" s="85"/>
      <c r="I496" s="85"/>
      <c r="J496" s="85"/>
      <c r="K496" s="85"/>
      <c r="L496" s="85"/>
      <c r="M496" s="86"/>
      <c r="N496" s="86"/>
      <c r="O496" s="86"/>
      <c r="P496" s="86"/>
      <c r="Q496" s="86"/>
      <c r="R496" s="86"/>
      <c r="S496" s="85"/>
      <c r="T496" s="85"/>
      <c r="U496" s="85"/>
      <c r="V496" s="85"/>
      <c r="W496" s="85"/>
      <c r="X496" s="85"/>
      <c r="Y496" s="87"/>
      <c r="Z496" s="87"/>
      <c r="AA496" s="87"/>
      <c r="AB496" s="87"/>
      <c r="AC496" s="87"/>
      <c r="AD496" s="87"/>
    </row>
    <row r="497" ht="15.75" customHeight="1">
      <c r="G497" s="85"/>
      <c r="H497" s="85"/>
      <c r="I497" s="85"/>
      <c r="J497" s="85"/>
      <c r="K497" s="85"/>
      <c r="L497" s="85"/>
      <c r="M497" s="86"/>
      <c r="N497" s="86"/>
      <c r="O497" s="86"/>
      <c r="P497" s="86"/>
      <c r="Q497" s="86"/>
      <c r="R497" s="86"/>
      <c r="S497" s="85"/>
      <c r="T497" s="85"/>
      <c r="U497" s="85"/>
      <c r="V497" s="85"/>
      <c r="W497" s="85"/>
      <c r="X497" s="85"/>
      <c r="Y497" s="87"/>
      <c r="Z497" s="87"/>
      <c r="AA497" s="87"/>
      <c r="AB497" s="87"/>
      <c r="AC497" s="87"/>
      <c r="AD497" s="87"/>
    </row>
    <row r="498" ht="15.75" customHeight="1">
      <c r="G498" s="85"/>
      <c r="H498" s="85"/>
      <c r="I498" s="85"/>
      <c r="J498" s="85"/>
      <c r="K498" s="85"/>
      <c r="L498" s="85"/>
      <c r="M498" s="86"/>
      <c r="N498" s="86"/>
      <c r="O498" s="86"/>
      <c r="P498" s="86"/>
      <c r="Q498" s="86"/>
      <c r="R498" s="86"/>
      <c r="S498" s="85"/>
      <c r="T498" s="85"/>
      <c r="U498" s="85"/>
      <c r="V498" s="85"/>
      <c r="W498" s="85"/>
      <c r="X498" s="85"/>
      <c r="Y498" s="87"/>
      <c r="Z498" s="87"/>
      <c r="AA498" s="87"/>
      <c r="AB498" s="87"/>
      <c r="AC498" s="87"/>
      <c r="AD498" s="87"/>
    </row>
    <row r="499" ht="15.75" customHeight="1">
      <c r="G499" s="85"/>
      <c r="H499" s="85"/>
      <c r="I499" s="85"/>
      <c r="J499" s="85"/>
      <c r="K499" s="85"/>
      <c r="L499" s="85"/>
      <c r="M499" s="86"/>
      <c r="N499" s="86"/>
      <c r="O499" s="86"/>
      <c r="P499" s="86"/>
      <c r="Q499" s="86"/>
      <c r="R499" s="86"/>
      <c r="S499" s="85"/>
      <c r="T499" s="85"/>
      <c r="U499" s="85"/>
      <c r="V499" s="85"/>
      <c r="W499" s="85"/>
      <c r="X499" s="85"/>
      <c r="Y499" s="87"/>
      <c r="Z499" s="87"/>
      <c r="AA499" s="87"/>
      <c r="AB499" s="87"/>
      <c r="AC499" s="87"/>
      <c r="AD499" s="87"/>
    </row>
    <row r="500" ht="15.75" customHeight="1">
      <c r="G500" s="85"/>
      <c r="H500" s="85"/>
      <c r="I500" s="85"/>
      <c r="J500" s="85"/>
      <c r="K500" s="85"/>
      <c r="L500" s="85"/>
      <c r="M500" s="86"/>
      <c r="N500" s="86"/>
      <c r="O500" s="86"/>
      <c r="P500" s="86"/>
      <c r="Q500" s="86"/>
      <c r="R500" s="86"/>
      <c r="S500" s="85"/>
      <c r="T500" s="85"/>
      <c r="U500" s="85"/>
      <c r="V500" s="85"/>
      <c r="W500" s="85"/>
      <c r="X500" s="85"/>
      <c r="Y500" s="87"/>
      <c r="Z500" s="87"/>
      <c r="AA500" s="87"/>
      <c r="AB500" s="87"/>
      <c r="AC500" s="87"/>
      <c r="AD500" s="87"/>
    </row>
    <row r="501" ht="15.75" customHeight="1">
      <c r="G501" s="85"/>
      <c r="H501" s="85"/>
      <c r="I501" s="85"/>
      <c r="J501" s="85"/>
      <c r="K501" s="85"/>
      <c r="L501" s="85"/>
      <c r="M501" s="86"/>
      <c r="N501" s="86"/>
      <c r="O501" s="86"/>
      <c r="P501" s="86"/>
      <c r="Q501" s="86"/>
      <c r="R501" s="86"/>
      <c r="S501" s="85"/>
      <c r="T501" s="85"/>
      <c r="U501" s="85"/>
      <c r="V501" s="85"/>
      <c r="W501" s="85"/>
      <c r="X501" s="85"/>
      <c r="Y501" s="87"/>
      <c r="Z501" s="87"/>
      <c r="AA501" s="87"/>
      <c r="AB501" s="87"/>
      <c r="AC501" s="87"/>
      <c r="AD501" s="87"/>
    </row>
    <row r="502" ht="15.75" customHeight="1">
      <c r="G502" s="85"/>
      <c r="H502" s="85"/>
      <c r="I502" s="85"/>
      <c r="J502" s="85"/>
      <c r="K502" s="85"/>
      <c r="L502" s="85"/>
      <c r="M502" s="86"/>
      <c r="N502" s="86"/>
      <c r="O502" s="86"/>
      <c r="P502" s="86"/>
      <c r="Q502" s="86"/>
      <c r="R502" s="86"/>
      <c r="S502" s="85"/>
      <c r="T502" s="85"/>
      <c r="U502" s="85"/>
      <c r="V502" s="85"/>
      <c r="W502" s="85"/>
      <c r="X502" s="85"/>
      <c r="Y502" s="87"/>
      <c r="Z502" s="87"/>
      <c r="AA502" s="87"/>
      <c r="AB502" s="87"/>
      <c r="AC502" s="87"/>
      <c r="AD502" s="87"/>
    </row>
    <row r="503" ht="15.75" customHeight="1">
      <c r="G503" s="85"/>
      <c r="H503" s="85"/>
      <c r="I503" s="85"/>
      <c r="J503" s="85"/>
      <c r="K503" s="85"/>
      <c r="L503" s="85"/>
      <c r="M503" s="86"/>
      <c r="N503" s="86"/>
      <c r="O503" s="86"/>
      <c r="P503" s="86"/>
      <c r="Q503" s="86"/>
      <c r="R503" s="86"/>
      <c r="S503" s="85"/>
      <c r="T503" s="85"/>
      <c r="U503" s="85"/>
      <c r="V503" s="85"/>
      <c r="W503" s="85"/>
      <c r="X503" s="85"/>
      <c r="Y503" s="87"/>
      <c r="Z503" s="87"/>
      <c r="AA503" s="87"/>
      <c r="AB503" s="87"/>
      <c r="AC503" s="87"/>
      <c r="AD503" s="87"/>
    </row>
    <row r="504" ht="15.75" customHeight="1">
      <c r="G504" s="85"/>
      <c r="H504" s="85"/>
      <c r="I504" s="85"/>
      <c r="J504" s="85"/>
      <c r="K504" s="85"/>
      <c r="L504" s="85"/>
      <c r="M504" s="86"/>
      <c r="N504" s="86"/>
      <c r="O504" s="86"/>
      <c r="P504" s="86"/>
      <c r="Q504" s="86"/>
      <c r="R504" s="86"/>
      <c r="S504" s="85"/>
      <c r="T504" s="85"/>
      <c r="U504" s="85"/>
      <c r="V504" s="85"/>
      <c r="W504" s="85"/>
      <c r="X504" s="85"/>
      <c r="Y504" s="87"/>
      <c r="Z504" s="87"/>
      <c r="AA504" s="87"/>
      <c r="AB504" s="87"/>
      <c r="AC504" s="87"/>
      <c r="AD504" s="87"/>
    </row>
    <row r="505" ht="15.75" customHeight="1">
      <c r="G505" s="85"/>
      <c r="H505" s="85"/>
      <c r="I505" s="85"/>
      <c r="J505" s="85"/>
      <c r="K505" s="85"/>
      <c r="L505" s="85"/>
      <c r="M505" s="86"/>
      <c r="N505" s="86"/>
      <c r="O505" s="86"/>
      <c r="P505" s="86"/>
      <c r="Q505" s="86"/>
      <c r="R505" s="86"/>
      <c r="S505" s="85"/>
      <c r="T505" s="85"/>
      <c r="U505" s="85"/>
      <c r="V505" s="85"/>
      <c r="W505" s="85"/>
      <c r="X505" s="85"/>
      <c r="Y505" s="87"/>
      <c r="Z505" s="87"/>
      <c r="AA505" s="87"/>
      <c r="AB505" s="87"/>
      <c r="AC505" s="87"/>
      <c r="AD505" s="87"/>
    </row>
    <row r="506" ht="15.75" customHeight="1">
      <c r="G506" s="85"/>
      <c r="H506" s="85"/>
      <c r="I506" s="85"/>
      <c r="J506" s="85"/>
      <c r="K506" s="85"/>
      <c r="L506" s="85"/>
      <c r="M506" s="86"/>
      <c r="N506" s="86"/>
      <c r="O506" s="86"/>
      <c r="P506" s="86"/>
      <c r="Q506" s="86"/>
      <c r="R506" s="86"/>
      <c r="S506" s="85"/>
      <c r="T506" s="85"/>
      <c r="U506" s="85"/>
      <c r="V506" s="85"/>
      <c r="W506" s="85"/>
      <c r="X506" s="85"/>
      <c r="Y506" s="87"/>
      <c r="Z506" s="87"/>
      <c r="AA506" s="87"/>
      <c r="AB506" s="87"/>
      <c r="AC506" s="87"/>
      <c r="AD506" s="87"/>
    </row>
    <row r="507" ht="15.75" customHeight="1">
      <c r="G507" s="85"/>
      <c r="H507" s="85"/>
      <c r="I507" s="85"/>
      <c r="J507" s="85"/>
      <c r="K507" s="85"/>
      <c r="L507" s="85"/>
      <c r="M507" s="86"/>
      <c r="N507" s="86"/>
      <c r="O507" s="86"/>
      <c r="P507" s="86"/>
      <c r="Q507" s="86"/>
      <c r="R507" s="86"/>
      <c r="S507" s="85"/>
      <c r="T507" s="85"/>
      <c r="U507" s="85"/>
      <c r="V507" s="85"/>
      <c r="W507" s="85"/>
      <c r="X507" s="85"/>
      <c r="Y507" s="87"/>
      <c r="Z507" s="87"/>
      <c r="AA507" s="87"/>
      <c r="AB507" s="87"/>
      <c r="AC507" s="87"/>
      <c r="AD507" s="87"/>
    </row>
    <row r="508" ht="15.75" customHeight="1">
      <c r="G508" s="85"/>
      <c r="H508" s="85"/>
      <c r="I508" s="85"/>
      <c r="J508" s="85"/>
      <c r="K508" s="85"/>
      <c r="L508" s="85"/>
      <c r="M508" s="86"/>
      <c r="N508" s="86"/>
      <c r="O508" s="86"/>
      <c r="P508" s="86"/>
      <c r="Q508" s="86"/>
      <c r="R508" s="86"/>
      <c r="S508" s="85"/>
      <c r="T508" s="85"/>
      <c r="U508" s="85"/>
      <c r="V508" s="85"/>
      <c r="W508" s="85"/>
      <c r="X508" s="85"/>
      <c r="Y508" s="87"/>
      <c r="Z508" s="87"/>
      <c r="AA508" s="87"/>
      <c r="AB508" s="87"/>
      <c r="AC508" s="87"/>
      <c r="AD508" s="87"/>
    </row>
    <row r="509" ht="15.75" customHeight="1">
      <c r="G509" s="85"/>
      <c r="H509" s="85"/>
      <c r="I509" s="85"/>
      <c r="J509" s="85"/>
      <c r="K509" s="85"/>
      <c r="L509" s="85"/>
      <c r="M509" s="86"/>
      <c r="N509" s="86"/>
      <c r="O509" s="86"/>
      <c r="P509" s="86"/>
      <c r="Q509" s="86"/>
      <c r="R509" s="86"/>
      <c r="S509" s="85"/>
      <c r="T509" s="85"/>
      <c r="U509" s="85"/>
      <c r="V509" s="85"/>
      <c r="W509" s="85"/>
      <c r="X509" s="85"/>
      <c r="Y509" s="87"/>
      <c r="Z509" s="87"/>
      <c r="AA509" s="87"/>
      <c r="AB509" s="87"/>
      <c r="AC509" s="87"/>
      <c r="AD509" s="87"/>
    </row>
    <row r="510" ht="15.75" customHeight="1">
      <c r="G510" s="85"/>
      <c r="H510" s="85"/>
      <c r="I510" s="85"/>
      <c r="J510" s="85"/>
      <c r="K510" s="85"/>
      <c r="L510" s="85"/>
      <c r="M510" s="86"/>
      <c r="N510" s="86"/>
      <c r="O510" s="86"/>
      <c r="P510" s="86"/>
      <c r="Q510" s="86"/>
      <c r="R510" s="86"/>
      <c r="S510" s="85"/>
      <c r="T510" s="85"/>
      <c r="U510" s="85"/>
      <c r="V510" s="85"/>
      <c r="W510" s="85"/>
      <c r="X510" s="85"/>
      <c r="Y510" s="87"/>
      <c r="Z510" s="87"/>
      <c r="AA510" s="87"/>
      <c r="AB510" s="87"/>
      <c r="AC510" s="87"/>
      <c r="AD510" s="87"/>
    </row>
    <row r="511" ht="15.75" customHeight="1">
      <c r="G511" s="85"/>
      <c r="H511" s="85"/>
      <c r="I511" s="85"/>
      <c r="J511" s="85"/>
      <c r="K511" s="85"/>
      <c r="L511" s="85"/>
      <c r="M511" s="86"/>
      <c r="N511" s="86"/>
      <c r="O511" s="86"/>
      <c r="P511" s="86"/>
      <c r="Q511" s="86"/>
      <c r="R511" s="86"/>
      <c r="S511" s="85"/>
      <c r="T511" s="85"/>
      <c r="U511" s="85"/>
      <c r="V511" s="85"/>
      <c r="W511" s="85"/>
      <c r="X511" s="85"/>
      <c r="Y511" s="87"/>
      <c r="Z511" s="87"/>
      <c r="AA511" s="87"/>
      <c r="AB511" s="87"/>
      <c r="AC511" s="87"/>
      <c r="AD511" s="87"/>
    </row>
    <row r="512" ht="15.75" customHeight="1">
      <c r="G512" s="85"/>
      <c r="H512" s="85"/>
      <c r="I512" s="85"/>
      <c r="J512" s="85"/>
      <c r="K512" s="85"/>
      <c r="L512" s="85"/>
      <c r="M512" s="86"/>
      <c r="N512" s="86"/>
      <c r="O512" s="86"/>
      <c r="P512" s="86"/>
      <c r="Q512" s="86"/>
      <c r="R512" s="86"/>
      <c r="S512" s="85"/>
      <c r="T512" s="85"/>
      <c r="U512" s="85"/>
      <c r="V512" s="85"/>
      <c r="W512" s="85"/>
      <c r="X512" s="85"/>
      <c r="Y512" s="87"/>
      <c r="Z512" s="87"/>
      <c r="AA512" s="87"/>
      <c r="AB512" s="87"/>
      <c r="AC512" s="87"/>
      <c r="AD512" s="87"/>
    </row>
    <row r="513" ht="15.75" customHeight="1">
      <c r="G513" s="85"/>
      <c r="H513" s="85"/>
      <c r="I513" s="85"/>
      <c r="J513" s="85"/>
      <c r="K513" s="85"/>
      <c r="L513" s="85"/>
      <c r="M513" s="86"/>
      <c r="N513" s="86"/>
      <c r="O513" s="86"/>
      <c r="P513" s="86"/>
      <c r="Q513" s="86"/>
      <c r="R513" s="86"/>
      <c r="S513" s="85"/>
      <c r="T513" s="85"/>
      <c r="U513" s="85"/>
      <c r="V513" s="85"/>
      <c r="W513" s="85"/>
      <c r="X513" s="85"/>
      <c r="Y513" s="87"/>
      <c r="Z513" s="87"/>
      <c r="AA513" s="87"/>
      <c r="AB513" s="87"/>
      <c r="AC513" s="87"/>
      <c r="AD513" s="87"/>
    </row>
    <row r="514" ht="15.75" customHeight="1">
      <c r="G514" s="85"/>
      <c r="H514" s="85"/>
      <c r="I514" s="85"/>
      <c r="J514" s="85"/>
      <c r="K514" s="85"/>
      <c r="L514" s="85"/>
      <c r="M514" s="86"/>
      <c r="N514" s="86"/>
      <c r="O514" s="86"/>
      <c r="P514" s="86"/>
      <c r="Q514" s="86"/>
      <c r="R514" s="86"/>
      <c r="S514" s="85"/>
      <c r="T514" s="85"/>
      <c r="U514" s="85"/>
      <c r="V514" s="85"/>
      <c r="W514" s="85"/>
      <c r="X514" s="85"/>
      <c r="Y514" s="87"/>
      <c r="Z514" s="87"/>
      <c r="AA514" s="87"/>
      <c r="AB514" s="87"/>
      <c r="AC514" s="87"/>
      <c r="AD514" s="87"/>
    </row>
    <row r="515" ht="15.75" customHeight="1">
      <c r="G515" s="85"/>
      <c r="H515" s="85"/>
      <c r="I515" s="85"/>
      <c r="J515" s="85"/>
      <c r="K515" s="85"/>
      <c r="L515" s="85"/>
      <c r="M515" s="86"/>
      <c r="N515" s="86"/>
      <c r="O515" s="86"/>
      <c r="P515" s="86"/>
      <c r="Q515" s="86"/>
      <c r="R515" s="86"/>
      <c r="S515" s="85"/>
      <c r="T515" s="85"/>
      <c r="U515" s="85"/>
      <c r="V515" s="85"/>
      <c r="W515" s="85"/>
      <c r="X515" s="85"/>
      <c r="Y515" s="87"/>
      <c r="Z515" s="87"/>
      <c r="AA515" s="87"/>
      <c r="AB515" s="87"/>
      <c r="AC515" s="87"/>
      <c r="AD515" s="87"/>
    </row>
    <row r="516" ht="15.75" customHeight="1">
      <c r="G516" s="85"/>
      <c r="H516" s="85"/>
      <c r="I516" s="85"/>
      <c r="J516" s="85"/>
      <c r="K516" s="85"/>
      <c r="L516" s="85"/>
      <c r="M516" s="86"/>
      <c r="N516" s="86"/>
      <c r="O516" s="86"/>
      <c r="P516" s="86"/>
      <c r="Q516" s="86"/>
      <c r="R516" s="86"/>
      <c r="S516" s="85"/>
      <c r="T516" s="85"/>
      <c r="U516" s="85"/>
      <c r="V516" s="85"/>
      <c r="W516" s="85"/>
      <c r="X516" s="85"/>
      <c r="Y516" s="87"/>
      <c r="Z516" s="87"/>
      <c r="AA516" s="87"/>
      <c r="AB516" s="87"/>
      <c r="AC516" s="87"/>
      <c r="AD516" s="87"/>
    </row>
    <row r="517" ht="15.75" customHeight="1">
      <c r="G517" s="85"/>
      <c r="H517" s="85"/>
      <c r="I517" s="85"/>
      <c r="J517" s="85"/>
      <c r="K517" s="85"/>
      <c r="L517" s="85"/>
      <c r="M517" s="86"/>
      <c r="N517" s="86"/>
      <c r="O517" s="86"/>
      <c r="P517" s="86"/>
      <c r="Q517" s="86"/>
      <c r="R517" s="86"/>
      <c r="S517" s="85"/>
      <c r="T517" s="85"/>
      <c r="U517" s="85"/>
      <c r="V517" s="85"/>
      <c r="W517" s="85"/>
      <c r="X517" s="85"/>
      <c r="Y517" s="87"/>
      <c r="Z517" s="87"/>
      <c r="AA517" s="87"/>
      <c r="AB517" s="87"/>
      <c r="AC517" s="87"/>
      <c r="AD517" s="87"/>
    </row>
    <row r="518" ht="15.75" customHeight="1">
      <c r="G518" s="85"/>
      <c r="H518" s="85"/>
      <c r="I518" s="85"/>
      <c r="J518" s="85"/>
      <c r="K518" s="85"/>
      <c r="L518" s="85"/>
      <c r="M518" s="86"/>
      <c r="N518" s="86"/>
      <c r="O518" s="86"/>
      <c r="P518" s="86"/>
      <c r="Q518" s="86"/>
      <c r="R518" s="86"/>
      <c r="S518" s="85"/>
      <c r="T518" s="85"/>
      <c r="U518" s="85"/>
      <c r="V518" s="85"/>
      <c r="W518" s="85"/>
      <c r="X518" s="85"/>
      <c r="Y518" s="87"/>
      <c r="Z518" s="87"/>
      <c r="AA518" s="87"/>
      <c r="AB518" s="87"/>
      <c r="AC518" s="87"/>
      <c r="AD518" s="87"/>
    </row>
    <row r="519" ht="15.75" customHeight="1">
      <c r="G519" s="85"/>
      <c r="H519" s="85"/>
      <c r="I519" s="85"/>
      <c r="J519" s="85"/>
      <c r="K519" s="85"/>
      <c r="L519" s="85"/>
      <c r="M519" s="86"/>
      <c r="N519" s="86"/>
      <c r="O519" s="86"/>
      <c r="P519" s="86"/>
      <c r="Q519" s="86"/>
      <c r="R519" s="86"/>
      <c r="S519" s="85"/>
      <c r="T519" s="85"/>
      <c r="U519" s="85"/>
      <c r="V519" s="85"/>
      <c r="W519" s="85"/>
      <c r="X519" s="85"/>
      <c r="Y519" s="87"/>
      <c r="Z519" s="87"/>
      <c r="AA519" s="87"/>
      <c r="AB519" s="87"/>
      <c r="AC519" s="87"/>
      <c r="AD519" s="87"/>
    </row>
    <row r="520" ht="15.75" customHeight="1">
      <c r="G520" s="85"/>
      <c r="H520" s="85"/>
      <c r="I520" s="85"/>
      <c r="J520" s="85"/>
      <c r="K520" s="85"/>
      <c r="L520" s="85"/>
      <c r="M520" s="86"/>
      <c r="N520" s="86"/>
      <c r="O520" s="86"/>
      <c r="P520" s="86"/>
      <c r="Q520" s="86"/>
      <c r="R520" s="86"/>
      <c r="S520" s="85"/>
      <c r="T520" s="85"/>
      <c r="U520" s="85"/>
      <c r="V520" s="85"/>
      <c r="W520" s="85"/>
      <c r="X520" s="85"/>
      <c r="Y520" s="87"/>
      <c r="Z520" s="87"/>
      <c r="AA520" s="87"/>
      <c r="AB520" s="87"/>
      <c r="AC520" s="87"/>
      <c r="AD520" s="87"/>
    </row>
    <row r="521" ht="15.75" customHeight="1">
      <c r="G521" s="85"/>
      <c r="H521" s="85"/>
      <c r="I521" s="85"/>
      <c r="J521" s="85"/>
      <c r="K521" s="85"/>
      <c r="L521" s="85"/>
      <c r="M521" s="86"/>
      <c r="N521" s="86"/>
      <c r="O521" s="86"/>
      <c r="P521" s="86"/>
      <c r="Q521" s="86"/>
      <c r="R521" s="86"/>
      <c r="S521" s="85"/>
      <c r="T521" s="85"/>
      <c r="U521" s="85"/>
      <c r="V521" s="85"/>
      <c r="W521" s="85"/>
      <c r="X521" s="85"/>
      <c r="Y521" s="87"/>
      <c r="Z521" s="87"/>
      <c r="AA521" s="87"/>
      <c r="AB521" s="87"/>
      <c r="AC521" s="87"/>
      <c r="AD521" s="87"/>
    </row>
    <row r="522" ht="15.75" customHeight="1">
      <c r="G522" s="85"/>
      <c r="H522" s="85"/>
      <c r="I522" s="85"/>
      <c r="J522" s="85"/>
      <c r="K522" s="85"/>
      <c r="L522" s="85"/>
      <c r="M522" s="86"/>
      <c r="N522" s="86"/>
      <c r="O522" s="86"/>
      <c r="P522" s="86"/>
      <c r="Q522" s="86"/>
      <c r="R522" s="86"/>
      <c r="S522" s="85"/>
      <c r="T522" s="85"/>
      <c r="U522" s="85"/>
      <c r="V522" s="85"/>
      <c r="W522" s="85"/>
      <c r="X522" s="85"/>
      <c r="Y522" s="87"/>
      <c r="Z522" s="87"/>
      <c r="AA522" s="87"/>
      <c r="AB522" s="87"/>
      <c r="AC522" s="87"/>
      <c r="AD522" s="87"/>
    </row>
    <row r="523" ht="15.75" customHeight="1">
      <c r="G523" s="85"/>
      <c r="H523" s="85"/>
      <c r="I523" s="85"/>
      <c r="J523" s="85"/>
      <c r="K523" s="85"/>
      <c r="L523" s="85"/>
      <c r="M523" s="86"/>
      <c r="N523" s="86"/>
      <c r="O523" s="86"/>
      <c r="P523" s="86"/>
      <c r="Q523" s="86"/>
      <c r="R523" s="86"/>
      <c r="S523" s="85"/>
      <c r="T523" s="85"/>
      <c r="U523" s="85"/>
      <c r="V523" s="85"/>
      <c r="W523" s="85"/>
      <c r="X523" s="85"/>
      <c r="Y523" s="87"/>
      <c r="Z523" s="87"/>
      <c r="AA523" s="87"/>
      <c r="AB523" s="87"/>
      <c r="AC523" s="87"/>
      <c r="AD523" s="87"/>
    </row>
    <row r="524" ht="15.75" customHeight="1">
      <c r="G524" s="85"/>
      <c r="H524" s="85"/>
      <c r="I524" s="85"/>
      <c r="J524" s="85"/>
      <c r="K524" s="85"/>
      <c r="L524" s="85"/>
      <c r="M524" s="86"/>
      <c r="N524" s="86"/>
      <c r="O524" s="86"/>
      <c r="P524" s="86"/>
      <c r="Q524" s="86"/>
      <c r="R524" s="86"/>
      <c r="S524" s="85"/>
      <c r="T524" s="85"/>
      <c r="U524" s="85"/>
      <c r="V524" s="85"/>
      <c r="W524" s="85"/>
      <c r="X524" s="85"/>
      <c r="Y524" s="87"/>
      <c r="Z524" s="87"/>
      <c r="AA524" s="87"/>
      <c r="AB524" s="87"/>
      <c r="AC524" s="87"/>
      <c r="AD524" s="87"/>
    </row>
    <row r="525" ht="15.75" customHeight="1">
      <c r="G525" s="85"/>
      <c r="H525" s="85"/>
      <c r="I525" s="85"/>
      <c r="J525" s="85"/>
      <c r="K525" s="85"/>
      <c r="L525" s="85"/>
      <c r="M525" s="86"/>
      <c r="N525" s="86"/>
      <c r="O525" s="86"/>
      <c r="P525" s="86"/>
      <c r="Q525" s="86"/>
      <c r="R525" s="86"/>
      <c r="S525" s="85"/>
      <c r="T525" s="85"/>
      <c r="U525" s="85"/>
      <c r="V525" s="85"/>
      <c r="W525" s="85"/>
      <c r="X525" s="85"/>
      <c r="Y525" s="87"/>
      <c r="Z525" s="87"/>
      <c r="AA525" s="87"/>
      <c r="AB525" s="87"/>
      <c r="AC525" s="87"/>
      <c r="AD525" s="87"/>
    </row>
    <row r="526" ht="15.75" customHeight="1">
      <c r="G526" s="85"/>
      <c r="H526" s="85"/>
      <c r="I526" s="85"/>
      <c r="J526" s="85"/>
      <c r="K526" s="85"/>
      <c r="L526" s="85"/>
      <c r="M526" s="86"/>
      <c r="N526" s="86"/>
      <c r="O526" s="86"/>
      <c r="P526" s="86"/>
      <c r="Q526" s="86"/>
      <c r="R526" s="86"/>
      <c r="S526" s="85"/>
      <c r="T526" s="85"/>
      <c r="U526" s="85"/>
      <c r="V526" s="85"/>
      <c r="W526" s="85"/>
      <c r="X526" s="85"/>
      <c r="Y526" s="87"/>
      <c r="Z526" s="87"/>
      <c r="AA526" s="87"/>
      <c r="AB526" s="87"/>
      <c r="AC526" s="87"/>
      <c r="AD526" s="87"/>
    </row>
    <row r="527" ht="15.75" customHeight="1">
      <c r="G527" s="85"/>
      <c r="H527" s="85"/>
      <c r="I527" s="85"/>
      <c r="J527" s="85"/>
      <c r="K527" s="85"/>
      <c r="L527" s="85"/>
      <c r="M527" s="86"/>
      <c r="N527" s="86"/>
      <c r="O527" s="86"/>
      <c r="P527" s="86"/>
      <c r="Q527" s="86"/>
      <c r="R527" s="86"/>
      <c r="S527" s="85"/>
      <c r="T527" s="85"/>
      <c r="U527" s="85"/>
      <c r="V527" s="85"/>
      <c r="W527" s="85"/>
      <c r="X527" s="85"/>
      <c r="Y527" s="87"/>
      <c r="Z527" s="87"/>
      <c r="AA527" s="87"/>
      <c r="AB527" s="87"/>
      <c r="AC527" s="87"/>
      <c r="AD527" s="87"/>
    </row>
    <row r="528" ht="15.75" customHeight="1">
      <c r="G528" s="85"/>
      <c r="H528" s="85"/>
      <c r="I528" s="85"/>
      <c r="J528" s="85"/>
      <c r="K528" s="85"/>
      <c r="L528" s="85"/>
      <c r="M528" s="86"/>
      <c r="N528" s="86"/>
      <c r="O528" s="86"/>
      <c r="P528" s="86"/>
      <c r="Q528" s="86"/>
      <c r="R528" s="86"/>
      <c r="S528" s="85"/>
      <c r="T528" s="85"/>
      <c r="U528" s="85"/>
      <c r="V528" s="85"/>
      <c r="W528" s="85"/>
      <c r="X528" s="85"/>
      <c r="Y528" s="87"/>
      <c r="Z528" s="87"/>
      <c r="AA528" s="87"/>
      <c r="AB528" s="87"/>
      <c r="AC528" s="87"/>
      <c r="AD528" s="87"/>
    </row>
    <row r="529" ht="15.75" customHeight="1">
      <c r="G529" s="85"/>
      <c r="H529" s="85"/>
      <c r="I529" s="85"/>
      <c r="J529" s="85"/>
      <c r="K529" s="85"/>
      <c r="L529" s="85"/>
      <c r="M529" s="86"/>
      <c r="N529" s="86"/>
      <c r="O529" s="86"/>
      <c r="P529" s="86"/>
      <c r="Q529" s="86"/>
      <c r="R529" s="86"/>
      <c r="S529" s="85"/>
      <c r="T529" s="85"/>
      <c r="U529" s="85"/>
      <c r="V529" s="85"/>
      <c r="W529" s="85"/>
      <c r="X529" s="85"/>
      <c r="Y529" s="87"/>
      <c r="Z529" s="87"/>
      <c r="AA529" s="87"/>
      <c r="AB529" s="87"/>
      <c r="AC529" s="87"/>
      <c r="AD529" s="87"/>
    </row>
    <row r="530" ht="15.75" customHeight="1">
      <c r="G530" s="85"/>
      <c r="H530" s="85"/>
      <c r="I530" s="85"/>
      <c r="J530" s="85"/>
      <c r="K530" s="85"/>
      <c r="L530" s="85"/>
      <c r="M530" s="86"/>
      <c r="N530" s="86"/>
      <c r="O530" s="86"/>
      <c r="P530" s="86"/>
      <c r="Q530" s="86"/>
      <c r="R530" s="86"/>
      <c r="S530" s="85"/>
      <c r="T530" s="85"/>
      <c r="U530" s="85"/>
      <c r="V530" s="85"/>
      <c r="W530" s="85"/>
      <c r="X530" s="85"/>
      <c r="Y530" s="87"/>
      <c r="Z530" s="87"/>
      <c r="AA530" s="87"/>
      <c r="AB530" s="87"/>
      <c r="AC530" s="87"/>
      <c r="AD530" s="87"/>
    </row>
    <row r="531" ht="15.75" customHeight="1">
      <c r="G531" s="85"/>
      <c r="H531" s="85"/>
      <c r="I531" s="85"/>
      <c r="J531" s="85"/>
      <c r="K531" s="85"/>
      <c r="L531" s="85"/>
      <c r="M531" s="86"/>
      <c r="N531" s="86"/>
      <c r="O531" s="86"/>
      <c r="P531" s="86"/>
      <c r="Q531" s="86"/>
      <c r="R531" s="86"/>
      <c r="S531" s="85"/>
      <c r="T531" s="85"/>
      <c r="U531" s="85"/>
      <c r="V531" s="85"/>
      <c r="W531" s="85"/>
      <c r="X531" s="85"/>
      <c r="Y531" s="87"/>
      <c r="Z531" s="87"/>
      <c r="AA531" s="87"/>
      <c r="AB531" s="87"/>
      <c r="AC531" s="87"/>
      <c r="AD531" s="87"/>
    </row>
    <row r="532" ht="15.75" customHeight="1">
      <c r="G532" s="85"/>
      <c r="H532" s="85"/>
      <c r="I532" s="85"/>
      <c r="J532" s="85"/>
      <c r="K532" s="85"/>
      <c r="L532" s="85"/>
      <c r="M532" s="86"/>
      <c r="N532" s="86"/>
      <c r="O532" s="86"/>
      <c r="P532" s="86"/>
      <c r="Q532" s="86"/>
      <c r="R532" s="86"/>
      <c r="S532" s="85"/>
      <c r="T532" s="85"/>
      <c r="U532" s="85"/>
      <c r="V532" s="85"/>
      <c r="W532" s="85"/>
      <c r="X532" s="85"/>
      <c r="Y532" s="87"/>
      <c r="Z532" s="87"/>
      <c r="AA532" s="87"/>
      <c r="AB532" s="87"/>
      <c r="AC532" s="87"/>
      <c r="AD532" s="87"/>
    </row>
    <row r="533" ht="15.75" customHeight="1">
      <c r="G533" s="85"/>
      <c r="H533" s="85"/>
      <c r="I533" s="85"/>
      <c r="J533" s="85"/>
      <c r="K533" s="85"/>
      <c r="L533" s="85"/>
      <c r="M533" s="86"/>
      <c r="N533" s="86"/>
      <c r="O533" s="86"/>
      <c r="P533" s="86"/>
      <c r="Q533" s="86"/>
      <c r="R533" s="86"/>
      <c r="S533" s="85"/>
      <c r="T533" s="85"/>
      <c r="U533" s="85"/>
      <c r="V533" s="85"/>
      <c r="W533" s="85"/>
      <c r="X533" s="85"/>
      <c r="Y533" s="87"/>
      <c r="Z533" s="87"/>
      <c r="AA533" s="87"/>
      <c r="AB533" s="87"/>
      <c r="AC533" s="87"/>
      <c r="AD533" s="87"/>
    </row>
    <row r="534" ht="15.75" customHeight="1">
      <c r="G534" s="85"/>
      <c r="H534" s="85"/>
      <c r="I534" s="85"/>
      <c r="J534" s="85"/>
      <c r="K534" s="85"/>
      <c r="L534" s="85"/>
      <c r="M534" s="86"/>
      <c r="N534" s="86"/>
      <c r="O534" s="86"/>
      <c r="P534" s="86"/>
      <c r="Q534" s="86"/>
      <c r="R534" s="86"/>
      <c r="S534" s="85"/>
      <c r="T534" s="85"/>
      <c r="U534" s="85"/>
      <c r="V534" s="85"/>
      <c r="W534" s="85"/>
      <c r="X534" s="85"/>
      <c r="Y534" s="87"/>
      <c r="Z534" s="87"/>
      <c r="AA534" s="87"/>
      <c r="AB534" s="87"/>
      <c r="AC534" s="87"/>
      <c r="AD534" s="87"/>
    </row>
    <row r="535" ht="15.75" customHeight="1">
      <c r="G535" s="85"/>
      <c r="H535" s="85"/>
      <c r="I535" s="85"/>
      <c r="J535" s="85"/>
      <c r="K535" s="85"/>
      <c r="L535" s="85"/>
      <c r="M535" s="86"/>
      <c r="N535" s="86"/>
      <c r="O535" s="86"/>
      <c r="P535" s="86"/>
      <c r="Q535" s="86"/>
      <c r="R535" s="86"/>
      <c r="S535" s="85"/>
      <c r="T535" s="85"/>
      <c r="U535" s="85"/>
      <c r="V535" s="85"/>
      <c r="W535" s="85"/>
      <c r="X535" s="85"/>
      <c r="Y535" s="87"/>
      <c r="Z535" s="87"/>
      <c r="AA535" s="87"/>
      <c r="AB535" s="87"/>
      <c r="AC535" s="87"/>
      <c r="AD535" s="87"/>
    </row>
    <row r="536" ht="15.75" customHeight="1">
      <c r="G536" s="85"/>
      <c r="H536" s="85"/>
      <c r="I536" s="85"/>
      <c r="J536" s="85"/>
      <c r="K536" s="85"/>
      <c r="L536" s="85"/>
      <c r="M536" s="86"/>
      <c r="N536" s="86"/>
      <c r="O536" s="86"/>
      <c r="P536" s="86"/>
      <c r="Q536" s="86"/>
      <c r="R536" s="86"/>
      <c r="S536" s="85"/>
      <c r="T536" s="85"/>
      <c r="U536" s="85"/>
      <c r="V536" s="85"/>
      <c r="W536" s="85"/>
      <c r="X536" s="85"/>
      <c r="Y536" s="87"/>
      <c r="Z536" s="87"/>
      <c r="AA536" s="87"/>
      <c r="AB536" s="87"/>
      <c r="AC536" s="87"/>
      <c r="AD536" s="87"/>
    </row>
    <row r="537" ht="15.75" customHeight="1">
      <c r="G537" s="85"/>
      <c r="H537" s="85"/>
      <c r="I537" s="85"/>
      <c r="J537" s="85"/>
      <c r="K537" s="85"/>
      <c r="L537" s="85"/>
      <c r="M537" s="86"/>
      <c r="N537" s="86"/>
      <c r="O537" s="86"/>
      <c r="P537" s="86"/>
      <c r="Q537" s="86"/>
      <c r="R537" s="86"/>
      <c r="S537" s="85"/>
      <c r="T537" s="85"/>
      <c r="U537" s="85"/>
      <c r="V537" s="85"/>
      <c r="W537" s="85"/>
      <c r="X537" s="85"/>
      <c r="Y537" s="87"/>
      <c r="Z537" s="87"/>
      <c r="AA537" s="87"/>
      <c r="AB537" s="87"/>
      <c r="AC537" s="87"/>
      <c r="AD537" s="87"/>
    </row>
    <row r="538" ht="15.75" customHeight="1">
      <c r="G538" s="85"/>
      <c r="H538" s="85"/>
      <c r="I538" s="85"/>
      <c r="J538" s="85"/>
      <c r="K538" s="85"/>
      <c r="L538" s="85"/>
      <c r="M538" s="86"/>
      <c r="N538" s="86"/>
      <c r="O538" s="86"/>
      <c r="P538" s="86"/>
      <c r="Q538" s="86"/>
      <c r="R538" s="86"/>
      <c r="S538" s="85"/>
      <c r="T538" s="85"/>
      <c r="U538" s="85"/>
      <c r="V538" s="85"/>
      <c r="W538" s="85"/>
      <c r="X538" s="85"/>
      <c r="Y538" s="87"/>
      <c r="Z538" s="87"/>
      <c r="AA538" s="87"/>
      <c r="AB538" s="87"/>
      <c r="AC538" s="87"/>
      <c r="AD538" s="87"/>
    </row>
    <row r="539" ht="15.75" customHeight="1">
      <c r="G539" s="85"/>
      <c r="H539" s="85"/>
      <c r="I539" s="85"/>
      <c r="J539" s="85"/>
      <c r="K539" s="85"/>
      <c r="L539" s="85"/>
      <c r="M539" s="86"/>
      <c r="N539" s="86"/>
      <c r="O539" s="86"/>
      <c r="P539" s="86"/>
      <c r="Q539" s="86"/>
      <c r="R539" s="86"/>
      <c r="S539" s="85"/>
      <c r="T539" s="85"/>
      <c r="U539" s="85"/>
      <c r="V539" s="85"/>
      <c r="W539" s="85"/>
      <c r="X539" s="85"/>
      <c r="Y539" s="87"/>
      <c r="Z539" s="87"/>
      <c r="AA539" s="87"/>
      <c r="AB539" s="87"/>
      <c r="AC539" s="87"/>
      <c r="AD539" s="87"/>
    </row>
    <row r="540" ht="15.75" customHeight="1">
      <c r="G540" s="85"/>
      <c r="H540" s="85"/>
      <c r="I540" s="85"/>
      <c r="J540" s="85"/>
      <c r="K540" s="85"/>
      <c r="L540" s="85"/>
      <c r="M540" s="86"/>
      <c r="N540" s="86"/>
      <c r="O540" s="86"/>
      <c r="P540" s="86"/>
      <c r="Q540" s="86"/>
      <c r="R540" s="86"/>
      <c r="S540" s="85"/>
      <c r="T540" s="85"/>
      <c r="U540" s="85"/>
      <c r="V540" s="85"/>
      <c r="W540" s="85"/>
      <c r="X540" s="85"/>
      <c r="Y540" s="87"/>
      <c r="Z540" s="87"/>
      <c r="AA540" s="87"/>
      <c r="AB540" s="87"/>
      <c r="AC540" s="87"/>
      <c r="AD540" s="87"/>
    </row>
    <row r="541" ht="15.75" customHeight="1">
      <c r="G541" s="85"/>
      <c r="H541" s="85"/>
      <c r="I541" s="85"/>
      <c r="J541" s="85"/>
      <c r="K541" s="85"/>
      <c r="L541" s="85"/>
      <c r="M541" s="86"/>
      <c r="N541" s="86"/>
      <c r="O541" s="86"/>
      <c r="P541" s="86"/>
      <c r="Q541" s="86"/>
      <c r="R541" s="86"/>
      <c r="S541" s="85"/>
      <c r="T541" s="85"/>
      <c r="U541" s="85"/>
      <c r="V541" s="85"/>
      <c r="W541" s="85"/>
      <c r="X541" s="85"/>
      <c r="Y541" s="87"/>
      <c r="Z541" s="87"/>
      <c r="AA541" s="87"/>
      <c r="AB541" s="87"/>
      <c r="AC541" s="87"/>
      <c r="AD541" s="87"/>
    </row>
    <row r="542" ht="15.75" customHeight="1">
      <c r="G542" s="85"/>
      <c r="H542" s="85"/>
      <c r="I542" s="85"/>
      <c r="J542" s="85"/>
      <c r="K542" s="85"/>
      <c r="L542" s="85"/>
      <c r="M542" s="86"/>
      <c r="N542" s="86"/>
      <c r="O542" s="86"/>
      <c r="P542" s="86"/>
      <c r="Q542" s="86"/>
      <c r="R542" s="86"/>
      <c r="S542" s="85"/>
      <c r="T542" s="85"/>
      <c r="U542" s="85"/>
      <c r="V542" s="85"/>
      <c r="W542" s="85"/>
      <c r="X542" s="85"/>
      <c r="Y542" s="87"/>
      <c r="Z542" s="87"/>
      <c r="AA542" s="87"/>
      <c r="AB542" s="87"/>
      <c r="AC542" s="87"/>
      <c r="AD542" s="87"/>
    </row>
    <row r="543" ht="15.75" customHeight="1">
      <c r="G543" s="85"/>
      <c r="H543" s="85"/>
      <c r="I543" s="85"/>
      <c r="J543" s="85"/>
      <c r="K543" s="85"/>
      <c r="L543" s="85"/>
      <c r="M543" s="86"/>
      <c r="N543" s="86"/>
      <c r="O543" s="86"/>
      <c r="P543" s="86"/>
      <c r="Q543" s="86"/>
      <c r="R543" s="86"/>
      <c r="S543" s="85"/>
      <c r="T543" s="85"/>
      <c r="U543" s="85"/>
      <c r="V543" s="85"/>
      <c r="W543" s="85"/>
      <c r="X543" s="85"/>
      <c r="Y543" s="87"/>
      <c r="Z543" s="87"/>
      <c r="AA543" s="87"/>
      <c r="AB543" s="87"/>
      <c r="AC543" s="87"/>
      <c r="AD543" s="87"/>
    </row>
    <row r="544" ht="15.75" customHeight="1">
      <c r="G544" s="85"/>
      <c r="H544" s="85"/>
      <c r="I544" s="85"/>
      <c r="J544" s="85"/>
      <c r="K544" s="85"/>
      <c r="L544" s="85"/>
      <c r="M544" s="86"/>
      <c r="N544" s="86"/>
      <c r="O544" s="86"/>
      <c r="P544" s="86"/>
      <c r="Q544" s="86"/>
      <c r="R544" s="86"/>
      <c r="S544" s="85"/>
      <c r="T544" s="85"/>
      <c r="U544" s="85"/>
      <c r="V544" s="85"/>
      <c r="W544" s="85"/>
      <c r="X544" s="85"/>
      <c r="Y544" s="87"/>
      <c r="Z544" s="87"/>
      <c r="AA544" s="87"/>
      <c r="AB544" s="87"/>
      <c r="AC544" s="87"/>
      <c r="AD544" s="87"/>
    </row>
    <row r="545" ht="15.75" customHeight="1">
      <c r="G545" s="85"/>
      <c r="H545" s="85"/>
      <c r="I545" s="85"/>
      <c r="J545" s="85"/>
      <c r="K545" s="85"/>
      <c r="L545" s="85"/>
      <c r="M545" s="86"/>
      <c r="N545" s="86"/>
      <c r="O545" s="86"/>
      <c r="P545" s="86"/>
      <c r="Q545" s="86"/>
      <c r="R545" s="86"/>
      <c r="S545" s="85"/>
      <c r="T545" s="85"/>
      <c r="U545" s="85"/>
      <c r="V545" s="85"/>
      <c r="W545" s="85"/>
      <c r="X545" s="85"/>
      <c r="Y545" s="87"/>
      <c r="Z545" s="87"/>
      <c r="AA545" s="87"/>
      <c r="AB545" s="87"/>
      <c r="AC545" s="87"/>
      <c r="AD545" s="87"/>
    </row>
    <row r="546" ht="15.75" customHeight="1">
      <c r="G546" s="85"/>
      <c r="H546" s="85"/>
      <c r="I546" s="85"/>
      <c r="J546" s="85"/>
      <c r="K546" s="85"/>
      <c r="L546" s="85"/>
      <c r="M546" s="86"/>
      <c r="N546" s="86"/>
      <c r="O546" s="86"/>
      <c r="P546" s="86"/>
      <c r="Q546" s="86"/>
      <c r="R546" s="86"/>
      <c r="S546" s="85"/>
      <c r="T546" s="85"/>
      <c r="U546" s="85"/>
      <c r="V546" s="85"/>
      <c r="W546" s="85"/>
      <c r="X546" s="85"/>
      <c r="Y546" s="87"/>
      <c r="Z546" s="87"/>
      <c r="AA546" s="87"/>
      <c r="AB546" s="87"/>
      <c r="AC546" s="87"/>
      <c r="AD546" s="87"/>
    </row>
    <row r="547" ht="15.75" customHeight="1">
      <c r="G547" s="85"/>
      <c r="H547" s="85"/>
      <c r="I547" s="85"/>
      <c r="J547" s="85"/>
      <c r="K547" s="85"/>
      <c r="L547" s="85"/>
      <c r="M547" s="86"/>
      <c r="N547" s="86"/>
      <c r="O547" s="86"/>
      <c r="P547" s="86"/>
      <c r="Q547" s="86"/>
      <c r="R547" s="86"/>
      <c r="S547" s="85"/>
      <c r="T547" s="85"/>
      <c r="U547" s="85"/>
      <c r="V547" s="85"/>
      <c r="W547" s="85"/>
      <c r="X547" s="85"/>
      <c r="Y547" s="87"/>
      <c r="Z547" s="87"/>
      <c r="AA547" s="87"/>
      <c r="AB547" s="87"/>
      <c r="AC547" s="87"/>
      <c r="AD547" s="87"/>
    </row>
    <row r="548" ht="15.75" customHeight="1">
      <c r="G548" s="85"/>
      <c r="H548" s="85"/>
      <c r="I548" s="85"/>
      <c r="J548" s="85"/>
      <c r="K548" s="85"/>
      <c r="L548" s="85"/>
      <c r="M548" s="86"/>
      <c r="N548" s="86"/>
      <c r="O548" s="86"/>
      <c r="P548" s="86"/>
      <c r="Q548" s="86"/>
      <c r="R548" s="86"/>
      <c r="S548" s="85"/>
      <c r="T548" s="85"/>
      <c r="U548" s="85"/>
      <c r="V548" s="85"/>
      <c r="W548" s="85"/>
      <c r="X548" s="85"/>
      <c r="Y548" s="87"/>
      <c r="Z548" s="87"/>
      <c r="AA548" s="87"/>
      <c r="AB548" s="87"/>
      <c r="AC548" s="87"/>
      <c r="AD548" s="87"/>
    </row>
    <row r="549" ht="15.75" customHeight="1">
      <c r="G549" s="85"/>
      <c r="H549" s="85"/>
      <c r="I549" s="85"/>
      <c r="J549" s="85"/>
      <c r="K549" s="85"/>
      <c r="L549" s="85"/>
      <c r="M549" s="86"/>
      <c r="N549" s="86"/>
      <c r="O549" s="86"/>
      <c r="P549" s="86"/>
      <c r="Q549" s="86"/>
      <c r="R549" s="86"/>
      <c r="S549" s="85"/>
      <c r="T549" s="85"/>
      <c r="U549" s="85"/>
      <c r="V549" s="85"/>
      <c r="W549" s="85"/>
      <c r="X549" s="85"/>
      <c r="Y549" s="87"/>
      <c r="Z549" s="87"/>
      <c r="AA549" s="87"/>
      <c r="AB549" s="87"/>
      <c r="AC549" s="87"/>
      <c r="AD549" s="87"/>
    </row>
    <row r="550" ht="15.75" customHeight="1">
      <c r="G550" s="85"/>
      <c r="H550" s="85"/>
      <c r="I550" s="85"/>
      <c r="J550" s="85"/>
      <c r="K550" s="85"/>
      <c r="L550" s="85"/>
      <c r="M550" s="86"/>
      <c r="N550" s="86"/>
      <c r="O550" s="86"/>
      <c r="P550" s="86"/>
      <c r="Q550" s="86"/>
      <c r="R550" s="86"/>
      <c r="S550" s="85"/>
      <c r="T550" s="85"/>
      <c r="U550" s="85"/>
      <c r="V550" s="85"/>
      <c r="W550" s="85"/>
      <c r="X550" s="85"/>
      <c r="Y550" s="87"/>
      <c r="Z550" s="87"/>
      <c r="AA550" s="87"/>
      <c r="AB550" s="87"/>
      <c r="AC550" s="87"/>
      <c r="AD550" s="87"/>
    </row>
    <row r="551" ht="15.75" customHeight="1">
      <c r="G551" s="85"/>
      <c r="H551" s="85"/>
      <c r="I551" s="85"/>
      <c r="J551" s="85"/>
      <c r="K551" s="85"/>
      <c r="L551" s="85"/>
      <c r="M551" s="86"/>
      <c r="N551" s="86"/>
      <c r="O551" s="86"/>
      <c r="P551" s="86"/>
      <c r="Q551" s="86"/>
      <c r="R551" s="86"/>
      <c r="S551" s="85"/>
      <c r="T551" s="85"/>
      <c r="U551" s="85"/>
      <c r="V551" s="85"/>
      <c r="W551" s="85"/>
      <c r="X551" s="85"/>
      <c r="Y551" s="87"/>
      <c r="Z551" s="87"/>
      <c r="AA551" s="87"/>
      <c r="AB551" s="87"/>
      <c r="AC551" s="87"/>
      <c r="AD551" s="87"/>
    </row>
    <row r="552" ht="15.75" customHeight="1">
      <c r="G552" s="85"/>
      <c r="H552" s="85"/>
      <c r="I552" s="85"/>
      <c r="J552" s="85"/>
      <c r="K552" s="85"/>
      <c r="L552" s="85"/>
      <c r="M552" s="86"/>
      <c r="N552" s="86"/>
      <c r="O552" s="86"/>
      <c r="P552" s="86"/>
      <c r="Q552" s="86"/>
      <c r="R552" s="86"/>
      <c r="S552" s="85"/>
      <c r="T552" s="85"/>
      <c r="U552" s="85"/>
      <c r="V552" s="85"/>
      <c r="W552" s="85"/>
      <c r="X552" s="85"/>
      <c r="Y552" s="87"/>
      <c r="Z552" s="87"/>
      <c r="AA552" s="87"/>
      <c r="AB552" s="87"/>
      <c r="AC552" s="87"/>
      <c r="AD552" s="87"/>
    </row>
    <row r="553" ht="15.75" customHeight="1">
      <c r="G553" s="85"/>
      <c r="H553" s="85"/>
      <c r="I553" s="85"/>
      <c r="J553" s="85"/>
      <c r="K553" s="85"/>
      <c r="L553" s="85"/>
      <c r="M553" s="86"/>
      <c r="N553" s="86"/>
      <c r="O553" s="86"/>
      <c r="P553" s="86"/>
      <c r="Q553" s="86"/>
      <c r="R553" s="86"/>
      <c r="S553" s="85"/>
      <c r="T553" s="85"/>
      <c r="U553" s="85"/>
      <c r="V553" s="85"/>
      <c r="W553" s="85"/>
      <c r="X553" s="85"/>
      <c r="Y553" s="87"/>
      <c r="Z553" s="87"/>
      <c r="AA553" s="87"/>
      <c r="AB553" s="87"/>
      <c r="AC553" s="87"/>
      <c r="AD553" s="87"/>
    </row>
    <row r="554" ht="15.75" customHeight="1">
      <c r="G554" s="85"/>
      <c r="H554" s="85"/>
      <c r="I554" s="85"/>
      <c r="J554" s="85"/>
      <c r="K554" s="85"/>
      <c r="L554" s="85"/>
      <c r="M554" s="86"/>
      <c r="N554" s="86"/>
      <c r="O554" s="86"/>
      <c r="P554" s="86"/>
      <c r="Q554" s="86"/>
      <c r="R554" s="86"/>
      <c r="S554" s="85"/>
      <c r="T554" s="85"/>
      <c r="U554" s="85"/>
      <c r="V554" s="85"/>
      <c r="W554" s="85"/>
      <c r="X554" s="85"/>
      <c r="Y554" s="87"/>
      <c r="Z554" s="87"/>
      <c r="AA554" s="87"/>
      <c r="AB554" s="87"/>
      <c r="AC554" s="87"/>
      <c r="AD554" s="87"/>
    </row>
    <row r="555" ht="15.75" customHeight="1">
      <c r="G555" s="85"/>
      <c r="H555" s="85"/>
      <c r="I555" s="85"/>
      <c r="J555" s="85"/>
      <c r="K555" s="85"/>
      <c r="L555" s="85"/>
      <c r="M555" s="86"/>
      <c r="N555" s="86"/>
      <c r="O555" s="86"/>
      <c r="P555" s="86"/>
      <c r="Q555" s="86"/>
      <c r="R555" s="86"/>
      <c r="S555" s="85"/>
      <c r="T555" s="85"/>
      <c r="U555" s="85"/>
      <c r="V555" s="85"/>
      <c r="W555" s="85"/>
      <c r="X555" s="85"/>
      <c r="Y555" s="87"/>
      <c r="Z555" s="87"/>
      <c r="AA555" s="87"/>
      <c r="AB555" s="87"/>
      <c r="AC555" s="87"/>
      <c r="AD555" s="87"/>
    </row>
    <row r="556" ht="15.75" customHeight="1">
      <c r="G556" s="85"/>
      <c r="H556" s="85"/>
      <c r="I556" s="85"/>
      <c r="J556" s="85"/>
      <c r="K556" s="85"/>
      <c r="L556" s="85"/>
      <c r="M556" s="86"/>
      <c r="N556" s="86"/>
      <c r="O556" s="86"/>
      <c r="P556" s="86"/>
      <c r="Q556" s="86"/>
      <c r="R556" s="86"/>
      <c r="S556" s="85"/>
      <c r="T556" s="85"/>
      <c r="U556" s="85"/>
      <c r="V556" s="85"/>
      <c r="W556" s="85"/>
      <c r="X556" s="85"/>
      <c r="Y556" s="87"/>
      <c r="Z556" s="87"/>
      <c r="AA556" s="87"/>
      <c r="AB556" s="87"/>
      <c r="AC556" s="87"/>
      <c r="AD556" s="87"/>
    </row>
    <row r="557" ht="15.75" customHeight="1">
      <c r="G557" s="85"/>
      <c r="H557" s="85"/>
      <c r="I557" s="85"/>
      <c r="J557" s="85"/>
      <c r="K557" s="85"/>
      <c r="L557" s="85"/>
      <c r="M557" s="86"/>
      <c r="N557" s="86"/>
      <c r="O557" s="86"/>
      <c r="P557" s="86"/>
      <c r="Q557" s="86"/>
      <c r="R557" s="86"/>
      <c r="S557" s="85"/>
      <c r="T557" s="85"/>
      <c r="U557" s="85"/>
      <c r="V557" s="85"/>
      <c r="W557" s="85"/>
      <c r="X557" s="85"/>
      <c r="Y557" s="87"/>
      <c r="Z557" s="87"/>
      <c r="AA557" s="87"/>
      <c r="AB557" s="87"/>
      <c r="AC557" s="87"/>
      <c r="AD557" s="87"/>
    </row>
    <row r="558" ht="15.75" customHeight="1">
      <c r="G558" s="85"/>
      <c r="H558" s="85"/>
      <c r="I558" s="85"/>
      <c r="J558" s="85"/>
      <c r="K558" s="85"/>
      <c r="L558" s="85"/>
      <c r="M558" s="86"/>
      <c r="N558" s="86"/>
      <c r="O558" s="86"/>
      <c r="P558" s="86"/>
      <c r="Q558" s="86"/>
      <c r="R558" s="86"/>
      <c r="S558" s="85"/>
      <c r="T558" s="85"/>
      <c r="U558" s="85"/>
      <c r="V558" s="85"/>
      <c r="W558" s="85"/>
      <c r="X558" s="85"/>
      <c r="Y558" s="87"/>
      <c r="Z558" s="87"/>
      <c r="AA558" s="87"/>
      <c r="AB558" s="87"/>
      <c r="AC558" s="87"/>
      <c r="AD558" s="87"/>
    </row>
    <row r="559" ht="15.75" customHeight="1">
      <c r="G559" s="85"/>
      <c r="H559" s="85"/>
      <c r="I559" s="85"/>
      <c r="J559" s="85"/>
      <c r="K559" s="85"/>
      <c r="L559" s="85"/>
      <c r="M559" s="86"/>
      <c r="N559" s="86"/>
      <c r="O559" s="86"/>
      <c r="P559" s="86"/>
      <c r="Q559" s="86"/>
      <c r="R559" s="86"/>
      <c r="S559" s="85"/>
      <c r="T559" s="85"/>
      <c r="U559" s="85"/>
      <c r="V559" s="85"/>
      <c r="W559" s="85"/>
      <c r="X559" s="85"/>
      <c r="Y559" s="87"/>
      <c r="Z559" s="87"/>
      <c r="AA559" s="87"/>
      <c r="AB559" s="87"/>
      <c r="AC559" s="87"/>
      <c r="AD559" s="87"/>
    </row>
    <row r="560" ht="15.75" customHeight="1">
      <c r="G560" s="85"/>
      <c r="H560" s="85"/>
      <c r="I560" s="85"/>
      <c r="J560" s="85"/>
      <c r="K560" s="85"/>
      <c r="L560" s="85"/>
      <c r="M560" s="86"/>
      <c r="N560" s="86"/>
      <c r="O560" s="86"/>
      <c r="P560" s="86"/>
      <c r="Q560" s="86"/>
      <c r="R560" s="86"/>
      <c r="S560" s="85"/>
      <c r="T560" s="85"/>
      <c r="U560" s="85"/>
      <c r="V560" s="85"/>
      <c r="W560" s="85"/>
      <c r="X560" s="85"/>
      <c r="Y560" s="87"/>
      <c r="Z560" s="87"/>
      <c r="AA560" s="87"/>
      <c r="AB560" s="87"/>
      <c r="AC560" s="87"/>
      <c r="AD560" s="87"/>
    </row>
    <row r="561" ht="15.75" customHeight="1">
      <c r="G561" s="85"/>
      <c r="H561" s="85"/>
      <c r="I561" s="85"/>
      <c r="J561" s="85"/>
      <c r="K561" s="85"/>
      <c r="L561" s="85"/>
      <c r="M561" s="86"/>
      <c r="N561" s="86"/>
      <c r="O561" s="86"/>
      <c r="P561" s="86"/>
      <c r="Q561" s="86"/>
      <c r="R561" s="86"/>
      <c r="S561" s="85"/>
      <c r="T561" s="85"/>
      <c r="U561" s="85"/>
      <c r="V561" s="85"/>
      <c r="W561" s="85"/>
      <c r="X561" s="85"/>
      <c r="Y561" s="87"/>
      <c r="Z561" s="87"/>
      <c r="AA561" s="87"/>
      <c r="AB561" s="87"/>
      <c r="AC561" s="87"/>
      <c r="AD561" s="87"/>
    </row>
    <row r="562" ht="15.75" customHeight="1">
      <c r="G562" s="85"/>
      <c r="H562" s="85"/>
      <c r="I562" s="85"/>
      <c r="J562" s="85"/>
      <c r="K562" s="85"/>
      <c r="L562" s="85"/>
      <c r="M562" s="86"/>
      <c r="N562" s="86"/>
      <c r="O562" s="86"/>
      <c r="P562" s="86"/>
      <c r="Q562" s="86"/>
      <c r="R562" s="86"/>
      <c r="S562" s="85"/>
      <c r="T562" s="85"/>
      <c r="U562" s="85"/>
      <c r="V562" s="85"/>
      <c r="W562" s="85"/>
      <c r="X562" s="85"/>
      <c r="Y562" s="87"/>
      <c r="Z562" s="87"/>
      <c r="AA562" s="87"/>
      <c r="AB562" s="87"/>
      <c r="AC562" s="87"/>
      <c r="AD562" s="87"/>
    </row>
    <row r="563" ht="15.75" customHeight="1">
      <c r="G563" s="85"/>
      <c r="H563" s="85"/>
      <c r="I563" s="85"/>
      <c r="J563" s="85"/>
      <c r="K563" s="85"/>
      <c r="L563" s="85"/>
      <c r="M563" s="86"/>
      <c r="N563" s="86"/>
      <c r="O563" s="86"/>
      <c r="P563" s="86"/>
      <c r="Q563" s="86"/>
      <c r="R563" s="86"/>
      <c r="S563" s="85"/>
      <c r="T563" s="85"/>
      <c r="U563" s="85"/>
      <c r="V563" s="85"/>
      <c r="W563" s="85"/>
      <c r="X563" s="85"/>
      <c r="Y563" s="87"/>
      <c r="Z563" s="87"/>
      <c r="AA563" s="87"/>
      <c r="AB563" s="87"/>
      <c r="AC563" s="87"/>
      <c r="AD563" s="87"/>
    </row>
    <row r="564" ht="15.75" customHeight="1">
      <c r="G564" s="85"/>
      <c r="H564" s="85"/>
      <c r="I564" s="85"/>
      <c r="J564" s="85"/>
      <c r="K564" s="85"/>
      <c r="L564" s="85"/>
      <c r="M564" s="86"/>
      <c r="N564" s="86"/>
      <c r="O564" s="86"/>
      <c r="P564" s="86"/>
      <c r="Q564" s="86"/>
      <c r="R564" s="86"/>
      <c r="S564" s="85"/>
      <c r="T564" s="85"/>
      <c r="U564" s="85"/>
      <c r="V564" s="85"/>
      <c r="W564" s="85"/>
      <c r="X564" s="85"/>
      <c r="Y564" s="87"/>
      <c r="Z564" s="87"/>
      <c r="AA564" s="87"/>
      <c r="AB564" s="87"/>
      <c r="AC564" s="87"/>
      <c r="AD564" s="87"/>
    </row>
    <row r="565" ht="15.75" customHeight="1">
      <c r="G565" s="85"/>
      <c r="H565" s="85"/>
      <c r="I565" s="85"/>
      <c r="J565" s="85"/>
      <c r="K565" s="85"/>
      <c r="L565" s="85"/>
      <c r="M565" s="86"/>
      <c r="N565" s="86"/>
      <c r="O565" s="86"/>
      <c r="P565" s="86"/>
      <c r="Q565" s="86"/>
      <c r="R565" s="86"/>
      <c r="S565" s="85"/>
      <c r="T565" s="85"/>
      <c r="U565" s="85"/>
      <c r="V565" s="85"/>
      <c r="W565" s="85"/>
      <c r="X565" s="85"/>
      <c r="Y565" s="87"/>
      <c r="Z565" s="87"/>
      <c r="AA565" s="87"/>
      <c r="AB565" s="87"/>
      <c r="AC565" s="87"/>
      <c r="AD565" s="87"/>
    </row>
    <row r="566" ht="15.75" customHeight="1">
      <c r="G566" s="85"/>
      <c r="H566" s="85"/>
      <c r="I566" s="85"/>
      <c r="J566" s="85"/>
      <c r="K566" s="85"/>
      <c r="L566" s="85"/>
      <c r="M566" s="86"/>
      <c r="N566" s="86"/>
      <c r="O566" s="86"/>
      <c r="P566" s="86"/>
      <c r="Q566" s="86"/>
      <c r="R566" s="86"/>
      <c r="S566" s="85"/>
      <c r="T566" s="85"/>
      <c r="U566" s="85"/>
      <c r="V566" s="85"/>
      <c r="W566" s="85"/>
      <c r="X566" s="85"/>
      <c r="Y566" s="87"/>
      <c r="Z566" s="87"/>
      <c r="AA566" s="87"/>
      <c r="AB566" s="87"/>
      <c r="AC566" s="87"/>
      <c r="AD566" s="87"/>
    </row>
    <row r="567" ht="15.75" customHeight="1">
      <c r="G567" s="85"/>
      <c r="H567" s="85"/>
      <c r="I567" s="85"/>
      <c r="J567" s="85"/>
      <c r="K567" s="85"/>
      <c r="L567" s="85"/>
      <c r="M567" s="86"/>
      <c r="N567" s="86"/>
      <c r="O567" s="86"/>
      <c r="P567" s="86"/>
      <c r="Q567" s="86"/>
      <c r="R567" s="86"/>
      <c r="S567" s="85"/>
      <c r="T567" s="85"/>
      <c r="U567" s="85"/>
      <c r="V567" s="85"/>
      <c r="W567" s="85"/>
      <c r="X567" s="85"/>
      <c r="Y567" s="87"/>
      <c r="Z567" s="87"/>
      <c r="AA567" s="87"/>
      <c r="AB567" s="87"/>
      <c r="AC567" s="87"/>
      <c r="AD567" s="87"/>
    </row>
    <row r="568" ht="15.75" customHeight="1">
      <c r="G568" s="85"/>
      <c r="H568" s="85"/>
      <c r="I568" s="85"/>
      <c r="J568" s="85"/>
      <c r="K568" s="85"/>
      <c r="L568" s="85"/>
      <c r="M568" s="86"/>
      <c r="N568" s="86"/>
      <c r="O568" s="86"/>
      <c r="P568" s="86"/>
      <c r="Q568" s="86"/>
      <c r="R568" s="86"/>
      <c r="S568" s="85"/>
      <c r="T568" s="85"/>
      <c r="U568" s="85"/>
      <c r="V568" s="85"/>
      <c r="W568" s="85"/>
      <c r="X568" s="85"/>
      <c r="Y568" s="87"/>
      <c r="Z568" s="87"/>
      <c r="AA568" s="87"/>
      <c r="AB568" s="87"/>
      <c r="AC568" s="87"/>
      <c r="AD568" s="87"/>
    </row>
    <row r="569" ht="15.75" customHeight="1">
      <c r="G569" s="85"/>
      <c r="H569" s="85"/>
      <c r="I569" s="85"/>
      <c r="J569" s="85"/>
      <c r="K569" s="85"/>
      <c r="L569" s="85"/>
      <c r="M569" s="86"/>
      <c r="N569" s="86"/>
      <c r="O569" s="86"/>
      <c r="P569" s="86"/>
      <c r="Q569" s="86"/>
      <c r="R569" s="86"/>
      <c r="S569" s="85"/>
      <c r="T569" s="85"/>
      <c r="U569" s="85"/>
      <c r="V569" s="85"/>
      <c r="W569" s="85"/>
      <c r="X569" s="85"/>
      <c r="Y569" s="87"/>
      <c r="Z569" s="87"/>
      <c r="AA569" s="87"/>
      <c r="AB569" s="87"/>
      <c r="AC569" s="87"/>
      <c r="AD569" s="87"/>
    </row>
    <row r="570" ht="15.75" customHeight="1">
      <c r="G570" s="85"/>
      <c r="H570" s="85"/>
      <c r="I570" s="85"/>
      <c r="J570" s="85"/>
      <c r="K570" s="85"/>
      <c r="L570" s="85"/>
      <c r="M570" s="86"/>
      <c r="N570" s="86"/>
      <c r="O570" s="86"/>
      <c r="P570" s="86"/>
      <c r="Q570" s="86"/>
      <c r="R570" s="86"/>
      <c r="S570" s="85"/>
      <c r="T570" s="85"/>
      <c r="U570" s="85"/>
      <c r="V570" s="85"/>
      <c r="W570" s="85"/>
      <c r="X570" s="85"/>
      <c r="Y570" s="87"/>
      <c r="Z570" s="87"/>
      <c r="AA570" s="87"/>
      <c r="AB570" s="87"/>
      <c r="AC570" s="87"/>
      <c r="AD570" s="87"/>
    </row>
    <row r="571" ht="15.75" customHeight="1">
      <c r="G571" s="85"/>
      <c r="H571" s="85"/>
      <c r="I571" s="85"/>
      <c r="J571" s="85"/>
      <c r="K571" s="85"/>
      <c r="L571" s="85"/>
      <c r="M571" s="86"/>
      <c r="N571" s="86"/>
      <c r="O571" s="86"/>
      <c r="P571" s="86"/>
      <c r="Q571" s="86"/>
      <c r="R571" s="86"/>
      <c r="S571" s="85"/>
      <c r="T571" s="85"/>
      <c r="U571" s="85"/>
      <c r="V571" s="85"/>
      <c r="W571" s="85"/>
      <c r="X571" s="85"/>
      <c r="Y571" s="87"/>
      <c r="Z571" s="87"/>
      <c r="AA571" s="87"/>
      <c r="AB571" s="87"/>
      <c r="AC571" s="87"/>
      <c r="AD571" s="87"/>
    </row>
    <row r="572" ht="15.75" customHeight="1">
      <c r="G572" s="85"/>
      <c r="H572" s="85"/>
      <c r="I572" s="85"/>
      <c r="J572" s="85"/>
      <c r="K572" s="85"/>
      <c r="L572" s="85"/>
      <c r="M572" s="86"/>
      <c r="N572" s="86"/>
      <c r="O572" s="86"/>
      <c r="P572" s="86"/>
      <c r="Q572" s="86"/>
      <c r="R572" s="86"/>
      <c r="S572" s="85"/>
      <c r="T572" s="85"/>
      <c r="U572" s="85"/>
      <c r="V572" s="85"/>
      <c r="W572" s="85"/>
      <c r="X572" s="85"/>
      <c r="Y572" s="87"/>
      <c r="Z572" s="87"/>
      <c r="AA572" s="87"/>
      <c r="AB572" s="87"/>
      <c r="AC572" s="87"/>
      <c r="AD572" s="87"/>
    </row>
    <row r="573" ht="15.75" customHeight="1">
      <c r="G573" s="85"/>
      <c r="H573" s="85"/>
      <c r="I573" s="85"/>
      <c r="J573" s="85"/>
      <c r="K573" s="85"/>
      <c r="L573" s="85"/>
      <c r="M573" s="86"/>
      <c r="N573" s="86"/>
      <c r="O573" s="86"/>
      <c r="P573" s="86"/>
      <c r="Q573" s="86"/>
      <c r="R573" s="86"/>
      <c r="S573" s="85"/>
      <c r="T573" s="85"/>
      <c r="U573" s="85"/>
      <c r="V573" s="85"/>
      <c r="W573" s="85"/>
      <c r="X573" s="85"/>
      <c r="Y573" s="87"/>
      <c r="Z573" s="87"/>
      <c r="AA573" s="87"/>
      <c r="AB573" s="87"/>
      <c r="AC573" s="87"/>
      <c r="AD573" s="87"/>
    </row>
    <row r="574" ht="15.75" customHeight="1">
      <c r="G574" s="85"/>
      <c r="H574" s="85"/>
      <c r="I574" s="85"/>
      <c r="J574" s="85"/>
      <c r="K574" s="85"/>
      <c r="L574" s="85"/>
      <c r="M574" s="86"/>
      <c r="N574" s="86"/>
      <c r="O574" s="86"/>
      <c r="P574" s="86"/>
      <c r="Q574" s="86"/>
      <c r="R574" s="86"/>
      <c r="S574" s="85"/>
      <c r="T574" s="85"/>
      <c r="U574" s="85"/>
      <c r="V574" s="85"/>
      <c r="W574" s="85"/>
      <c r="X574" s="85"/>
      <c r="Y574" s="87"/>
      <c r="Z574" s="87"/>
      <c r="AA574" s="87"/>
      <c r="AB574" s="87"/>
      <c r="AC574" s="87"/>
      <c r="AD574" s="87"/>
    </row>
    <row r="575" ht="15.75" customHeight="1">
      <c r="G575" s="85"/>
      <c r="H575" s="85"/>
      <c r="I575" s="85"/>
      <c r="J575" s="85"/>
      <c r="K575" s="85"/>
      <c r="L575" s="85"/>
      <c r="M575" s="86"/>
      <c r="N575" s="86"/>
      <c r="O575" s="86"/>
      <c r="P575" s="86"/>
      <c r="Q575" s="86"/>
      <c r="R575" s="86"/>
      <c r="S575" s="85"/>
      <c r="T575" s="85"/>
      <c r="U575" s="85"/>
      <c r="V575" s="85"/>
      <c r="W575" s="85"/>
      <c r="X575" s="85"/>
      <c r="Y575" s="87"/>
      <c r="Z575" s="87"/>
      <c r="AA575" s="87"/>
      <c r="AB575" s="87"/>
      <c r="AC575" s="87"/>
      <c r="AD575" s="87"/>
    </row>
    <row r="576" ht="15.75" customHeight="1">
      <c r="G576" s="85"/>
      <c r="H576" s="85"/>
      <c r="I576" s="85"/>
      <c r="J576" s="85"/>
      <c r="K576" s="85"/>
      <c r="L576" s="85"/>
      <c r="M576" s="86"/>
      <c r="N576" s="86"/>
      <c r="O576" s="86"/>
      <c r="P576" s="86"/>
      <c r="Q576" s="86"/>
      <c r="R576" s="86"/>
      <c r="S576" s="85"/>
      <c r="T576" s="85"/>
      <c r="U576" s="85"/>
      <c r="V576" s="85"/>
      <c r="W576" s="85"/>
      <c r="X576" s="85"/>
      <c r="Y576" s="87"/>
      <c r="Z576" s="87"/>
      <c r="AA576" s="87"/>
      <c r="AB576" s="87"/>
      <c r="AC576" s="87"/>
      <c r="AD576" s="87"/>
    </row>
    <row r="577" ht="15.75" customHeight="1">
      <c r="G577" s="85"/>
      <c r="H577" s="85"/>
      <c r="I577" s="85"/>
      <c r="J577" s="85"/>
      <c r="K577" s="85"/>
      <c r="L577" s="85"/>
      <c r="M577" s="86"/>
      <c r="N577" s="86"/>
      <c r="O577" s="86"/>
      <c r="P577" s="86"/>
      <c r="Q577" s="86"/>
      <c r="R577" s="86"/>
      <c r="S577" s="85"/>
      <c r="T577" s="85"/>
      <c r="U577" s="85"/>
      <c r="V577" s="85"/>
      <c r="W577" s="85"/>
      <c r="X577" s="85"/>
      <c r="Y577" s="87"/>
      <c r="Z577" s="87"/>
      <c r="AA577" s="87"/>
      <c r="AB577" s="87"/>
      <c r="AC577" s="87"/>
      <c r="AD577" s="87"/>
    </row>
    <row r="578" ht="15.75" customHeight="1">
      <c r="G578" s="85"/>
      <c r="H578" s="85"/>
      <c r="I578" s="85"/>
      <c r="J578" s="85"/>
      <c r="K578" s="85"/>
      <c r="L578" s="85"/>
      <c r="M578" s="86"/>
      <c r="N578" s="86"/>
      <c r="O578" s="86"/>
      <c r="P578" s="86"/>
      <c r="Q578" s="86"/>
      <c r="R578" s="86"/>
      <c r="S578" s="85"/>
      <c r="T578" s="85"/>
      <c r="U578" s="85"/>
      <c r="V578" s="85"/>
      <c r="W578" s="85"/>
      <c r="X578" s="85"/>
      <c r="Y578" s="87"/>
      <c r="Z578" s="87"/>
      <c r="AA578" s="87"/>
      <c r="AB578" s="87"/>
      <c r="AC578" s="87"/>
      <c r="AD578" s="87"/>
    </row>
    <row r="579" ht="15.75" customHeight="1">
      <c r="G579" s="85"/>
      <c r="H579" s="85"/>
      <c r="I579" s="85"/>
      <c r="J579" s="85"/>
      <c r="K579" s="85"/>
      <c r="L579" s="85"/>
      <c r="M579" s="86"/>
      <c r="N579" s="86"/>
      <c r="O579" s="86"/>
      <c r="P579" s="86"/>
      <c r="Q579" s="86"/>
      <c r="R579" s="86"/>
      <c r="S579" s="85"/>
      <c r="T579" s="85"/>
      <c r="U579" s="85"/>
      <c r="V579" s="85"/>
      <c r="W579" s="85"/>
      <c r="X579" s="85"/>
      <c r="Y579" s="87"/>
      <c r="Z579" s="87"/>
      <c r="AA579" s="87"/>
      <c r="AB579" s="87"/>
      <c r="AC579" s="87"/>
      <c r="AD579" s="87"/>
    </row>
    <row r="580" ht="15.75" customHeight="1">
      <c r="G580" s="85"/>
      <c r="H580" s="85"/>
      <c r="I580" s="85"/>
      <c r="J580" s="85"/>
      <c r="K580" s="85"/>
      <c r="L580" s="85"/>
      <c r="M580" s="86"/>
      <c r="N580" s="86"/>
      <c r="O580" s="86"/>
      <c r="P580" s="86"/>
      <c r="Q580" s="86"/>
      <c r="R580" s="86"/>
      <c r="S580" s="85"/>
      <c r="T580" s="85"/>
      <c r="U580" s="85"/>
      <c r="V580" s="85"/>
      <c r="W580" s="85"/>
      <c r="X580" s="85"/>
      <c r="Y580" s="87"/>
      <c r="Z580" s="87"/>
      <c r="AA580" s="87"/>
      <c r="AB580" s="87"/>
      <c r="AC580" s="87"/>
      <c r="AD580" s="87"/>
    </row>
    <row r="581" ht="15.75" customHeight="1">
      <c r="G581" s="85"/>
      <c r="H581" s="85"/>
      <c r="I581" s="85"/>
      <c r="J581" s="85"/>
      <c r="K581" s="85"/>
      <c r="L581" s="85"/>
      <c r="M581" s="86"/>
      <c r="N581" s="86"/>
      <c r="O581" s="86"/>
      <c r="P581" s="86"/>
      <c r="Q581" s="86"/>
      <c r="R581" s="86"/>
      <c r="S581" s="85"/>
      <c r="T581" s="85"/>
      <c r="U581" s="85"/>
      <c r="V581" s="85"/>
      <c r="W581" s="85"/>
      <c r="X581" s="85"/>
      <c r="Y581" s="87"/>
      <c r="Z581" s="87"/>
      <c r="AA581" s="87"/>
      <c r="AB581" s="87"/>
      <c r="AC581" s="87"/>
      <c r="AD581" s="87"/>
    </row>
    <row r="582" ht="15.75" customHeight="1">
      <c r="G582" s="85"/>
      <c r="H582" s="85"/>
      <c r="I582" s="85"/>
      <c r="J582" s="85"/>
      <c r="K582" s="85"/>
      <c r="L582" s="85"/>
      <c r="M582" s="86"/>
      <c r="N582" s="86"/>
      <c r="O582" s="86"/>
      <c r="P582" s="86"/>
      <c r="Q582" s="86"/>
      <c r="R582" s="86"/>
      <c r="S582" s="85"/>
      <c r="T582" s="85"/>
      <c r="U582" s="85"/>
      <c r="V582" s="85"/>
      <c r="W582" s="85"/>
      <c r="X582" s="85"/>
      <c r="Y582" s="87"/>
      <c r="Z582" s="87"/>
      <c r="AA582" s="87"/>
      <c r="AB582" s="87"/>
      <c r="AC582" s="87"/>
      <c r="AD582" s="87"/>
    </row>
    <row r="583" ht="15.75" customHeight="1">
      <c r="G583" s="85"/>
      <c r="H583" s="85"/>
      <c r="I583" s="85"/>
      <c r="J583" s="85"/>
      <c r="K583" s="85"/>
      <c r="L583" s="85"/>
      <c r="M583" s="86"/>
      <c r="N583" s="86"/>
      <c r="O583" s="86"/>
      <c r="P583" s="86"/>
      <c r="Q583" s="86"/>
      <c r="R583" s="86"/>
      <c r="S583" s="85"/>
      <c r="T583" s="85"/>
      <c r="U583" s="85"/>
      <c r="V583" s="85"/>
      <c r="W583" s="85"/>
      <c r="X583" s="85"/>
      <c r="Y583" s="87"/>
      <c r="Z583" s="87"/>
      <c r="AA583" s="87"/>
      <c r="AB583" s="87"/>
      <c r="AC583" s="87"/>
      <c r="AD583" s="87"/>
    </row>
    <row r="584" ht="15.75" customHeight="1">
      <c r="G584" s="85"/>
      <c r="H584" s="85"/>
      <c r="I584" s="85"/>
      <c r="J584" s="85"/>
      <c r="K584" s="85"/>
      <c r="L584" s="85"/>
      <c r="M584" s="86"/>
      <c r="N584" s="86"/>
      <c r="O584" s="86"/>
      <c r="P584" s="86"/>
      <c r="Q584" s="86"/>
      <c r="R584" s="86"/>
      <c r="S584" s="85"/>
      <c r="T584" s="85"/>
      <c r="U584" s="85"/>
      <c r="V584" s="85"/>
      <c r="W584" s="85"/>
      <c r="X584" s="85"/>
      <c r="Y584" s="87"/>
      <c r="Z584" s="87"/>
      <c r="AA584" s="87"/>
      <c r="AB584" s="87"/>
      <c r="AC584" s="87"/>
      <c r="AD584" s="87"/>
    </row>
    <row r="585" ht="15.75" customHeight="1">
      <c r="G585" s="85"/>
      <c r="H585" s="85"/>
      <c r="I585" s="85"/>
      <c r="J585" s="85"/>
      <c r="K585" s="85"/>
      <c r="L585" s="85"/>
      <c r="M585" s="86"/>
      <c r="N585" s="86"/>
      <c r="O585" s="86"/>
      <c r="P585" s="86"/>
      <c r="Q585" s="86"/>
      <c r="R585" s="86"/>
      <c r="S585" s="85"/>
      <c r="T585" s="85"/>
      <c r="U585" s="85"/>
      <c r="V585" s="85"/>
      <c r="W585" s="85"/>
      <c r="X585" s="85"/>
      <c r="Y585" s="87"/>
      <c r="Z585" s="87"/>
      <c r="AA585" s="87"/>
      <c r="AB585" s="87"/>
      <c r="AC585" s="87"/>
      <c r="AD585" s="87"/>
    </row>
    <row r="586" ht="15.75" customHeight="1">
      <c r="G586" s="85"/>
      <c r="H586" s="85"/>
      <c r="I586" s="85"/>
      <c r="J586" s="85"/>
      <c r="K586" s="85"/>
      <c r="L586" s="85"/>
      <c r="M586" s="86"/>
      <c r="N586" s="86"/>
      <c r="O586" s="86"/>
      <c r="P586" s="86"/>
      <c r="Q586" s="86"/>
      <c r="R586" s="86"/>
      <c r="S586" s="85"/>
      <c r="T586" s="85"/>
      <c r="U586" s="85"/>
      <c r="V586" s="85"/>
      <c r="W586" s="85"/>
      <c r="X586" s="85"/>
      <c r="Y586" s="87"/>
      <c r="Z586" s="87"/>
      <c r="AA586" s="87"/>
      <c r="AB586" s="87"/>
      <c r="AC586" s="87"/>
      <c r="AD586" s="87"/>
    </row>
    <row r="587" ht="15.75" customHeight="1">
      <c r="G587" s="85"/>
      <c r="H587" s="85"/>
      <c r="I587" s="85"/>
      <c r="J587" s="85"/>
      <c r="K587" s="85"/>
      <c r="L587" s="85"/>
      <c r="M587" s="86"/>
      <c r="N587" s="86"/>
      <c r="O587" s="86"/>
      <c r="P587" s="86"/>
      <c r="Q587" s="86"/>
      <c r="R587" s="86"/>
      <c r="S587" s="85"/>
      <c r="T587" s="85"/>
      <c r="U587" s="85"/>
      <c r="V587" s="85"/>
      <c r="W587" s="85"/>
      <c r="X587" s="85"/>
      <c r="Y587" s="87"/>
      <c r="Z587" s="87"/>
      <c r="AA587" s="87"/>
      <c r="AB587" s="87"/>
      <c r="AC587" s="87"/>
      <c r="AD587" s="87"/>
    </row>
    <row r="588" ht="15.75" customHeight="1">
      <c r="G588" s="85"/>
      <c r="H588" s="85"/>
      <c r="I588" s="85"/>
      <c r="J588" s="85"/>
      <c r="K588" s="85"/>
      <c r="L588" s="85"/>
      <c r="M588" s="86"/>
      <c r="N588" s="86"/>
      <c r="O588" s="86"/>
      <c r="P588" s="86"/>
      <c r="Q588" s="86"/>
      <c r="R588" s="86"/>
      <c r="S588" s="85"/>
      <c r="T588" s="85"/>
      <c r="U588" s="85"/>
      <c r="V588" s="85"/>
      <c r="W588" s="85"/>
      <c r="X588" s="85"/>
      <c r="Y588" s="87"/>
      <c r="Z588" s="87"/>
      <c r="AA588" s="87"/>
      <c r="AB588" s="87"/>
      <c r="AC588" s="87"/>
      <c r="AD588" s="87"/>
    </row>
    <row r="589" ht="15.75" customHeight="1">
      <c r="G589" s="85"/>
      <c r="H589" s="85"/>
      <c r="I589" s="85"/>
      <c r="J589" s="85"/>
      <c r="K589" s="85"/>
      <c r="L589" s="85"/>
      <c r="M589" s="86"/>
      <c r="N589" s="86"/>
      <c r="O589" s="86"/>
      <c r="P589" s="86"/>
      <c r="Q589" s="86"/>
      <c r="R589" s="86"/>
      <c r="S589" s="85"/>
      <c r="T589" s="85"/>
      <c r="U589" s="85"/>
      <c r="V589" s="85"/>
      <c r="W589" s="85"/>
      <c r="X589" s="85"/>
      <c r="Y589" s="87"/>
      <c r="Z589" s="87"/>
      <c r="AA589" s="87"/>
      <c r="AB589" s="87"/>
      <c r="AC589" s="87"/>
      <c r="AD589" s="87"/>
    </row>
    <row r="590" ht="15.75" customHeight="1">
      <c r="G590" s="85"/>
      <c r="H590" s="85"/>
      <c r="I590" s="85"/>
      <c r="J590" s="85"/>
      <c r="K590" s="85"/>
      <c r="L590" s="85"/>
      <c r="M590" s="86"/>
      <c r="N590" s="86"/>
      <c r="O590" s="86"/>
      <c r="P590" s="86"/>
      <c r="Q590" s="86"/>
      <c r="R590" s="86"/>
      <c r="S590" s="85"/>
      <c r="T590" s="85"/>
      <c r="U590" s="85"/>
      <c r="V590" s="85"/>
      <c r="W590" s="85"/>
      <c r="X590" s="85"/>
      <c r="Y590" s="87"/>
      <c r="Z590" s="87"/>
      <c r="AA590" s="87"/>
      <c r="AB590" s="87"/>
      <c r="AC590" s="87"/>
      <c r="AD590" s="87"/>
    </row>
    <row r="591" ht="15.75" customHeight="1">
      <c r="G591" s="85"/>
      <c r="H591" s="85"/>
      <c r="I591" s="85"/>
      <c r="J591" s="85"/>
      <c r="K591" s="85"/>
      <c r="L591" s="85"/>
      <c r="M591" s="86"/>
      <c r="N591" s="86"/>
      <c r="O591" s="86"/>
      <c r="P591" s="86"/>
      <c r="Q591" s="86"/>
      <c r="R591" s="86"/>
      <c r="S591" s="85"/>
      <c r="T591" s="85"/>
      <c r="U591" s="85"/>
      <c r="V591" s="85"/>
      <c r="W591" s="85"/>
      <c r="X591" s="85"/>
      <c r="Y591" s="87"/>
      <c r="Z591" s="87"/>
      <c r="AA591" s="87"/>
      <c r="AB591" s="87"/>
      <c r="AC591" s="87"/>
      <c r="AD591" s="87"/>
    </row>
    <row r="592" ht="15.75" customHeight="1">
      <c r="G592" s="85"/>
      <c r="H592" s="85"/>
      <c r="I592" s="85"/>
      <c r="J592" s="85"/>
      <c r="K592" s="85"/>
      <c r="L592" s="85"/>
      <c r="M592" s="86"/>
      <c r="N592" s="86"/>
      <c r="O592" s="86"/>
      <c r="P592" s="86"/>
      <c r="Q592" s="86"/>
      <c r="R592" s="86"/>
      <c r="S592" s="85"/>
      <c r="T592" s="85"/>
      <c r="U592" s="85"/>
      <c r="V592" s="85"/>
      <c r="W592" s="85"/>
      <c r="X592" s="85"/>
      <c r="Y592" s="87"/>
      <c r="Z592" s="87"/>
      <c r="AA592" s="87"/>
      <c r="AB592" s="87"/>
      <c r="AC592" s="87"/>
      <c r="AD592" s="87"/>
    </row>
    <row r="593" ht="15.75" customHeight="1">
      <c r="G593" s="85"/>
      <c r="H593" s="85"/>
      <c r="I593" s="85"/>
      <c r="J593" s="85"/>
      <c r="K593" s="85"/>
      <c r="L593" s="85"/>
      <c r="M593" s="86"/>
      <c r="N593" s="86"/>
      <c r="O593" s="86"/>
      <c r="P593" s="86"/>
      <c r="Q593" s="86"/>
      <c r="R593" s="86"/>
      <c r="S593" s="85"/>
      <c r="T593" s="85"/>
      <c r="U593" s="85"/>
      <c r="V593" s="85"/>
      <c r="W593" s="85"/>
      <c r="X593" s="85"/>
      <c r="Y593" s="87"/>
      <c r="Z593" s="87"/>
      <c r="AA593" s="87"/>
      <c r="AB593" s="87"/>
      <c r="AC593" s="87"/>
      <c r="AD593" s="87"/>
    </row>
    <row r="594" ht="15.75" customHeight="1">
      <c r="G594" s="85"/>
      <c r="H594" s="85"/>
      <c r="I594" s="85"/>
      <c r="J594" s="85"/>
      <c r="K594" s="85"/>
      <c r="L594" s="85"/>
      <c r="M594" s="86"/>
      <c r="N594" s="86"/>
      <c r="O594" s="86"/>
      <c r="P594" s="86"/>
      <c r="Q594" s="86"/>
      <c r="R594" s="86"/>
      <c r="S594" s="85"/>
      <c r="T594" s="85"/>
      <c r="U594" s="85"/>
      <c r="V594" s="85"/>
      <c r="W594" s="85"/>
      <c r="X594" s="85"/>
      <c r="Y594" s="87"/>
      <c r="Z594" s="87"/>
      <c r="AA594" s="87"/>
      <c r="AB594" s="87"/>
      <c r="AC594" s="87"/>
      <c r="AD594" s="87"/>
    </row>
    <row r="595" ht="15.75" customHeight="1">
      <c r="G595" s="85"/>
      <c r="H595" s="85"/>
      <c r="I595" s="85"/>
      <c r="J595" s="85"/>
      <c r="K595" s="85"/>
      <c r="L595" s="85"/>
      <c r="M595" s="86"/>
      <c r="N595" s="86"/>
      <c r="O595" s="86"/>
      <c r="P595" s="86"/>
      <c r="Q595" s="86"/>
      <c r="R595" s="86"/>
      <c r="S595" s="85"/>
      <c r="T595" s="85"/>
      <c r="U595" s="85"/>
      <c r="V595" s="85"/>
      <c r="W595" s="85"/>
      <c r="X595" s="85"/>
      <c r="Y595" s="87"/>
      <c r="Z595" s="87"/>
      <c r="AA595" s="87"/>
      <c r="AB595" s="87"/>
      <c r="AC595" s="87"/>
      <c r="AD595" s="87"/>
    </row>
    <row r="596" ht="15.75" customHeight="1">
      <c r="G596" s="85"/>
      <c r="H596" s="85"/>
      <c r="I596" s="85"/>
      <c r="J596" s="85"/>
      <c r="K596" s="85"/>
      <c r="L596" s="85"/>
      <c r="M596" s="86"/>
      <c r="N596" s="86"/>
      <c r="O596" s="86"/>
      <c r="P596" s="86"/>
      <c r="Q596" s="86"/>
      <c r="R596" s="86"/>
      <c r="S596" s="85"/>
      <c r="T596" s="85"/>
      <c r="U596" s="85"/>
      <c r="V596" s="85"/>
      <c r="W596" s="85"/>
      <c r="X596" s="85"/>
      <c r="Y596" s="87"/>
      <c r="Z596" s="87"/>
      <c r="AA596" s="87"/>
      <c r="AB596" s="87"/>
      <c r="AC596" s="87"/>
      <c r="AD596" s="87"/>
    </row>
    <row r="597" ht="15.75" customHeight="1">
      <c r="G597" s="85"/>
      <c r="H597" s="85"/>
      <c r="I597" s="85"/>
      <c r="J597" s="85"/>
      <c r="K597" s="85"/>
      <c r="L597" s="85"/>
      <c r="M597" s="86"/>
      <c r="N597" s="86"/>
      <c r="O597" s="86"/>
      <c r="P597" s="86"/>
      <c r="Q597" s="86"/>
      <c r="R597" s="86"/>
      <c r="S597" s="85"/>
      <c r="T597" s="85"/>
      <c r="U597" s="85"/>
      <c r="V597" s="85"/>
      <c r="W597" s="85"/>
      <c r="X597" s="85"/>
      <c r="Y597" s="87"/>
      <c r="Z597" s="87"/>
      <c r="AA597" s="87"/>
      <c r="AB597" s="87"/>
      <c r="AC597" s="87"/>
      <c r="AD597" s="87"/>
    </row>
    <row r="598" ht="15.75" customHeight="1">
      <c r="G598" s="85"/>
      <c r="H598" s="85"/>
      <c r="I598" s="85"/>
      <c r="J598" s="85"/>
      <c r="K598" s="85"/>
      <c r="L598" s="85"/>
      <c r="M598" s="86"/>
      <c r="N598" s="86"/>
      <c r="O598" s="86"/>
      <c r="P598" s="86"/>
      <c r="Q598" s="86"/>
      <c r="R598" s="86"/>
      <c r="S598" s="85"/>
      <c r="T598" s="85"/>
      <c r="U598" s="85"/>
      <c r="V598" s="85"/>
      <c r="W598" s="85"/>
      <c r="X598" s="85"/>
      <c r="Y598" s="87"/>
      <c r="Z598" s="87"/>
      <c r="AA598" s="87"/>
      <c r="AB598" s="87"/>
      <c r="AC598" s="87"/>
      <c r="AD598" s="87"/>
    </row>
    <row r="599" ht="15.75" customHeight="1">
      <c r="G599" s="85"/>
      <c r="H599" s="85"/>
      <c r="I599" s="85"/>
      <c r="J599" s="85"/>
      <c r="K599" s="85"/>
      <c r="L599" s="85"/>
      <c r="M599" s="86"/>
      <c r="N599" s="86"/>
      <c r="O599" s="86"/>
      <c r="P599" s="86"/>
      <c r="Q599" s="86"/>
      <c r="R599" s="86"/>
      <c r="S599" s="85"/>
      <c r="T599" s="85"/>
      <c r="U599" s="85"/>
      <c r="V599" s="85"/>
      <c r="W599" s="85"/>
      <c r="X599" s="85"/>
      <c r="Y599" s="87"/>
      <c r="Z599" s="87"/>
      <c r="AA599" s="87"/>
      <c r="AB599" s="87"/>
      <c r="AC599" s="87"/>
      <c r="AD599" s="87"/>
    </row>
    <row r="600" ht="15.75" customHeight="1">
      <c r="G600" s="85"/>
      <c r="H600" s="85"/>
      <c r="I600" s="85"/>
      <c r="J600" s="85"/>
      <c r="K600" s="85"/>
      <c r="L600" s="85"/>
      <c r="M600" s="86"/>
      <c r="N600" s="86"/>
      <c r="O600" s="86"/>
      <c r="P600" s="86"/>
      <c r="Q600" s="86"/>
      <c r="R600" s="86"/>
      <c r="S600" s="85"/>
      <c r="T600" s="85"/>
      <c r="U600" s="85"/>
      <c r="V600" s="85"/>
      <c r="W600" s="85"/>
      <c r="X600" s="85"/>
      <c r="Y600" s="87"/>
      <c r="Z600" s="87"/>
      <c r="AA600" s="87"/>
      <c r="AB600" s="87"/>
      <c r="AC600" s="87"/>
      <c r="AD600" s="87"/>
    </row>
    <row r="601" ht="15.75" customHeight="1">
      <c r="G601" s="85"/>
      <c r="H601" s="85"/>
      <c r="I601" s="85"/>
      <c r="J601" s="85"/>
      <c r="K601" s="85"/>
      <c r="L601" s="85"/>
      <c r="M601" s="86"/>
      <c r="N601" s="86"/>
      <c r="O601" s="86"/>
      <c r="P601" s="86"/>
      <c r="Q601" s="86"/>
      <c r="R601" s="86"/>
      <c r="S601" s="85"/>
      <c r="T601" s="85"/>
      <c r="U601" s="85"/>
      <c r="V601" s="85"/>
      <c r="W601" s="85"/>
      <c r="X601" s="85"/>
      <c r="Y601" s="87"/>
      <c r="Z601" s="87"/>
      <c r="AA601" s="87"/>
      <c r="AB601" s="87"/>
      <c r="AC601" s="87"/>
      <c r="AD601" s="87"/>
    </row>
    <row r="602" ht="15.75" customHeight="1">
      <c r="G602" s="85"/>
      <c r="H602" s="85"/>
      <c r="I602" s="85"/>
      <c r="J602" s="85"/>
      <c r="K602" s="85"/>
      <c r="L602" s="85"/>
      <c r="M602" s="86"/>
      <c r="N602" s="86"/>
      <c r="O602" s="86"/>
      <c r="P602" s="86"/>
      <c r="Q602" s="86"/>
      <c r="R602" s="86"/>
      <c r="S602" s="85"/>
      <c r="T602" s="85"/>
      <c r="U602" s="85"/>
      <c r="V602" s="85"/>
      <c r="W602" s="85"/>
      <c r="X602" s="85"/>
      <c r="Y602" s="87"/>
      <c r="Z602" s="87"/>
      <c r="AA602" s="87"/>
      <c r="AB602" s="87"/>
      <c r="AC602" s="87"/>
      <c r="AD602" s="87"/>
    </row>
    <row r="603" ht="15.75" customHeight="1">
      <c r="G603" s="85"/>
      <c r="H603" s="85"/>
      <c r="I603" s="85"/>
      <c r="J603" s="85"/>
      <c r="K603" s="85"/>
      <c r="L603" s="85"/>
      <c r="M603" s="86"/>
      <c r="N603" s="86"/>
      <c r="O603" s="86"/>
      <c r="P603" s="86"/>
      <c r="Q603" s="86"/>
      <c r="R603" s="86"/>
      <c r="S603" s="85"/>
      <c r="T603" s="85"/>
      <c r="U603" s="85"/>
      <c r="V603" s="85"/>
      <c r="W603" s="85"/>
      <c r="X603" s="85"/>
      <c r="Y603" s="87"/>
      <c r="Z603" s="87"/>
      <c r="AA603" s="87"/>
      <c r="AB603" s="87"/>
      <c r="AC603" s="87"/>
      <c r="AD603" s="87"/>
    </row>
    <row r="604" ht="15.75" customHeight="1">
      <c r="G604" s="85"/>
      <c r="H604" s="85"/>
      <c r="I604" s="85"/>
      <c r="J604" s="85"/>
      <c r="K604" s="85"/>
      <c r="L604" s="85"/>
      <c r="M604" s="86"/>
      <c r="N604" s="86"/>
      <c r="O604" s="86"/>
      <c r="P604" s="86"/>
      <c r="Q604" s="86"/>
      <c r="R604" s="86"/>
      <c r="S604" s="85"/>
      <c r="T604" s="85"/>
      <c r="U604" s="85"/>
      <c r="V604" s="85"/>
      <c r="W604" s="85"/>
      <c r="X604" s="85"/>
      <c r="Y604" s="87"/>
      <c r="Z604" s="87"/>
      <c r="AA604" s="87"/>
      <c r="AB604" s="87"/>
      <c r="AC604" s="87"/>
      <c r="AD604" s="87"/>
    </row>
    <row r="605" ht="15.75" customHeight="1">
      <c r="G605" s="85"/>
      <c r="H605" s="85"/>
      <c r="I605" s="85"/>
      <c r="J605" s="85"/>
      <c r="K605" s="85"/>
      <c r="L605" s="85"/>
      <c r="M605" s="86"/>
      <c r="N605" s="86"/>
      <c r="O605" s="86"/>
      <c r="P605" s="86"/>
      <c r="Q605" s="86"/>
      <c r="R605" s="86"/>
      <c r="S605" s="85"/>
      <c r="T605" s="85"/>
      <c r="U605" s="85"/>
      <c r="V605" s="85"/>
      <c r="W605" s="85"/>
      <c r="X605" s="85"/>
      <c r="Y605" s="87"/>
      <c r="Z605" s="87"/>
      <c r="AA605" s="87"/>
      <c r="AB605" s="87"/>
      <c r="AC605" s="87"/>
      <c r="AD605" s="87"/>
    </row>
    <row r="606" ht="15.75" customHeight="1">
      <c r="G606" s="85"/>
      <c r="H606" s="85"/>
      <c r="I606" s="85"/>
      <c r="J606" s="85"/>
      <c r="K606" s="85"/>
      <c r="L606" s="85"/>
      <c r="M606" s="86"/>
      <c r="N606" s="86"/>
      <c r="O606" s="86"/>
      <c r="P606" s="86"/>
      <c r="Q606" s="86"/>
      <c r="R606" s="86"/>
      <c r="S606" s="85"/>
      <c r="T606" s="85"/>
      <c r="U606" s="85"/>
      <c r="V606" s="85"/>
      <c r="W606" s="85"/>
      <c r="X606" s="85"/>
      <c r="Y606" s="87"/>
      <c r="Z606" s="87"/>
      <c r="AA606" s="87"/>
      <c r="AB606" s="87"/>
      <c r="AC606" s="87"/>
      <c r="AD606" s="87"/>
    </row>
    <row r="607" ht="15.75" customHeight="1">
      <c r="G607" s="85"/>
      <c r="H607" s="85"/>
      <c r="I607" s="85"/>
      <c r="J607" s="85"/>
      <c r="K607" s="85"/>
      <c r="L607" s="85"/>
      <c r="M607" s="86"/>
      <c r="N607" s="86"/>
      <c r="O607" s="86"/>
      <c r="P607" s="86"/>
      <c r="Q607" s="86"/>
      <c r="R607" s="86"/>
      <c r="S607" s="85"/>
      <c r="T607" s="85"/>
      <c r="U607" s="85"/>
      <c r="V607" s="85"/>
      <c r="W607" s="85"/>
      <c r="X607" s="85"/>
      <c r="Y607" s="87"/>
      <c r="Z607" s="87"/>
      <c r="AA607" s="87"/>
      <c r="AB607" s="87"/>
      <c r="AC607" s="87"/>
      <c r="AD607" s="87"/>
    </row>
    <row r="608" ht="15.75" customHeight="1">
      <c r="G608" s="85"/>
      <c r="H608" s="85"/>
      <c r="I608" s="85"/>
      <c r="J608" s="85"/>
      <c r="K608" s="85"/>
      <c r="L608" s="85"/>
      <c r="M608" s="86"/>
      <c r="N608" s="86"/>
      <c r="O608" s="86"/>
      <c r="P608" s="86"/>
      <c r="Q608" s="86"/>
      <c r="R608" s="86"/>
      <c r="S608" s="85"/>
      <c r="T608" s="85"/>
      <c r="U608" s="85"/>
      <c r="V608" s="85"/>
      <c r="W608" s="85"/>
      <c r="X608" s="85"/>
      <c r="Y608" s="87"/>
      <c r="Z608" s="87"/>
      <c r="AA608" s="87"/>
      <c r="AB608" s="87"/>
      <c r="AC608" s="87"/>
      <c r="AD608" s="87"/>
    </row>
    <row r="609" ht="15.75" customHeight="1">
      <c r="G609" s="85"/>
      <c r="H609" s="85"/>
      <c r="I609" s="85"/>
      <c r="J609" s="85"/>
      <c r="K609" s="85"/>
      <c r="L609" s="85"/>
      <c r="M609" s="86"/>
      <c r="N609" s="86"/>
      <c r="O609" s="86"/>
      <c r="P609" s="86"/>
      <c r="Q609" s="86"/>
      <c r="R609" s="86"/>
      <c r="S609" s="85"/>
      <c r="T609" s="85"/>
      <c r="U609" s="85"/>
      <c r="V609" s="85"/>
      <c r="W609" s="85"/>
      <c r="X609" s="85"/>
      <c r="Y609" s="87"/>
      <c r="Z609" s="87"/>
      <c r="AA609" s="87"/>
      <c r="AB609" s="87"/>
      <c r="AC609" s="87"/>
      <c r="AD609" s="87"/>
    </row>
    <row r="610" ht="15.75" customHeight="1">
      <c r="G610" s="85"/>
      <c r="H610" s="85"/>
      <c r="I610" s="85"/>
      <c r="J610" s="85"/>
      <c r="K610" s="85"/>
      <c r="L610" s="85"/>
      <c r="M610" s="86"/>
      <c r="N610" s="86"/>
      <c r="O610" s="86"/>
      <c r="P610" s="86"/>
      <c r="Q610" s="86"/>
      <c r="R610" s="86"/>
      <c r="S610" s="85"/>
      <c r="T610" s="85"/>
      <c r="U610" s="85"/>
      <c r="V610" s="85"/>
      <c r="W610" s="85"/>
      <c r="X610" s="85"/>
      <c r="Y610" s="87"/>
      <c r="Z610" s="87"/>
      <c r="AA610" s="87"/>
      <c r="AB610" s="87"/>
      <c r="AC610" s="87"/>
      <c r="AD610" s="87"/>
    </row>
    <row r="611" ht="15.75" customHeight="1">
      <c r="G611" s="85"/>
      <c r="H611" s="85"/>
      <c r="I611" s="85"/>
      <c r="J611" s="85"/>
      <c r="K611" s="85"/>
      <c r="L611" s="85"/>
      <c r="M611" s="86"/>
      <c r="N611" s="86"/>
      <c r="O611" s="86"/>
      <c r="P611" s="86"/>
      <c r="Q611" s="86"/>
      <c r="R611" s="86"/>
      <c r="S611" s="85"/>
      <c r="T611" s="85"/>
      <c r="U611" s="85"/>
      <c r="V611" s="85"/>
      <c r="W611" s="85"/>
      <c r="X611" s="85"/>
      <c r="Y611" s="87"/>
      <c r="Z611" s="87"/>
      <c r="AA611" s="87"/>
      <c r="AB611" s="87"/>
      <c r="AC611" s="87"/>
      <c r="AD611" s="87"/>
    </row>
    <row r="612" ht="15.75" customHeight="1">
      <c r="G612" s="85"/>
      <c r="H612" s="85"/>
      <c r="I612" s="85"/>
      <c r="J612" s="85"/>
      <c r="K612" s="85"/>
      <c r="L612" s="85"/>
      <c r="M612" s="86"/>
      <c r="N612" s="86"/>
      <c r="O612" s="86"/>
      <c r="P612" s="86"/>
      <c r="Q612" s="86"/>
      <c r="R612" s="86"/>
      <c r="S612" s="85"/>
      <c r="T612" s="85"/>
      <c r="U612" s="85"/>
      <c r="V612" s="85"/>
      <c r="W612" s="85"/>
      <c r="X612" s="85"/>
      <c r="Y612" s="87"/>
      <c r="Z612" s="87"/>
      <c r="AA612" s="87"/>
      <c r="AB612" s="87"/>
      <c r="AC612" s="87"/>
      <c r="AD612" s="87"/>
    </row>
    <row r="613" ht="15.75" customHeight="1">
      <c r="G613" s="85"/>
      <c r="H613" s="85"/>
      <c r="I613" s="85"/>
      <c r="J613" s="85"/>
      <c r="K613" s="85"/>
      <c r="L613" s="85"/>
      <c r="M613" s="86"/>
      <c r="N613" s="86"/>
      <c r="O613" s="86"/>
      <c r="P613" s="86"/>
      <c r="Q613" s="86"/>
      <c r="R613" s="86"/>
      <c r="S613" s="85"/>
      <c r="T613" s="85"/>
      <c r="U613" s="85"/>
      <c r="V613" s="85"/>
      <c r="W613" s="85"/>
      <c r="X613" s="85"/>
      <c r="Y613" s="87"/>
      <c r="Z613" s="87"/>
      <c r="AA613" s="87"/>
      <c r="AB613" s="87"/>
      <c r="AC613" s="87"/>
      <c r="AD613" s="87"/>
    </row>
    <row r="614" ht="15.75" customHeight="1">
      <c r="G614" s="85"/>
      <c r="H614" s="85"/>
      <c r="I614" s="85"/>
      <c r="J614" s="85"/>
      <c r="K614" s="85"/>
      <c r="L614" s="85"/>
      <c r="M614" s="86"/>
      <c r="N614" s="86"/>
      <c r="O614" s="86"/>
      <c r="P614" s="86"/>
      <c r="Q614" s="86"/>
      <c r="R614" s="86"/>
      <c r="S614" s="85"/>
      <c r="T614" s="85"/>
      <c r="U614" s="85"/>
      <c r="V614" s="85"/>
      <c r="W614" s="85"/>
      <c r="X614" s="85"/>
      <c r="Y614" s="87"/>
      <c r="Z614" s="87"/>
      <c r="AA614" s="87"/>
      <c r="AB614" s="87"/>
      <c r="AC614" s="87"/>
      <c r="AD614" s="87"/>
    </row>
    <row r="615" ht="15.75" customHeight="1">
      <c r="G615" s="85"/>
      <c r="H615" s="85"/>
      <c r="I615" s="85"/>
      <c r="J615" s="85"/>
      <c r="K615" s="85"/>
      <c r="L615" s="85"/>
      <c r="M615" s="86"/>
      <c r="N615" s="86"/>
      <c r="O615" s="86"/>
      <c r="P615" s="86"/>
      <c r="Q615" s="86"/>
      <c r="R615" s="86"/>
      <c r="S615" s="85"/>
      <c r="T615" s="85"/>
      <c r="U615" s="85"/>
      <c r="V615" s="85"/>
      <c r="W615" s="85"/>
      <c r="X615" s="85"/>
      <c r="Y615" s="87"/>
      <c r="Z615" s="87"/>
      <c r="AA615" s="87"/>
      <c r="AB615" s="87"/>
      <c r="AC615" s="87"/>
      <c r="AD615" s="87"/>
    </row>
    <row r="616" ht="15.75" customHeight="1">
      <c r="G616" s="85"/>
      <c r="H616" s="85"/>
      <c r="I616" s="85"/>
      <c r="J616" s="85"/>
      <c r="K616" s="85"/>
      <c r="L616" s="85"/>
      <c r="M616" s="86"/>
      <c r="N616" s="86"/>
      <c r="O616" s="86"/>
      <c r="P616" s="86"/>
      <c r="Q616" s="86"/>
      <c r="R616" s="86"/>
      <c r="S616" s="85"/>
      <c r="T616" s="85"/>
      <c r="U616" s="85"/>
      <c r="V616" s="85"/>
      <c r="W616" s="85"/>
      <c r="X616" s="85"/>
      <c r="Y616" s="87"/>
      <c r="Z616" s="87"/>
      <c r="AA616" s="87"/>
      <c r="AB616" s="87"/>
      <c r="AC616" s="87"/>
      <c r="AD616" s="87"/>
    </row>
    <row r="617" ht="15.75" customHeight="1">
      <c r="G617" s="85"/>
      <c r="H617" s="85"/>
      <c r="I617" s="85"/>
      <c r="J617" s="85"/>
      <c r="K617" s="85"/>
      <c r="L617" s="85"/>
      <c r="M617" s="86"/>
      <c r="N617" s="86"/>
      <c r="O617" s="86"/>
      <c r="P617" s="86"/>
      <c r="Q617" s="86"/>
      <c r="R617" s="86"/>
      <c r="S617" s="85"/>
      <c r="T617" s="85"/>
      <c r="U617" s="85"/>
      <c r="V617" s="85"/>
      <c r="W617" s="85"/>
      <c r="X617" s="85"/>
      <c r="Y617" s="87"/>
      <c r="Z617" s="87"/>
      <c r="AA617" s="87"/>
      <c r="AB617" s="87"/>
      <c r="AC617" s="87"/>
      <c r="AD617" s="87"/>
    </row>
    <row r="618" ht="15.75" customHeight="1">
      <c r="G618" s="85"/>
      <c r="H618" s="85"/>
      <c r="I618" s="85"/>
      <c r="J618" s="85"/>
      <c r="K618" s="85"/>
      <c r="L618" s="85"/>
      <c r="M618" s="86"/>
      <c r="N618" s="86"/>
      <c r="O618" s="86"/>
      <c r="P618" s="86"/>
      <c r="Q618" s="86"/>
      <c r="R618" s="86"/>
      <c r="S618" s="85"/>
      <c r="T618" s="85"/>
      <c r="U618" s="85"/>
      <c r="V618" s="85"/>
      <c r="W618" s="85"/>
      <c r="X618" s="85"/>
      <c r="Y618" s="87"/>
      <c r="Z618" s="87"/>
      <c r="AA618" s="87"/>
      <c r="AB618" s="87"/>
      <c r="AC618" s="87"/>
      <c r="AD618" s="87"/>
    </row>
    <row r="619" ht="15.75" customHeight="1">
      <c r="G619" s="85"/>
      <c r="H619" s="85"/>
      <c r="I619" s="85"/>
      <c r="J619" s="85"/>
      <c r="K619" s="85"/>
      <c r="L619" s="85"/>
      <c r="M619" s="86"/>
      <c r="N619" s="86"/>
      <c r="O619" s="86"/>
      <c r="P619" s="86"/>
      <c r="Q619" s="86"/>
      <c r="R619" s="86"/>
      <c r="S619" s="85"/>
      <c r="T619" s="85"/>
      <c r="U619" s="85"/>
      <c r="V619" s="85"/>
      <c r="W619" s="85"/>
      <c r="X619" s="85"/>
      <c r="Y619" s="87"/>
      <c r="Z619" s="87"/>
      <c r="AA619" s="87"/>
      <c r="AB619" s="87"/>
      <c r="AC619" s="87"/>
      <c r="AD619" s="87"/>
    </row>
    <row r="620" ht="15.75" customHeight="1">
      <c r="G620" s="85"/>
      <c r="H620" s="85"/>
      <c r="I620" s="85"/>
      <c r="J620" s="85"/>
      <c r="K620" s="85"/>
      <c r="L620" s="85"/>
      <c r="M620" s="86"/>
      <c r="N620" s="86"/>
      <c r="O620" s="86"/>
      <c r="P620" s="86"/>
      <c r="Q620" s="86"/>
      <c r="R620" s="86"/>
      <c r="S620" s="85"/>
      <c r="T620" s="85"/>
      <c r="U620" s="85"/>
      <c r="V620" s="85"/>
      <c r="W620" s="85"/>
      <c r="X620" s="85"/>
      <c r="Y620" s="87"/>
      <c r="Z620" s="87"/>
      <c r="AA620" s="87"/>
      <c r="AB620" s="87"/>
      <c r="AC620" s="87"/>
      <c r="AD620" s="87"/>
    </row>
    <row r="621" ht="15.75" customHeight="1">
      <c r="G621" s="85"/>
      <c r="H621" s="85"/>
      <c r="I621" s="85"/>
      <c r="J621" s="85"/>
      <c r="K621" s="85"/>
      <c r="L621" s="85"/>
      <c r="M621" s="86"/>
      <c r="N621" s="86"/>
      <c r="O621" s="86"/>
      <c r="P621" s="86"/>
      <c r="Q621" s="86"/>
      <c r="R621" s="86"/>
      <c r="S621" s="85"/>
      <c r="T621" s="85"/>
      <c r="U621" s="85"/>
      <c r="V621" s="85"/>
      <c r="W621" s="85"/>
      <c r="X621" s="85"/>
      <c r="Y621" s="87"/>
      <c r="Z621" s="87"/>
      <c r="AA621" s="87"/>
      <c r="AB621" s="87"/>
      <c r="AC621" s="87"/>
      <c r="AD621" s="87"/>
    </row>
    <row r="622" ht="15.75" customHeight="1">
      <c r="G622" s="85"/>
      <c r="H622" s="85"/>
      <c r="I622" s="85"/>
      <c r="J622" s="85"/>
      <c r="K622" s="85"/>
      <c r="L622" s="85"/>
      <c r="M622" s="86"/>
      <c r="N622" s="86"/>
      <c r="O622" s="86"/>
      <c r="P622" s="86"/>
      <c r="Q622" s="86"/>
      <c r="R622" s="86"/>
      <c r="S622" s="85"/>
      <c r="T622" s="85"/>
      <c r="U622" s="85"/>
      <c r="V622" s="85"/>
      <c r="W622" s="85"/>
      <c r="X622" s="85"/>
      <c r="Y622" s="87"/>
      <c r="Z622" s="87"/>
      <c r="AA622" s="87"/>
      <c r="AB622" s="87"/>
      <c r="AC622" s="87"/>
      <c r="AD622" s="87"/>
    </row>
    <row r="623" ht="15.75" customHeight="1">
      <c r="G623" s="85"/>
      <c r="H623" s="85"/>
      <c r="I623" s="85"/>
      <c r="J623" s="85"/>
      <c r="K623" s="85"/>
      <c r="L623" s="85"/>
      <c r="M623" s="86"/>
      <c r="N623" s="86"/>
      <c r="O623" s="86"/>
      <c r="P623" s="86"/>
      <c r="Q623" s="86"/>
      <c r="R623" s="86"/>
      <c r="S623" s="85"/>
      <c r="T623" s="85"/>
      <c r="U623" s="85"/>
      <c r="V623" s="85"/>
      <c r="W623" s="85"/>
      <c r="X623" s="85"/>
      <c r="Y623" s="87"/>
      <c r="Z623" s="87"/>
      <c r="AA623" s="87"/>
      <c r="AB623" s="87"/>
      <c r="AC623" s="87"/>
      <c r="AD623" s="87"/>
    </row>
    <row r="624" ht="15.75" customHeight="1">
      <c r="G624" s="85"/>
      <c r="H624" s="85"/>
      <c r="I624" s="85"/>
      <c r="J624" s="85"/>
      <c r="K624" s="85"/>
      <c r="L624" s="85"/>
      <c r="M624" s="86"/>
      <c r="N624" s="86"/>
      <c r="O624" s="86"/>
      <c r="P624" s="86"/>
      <c r="Q624" s="86"/>
      <c r="R624" s="86"/>
      <c r="S624" s="85"/>
      <c r="T624" s="85"/>
      <c r="U624" s="85"/>
      <c r="V624" s="85"/>
      <c r="W624" s="85"/>
      <c r="X624" s="85"/>
      <c r="Y624" s="87"/>
      <c r="Z624" s="87"/>
      <c r="AA624" s="87"/>
      <c r="AB624" s="87"/>
      <c r="AC624" s="87"/>
      <c r="AD624" s="87"/>
    </row>
    <row r="625" ht="15.75" customHeight="1">
      <c r="G625" s="85"/>
      <c r="H625" s="85"/>
      <c r="I625" s="85"/>
      <c r="J625" s="85"/>
      <c r="K625" s="85"/>
      <c r="L625" s="85"/>
      <c r="M625" s="86"/>
      <c r="N625" s="86"/>
      <c r="O625" s="86"/>
      <c r="P625" s="86"/>
      <c r="Q625" s="86"/>
      <c r="R625" s="86"/>
      <c r="S625" s="85"/>
      <c r="T625" s="85"/>
      <c r="U625" s="85"/>
      <c r="V625" s="85"/>
      <c r="W625" s="85"/>
      <c r="X625" s="85"/>
      <c r="Y625" s="87"/>
      <c r="Z625" s="87"/>
      <c r="AA625" s="87"/>
      <c r="AB625" s="87"/>
      <c r="AC625" s="87"/>
      <c r="AD625" s="87"/>
    </row>
    <row r="626" ht="15.75" customHeight="1">
      <c r="G626" s="85"/>
      <c r="H626" s="85"/>
      <c r="I626" s="85"/>
      <c r="J626" s="85"/>
      <c r="K626" s="85"/>
      <c r="L626" s="85"/>
      <c r="M626" s="86"/>
      <c r="N626" s="86"/>
      <c r="O626" s="86"/>
      <c r="P626" s="86"/>
      <c r="Q626" s="86"/>
      <c r="R626" s="86"/>
      <c r="S626" s="85"/>
      <c r="T626" s="85"/>
      <c r="U626" s="85"/>
      <c r="V626" s="85"/>
      <c r="W626" s="85"/>
      <c r="X626" s="85"/>
      <c r="Y626" s="87"/>
      <c r="Z626" s="87"/>
      <c r="AA626" s="87"/>
      <c r="AB626" s="87"/>
      <c r="AC626" s="87"/>
      <c r="AD626" s="87"/>
    </row>
    <row r="627" ht="15.75" customHeight="1">
      <c r="G627" s="85"/>
      <c r="H627" s="85"/>
      <c r="I627" s="85"/>
      <c r="J627" s="85"/>
      <c r="K627" s="85"/>
      <c r="L627" s="85"/>
      <c r="M627" s="86"/>
      <c r="N627" s="86"/>
      <c r="O627" s="86"/>
      <c r="P627" s="86"/>
      <c r="Q627" s="86"/>
      <c r="R627" s="86"/>
      <c r="S627" s="85"/>
      <c r="T627" s="85"/>
      <c r="U627" s="85"/>
      <c r="V627" s="85"/>
      <c r="W627" s="85"/>
      <c r="X627" s="85"/>
      <c r="Y627" s="87"/>
      <c r="Z627" s="87"/>
      <c r="AA627" s="87"/>
      <c r="AB627" s="87"/>
      <c r="AC627" s="87"/>
      <c r="AD627" s="87"/>
    </row>
    <row r="628" ht="15.75" customHeight="1">
      <c r="G628" s="85"/>
      <c r="H628" s="85"/>
      <c r="I628" s="85"/>
      <c r="J628" s="85"/>
      <c r="K628" s="85"/>
      <c r="L628" s="85"/>
      <c r="M628" s="86"/>
      <c r="N628" s="86"/>
      <c r="O628" s="86"/>
      <c r="P628" s="86"/>
      <c r="Q628" s="86"/>
      <c r="R628" s="86"/>
      <c r="S628" s="85"/>
      <c r="T628" s="85"/>
      <c r="U628" s="85"/>
      <c r="V628" s="85"/>
      <c r="W628" s="85"/>
      <c r="X628" s="85"/>
      <c r="Y628" s="87"/>
      <c r="Z628" s="87"/>
      <c r="AA628" s="87"/>
      <c r="AB628" s="87"/>
      <c r="AC628" s="87"/>
      <c r="AD628" s="87"/>
    </row>
    <row r="629" ht="15.75" customHeight="1">
      <c r="G629" s="85"/>
      <c r="H629" s="85"/>
      <c r="I629" s="85"/>
      <c r="J629" s="85"/>
      <c r="K629" s="85"/>
      <c r="L629" s="85"/>
      <c r="M629" s="86"/>
      <c r="N629" s="86"/>
      <c r="O629" s="86"/>
      <c r="P629" s="86"/>
      <c r="Q629" s="86"/>
      <c r="R629" s="86"/>
      <c r="S629" s="85"/>
      <c r="T629" s="85"/>
      <c r="U629" s="85"/>
      <c r="V629" s="85"/>
      <c r="W629" s="85"/>
      <c r="X629" s="85"/>
      <c r="Y629" s="87"/>
      <c r="Z629" s="87"/>
      <c r="AA629" s="87"/>
      <c r="AB629" s="87"/>
      <c r="AC629" s="87"/>
      <c r="AD629" s="87"/>
    </row>
    <row r="630" ht="15.75" customHeight="1">
      <c r="G630" s="85"/>
      <c r="H630" s="85"/>
      <c r="I630" s="85"/>
      <c r="J630" s="85"/>
      <c r="K630" s="85"/>
      <c r="L630" s="85"/>
      <c r="M630" s="86"/>
      <c r="N630" s="86"/>
      <c r="O630" s="86"/>
      <c r="P630" s="86"/>
      <c r="Q630" s="86"/>
      <c r="R630" s="86"/>
      <c r="S630" s="85"/>
      <c r="T630" s="85"/>
      <c r="U630" s="85"/>
      <c r="V630" s="85"/>
      <c r="W630" s="85"/>
      <c r="X630" s="85"/>
      <c r="Y630" s="87"/>
      <c r="Z630" s="87"/>
      <c r="AA630" s="87"/>
      <c r="AB630" s="87"/>
      <c r="AC630" s="87"/>
      <c r="AD630" s="87"/>
    </row>
    <row r="631" ht="15.75" customHeight="1">
      <c r="G631" s="85"/>
      <c r="H631" s="85"/>
      <c r="I631" s="85"/>
      <c r="J631" s="85"/>
      <c r="K631" s="85"/>
      <c r="L631" s="85"/>
      <c r="M631" s="86"/>
      <c r="N631" s="86"/>
      <c r="O631" s="86"/>
      <c r="P631" s="86"/>
      <c r="Q631" s="86"/>
      <c r="R631" s="86"/>
      <c r="S631" s="85"/>
      <c r="T631" s="85"/>
      <c r="U631" s="85"/>
      <c r="V631" s="85"/>
      <c r="W631" s="85"/>
      <c r="X631" s="85"/>
      <c r="Y631" s="87"/>
      <c r="Z631" s="87"/>
      <c r="AA631" s="87"/>
      <c r="AB631" s="87"/>
      <c r="AC631" s="87"/>
      <c r="AD631" s="87"/>
    </row>
    <row r="632" ht="15.75" customHeight="1">
      <c r="G632" s="85"/>
      <c r="H632" s="85"/>
      <c r="I632" s="85"/>
      <c r="J632" s="85"/>
      <c r="K632" s="85"/>
      <c r="L632" s="85"/>
      <c r="M632" s="86"/>
      <c r="N632" s="86"/>
      <c r="O632" s="86"/>
      <c r="P632" s="86"/>
      <c r="Q632" s="86"/>
      <c r="R632" s="86"/>
      <c r="S632" s="85"/>
      <c r="T632" s="85"/>
      <c r="U632" s="85"/>
      <c r="V632" s="85"/>
      <c r="W632" s="85"/>
      <c r="X632" s="85"/>
      <c r="Y632" s="87"/>
      <c r="Z632" s="87"/>
      <c r="AA632" s="87"/>
      <c r="AB632" s="87"/>
      <c r="AC632" s="87"/>
      <c r="AD632" s="87"/>
    </row>
    <row r="633" ht="15.75" customHeight="1">
      <c r="G633" s="85"/>
      <c r="H633" s="85"/>
      <c r="I633" s="85"/>
      <c r="J633" s="85"/>
      <c r="K633" s="85"/>
      <c r="L633" s="85"/>
      <c r="M633" s="86"/>
      <c r="N633" s="86"/>
      <c r="O633" s="86"/>
      <c r="P633" s="86"/>
      <c r="Q633" s="86"/>
      <c r="R633" s="86"/>
      <c r="S633" s="85"/>
      <c r="T633" s="85"/>
      <c r="U633" s="85"/>
      <c r="V633" s="85"/>
      <c r="W633" s="85"/>
      <c r="X633" s="85"/>
      <c r="Y633" s="87"/>
      <c r="Z633" s="87"/>
      <c r="AA633" s="87"/>
      <c r="AB633" s="87"/>
      <c r="AC633" s="87"/>
      <c r="AD633" s="87"/>
    </row>
    <row r="634" ht="15.75" customHeight="1">
      <c r="G634" s="85"/>
      <c r="H634" s="85"/>
      <c r="I634" s="85"/>
      <c r="J634" s="85"/>
      <c r="K634" s="85"/>
      <c r="L634" s="85"/>
      <c r="M634" s="86"/>
      <c r="N634" s="86"/>
      <c r="O634" s="86"/>
      <c r="P634" s="86"/>
      <c r="Q634" s="86"/>
      <c r="R634" s="86"/>
      <c r="S634" s="85"/>
      <c r="T634" s="85"/>
      <c r="U634" s="85"/>
      <c r="V634" s="85"/>
      <c r="W634" s="85"/>
      <c r="X634" s="85"/>
      <c r="Y634" s="87"/>
      <c r="Z634" s="87"/>
      <c r="AA634" s="87"/>
      <c r="AB634" s="87"/>
      <c r="AC634" s="87"/>
      <c r="AD634" s="87"/>
    </row>
    <row r="635" ht="15.75" customHeight="1">
      <c r="G635" s="85"/>
      <c r="H635" s="85"/>
      <c r="I635" s="85"/>
      <c r="J635" s="85"/>
      <c r="K635" s="85"/>
      <c r="L635" s="85"/>
      <c r="M635" s="86"/>
      <c r="N635" s="86"/>
      <c r="O635" s="86"/>
      <c r="P635" s="86"/>
      <c r="Q635" s="86"/>
      <c r="R635" s="86"/>
      <c r="S635" s="85"/>
      <c r="T635" s="85"/>
      <c r="U635" s="85"/>
      <c r="V635" s="85"/>
      <c r="W635" s="85"/>
      <c r="X635" s="85"/>
      <c r="Y635" s="87"/>
      <c r="Z635" s="87"/>
      <c r="AA635" s="87"/>
      <c r="AB635" s="87"/>
      <c r="AC635" s="87"/>
      <c r="AD635" s="87"/>
    </row>
    <row r="636" ht="15.75" customHeight="1">
      <c r="G636" s="85"/>
      <c r="H636" s="85"/>
      <c r="I636" s="85"/>
      <c r="J636" s="85"/>
      <c r="K636" s="85"/>
      <c r="L636" s="85"/>
      <c r="M636" s="86"/>
      <c r="N636" s="86"/>
      <c r="O636" s="86"/>
      <c r="P636" s="86"/>
      <c r="Q636" s="86"/>
      <c r="R636" s="86"/>
      <c r="S636" s="85"/>
      <c r="T636" s="85"/>
      <c r="U636" s="85"/>
      <c r="V636" s="85"/>
      <c r="W636" s="85"/>
      <c r="X636" s="85"/>
      <c r="Y636" s="87"/>
      <c r="Z636" s="87"/>
      <c r="AA636" s="87"/>
      <c r="AB636" s="87"/>
      <c r="AC636" s="87"/>
      <c r="AD636" s="87"/>
    </row>
    <row r="637" ht="15.75" customHeight="1">
      <c r="G637" s="85"/>
      <c r="H637" s="85"/>
      <c r="I637" s="85"/>
      <c r="J637" s="85"/>
      <c r="K637" s="85"/>
      <c r="L637" s="85"/>
      <c r="M637" s="86"/>
      <c r="N637" s="86"/>
      <c r="O637" s="86"/>
      <c r="P637" s="86"/>
      <c r="Q637" s="86"/>
      <c r="R637" s="86"/>
      <c r="S637" s="85"/>
      <c r="T637" s="85"/>
      <c r="U637" s="85"/>
      <c r="V637" s="85"/>
      <c r="W637" s="85"/>
      <c r="X637" s="85"/>
      <c r="Y637" s="87"/>
      <c r="Z637" s="87"/>
      <c r="AA637" s="87"/>
      <c r="AB637" s="87"/>
      <c r="AC637" s="87"/>
      <c r="AD637" s="87"/>
    </row>
    <row r="638" ht="15.75" customHeight="1">
      <c r="G638" s="85"/>
      <c r="H638" s="85"/>
      <c r="I638" s="85"/>
      <c r="J638" s="85"/>
      <c r="K638" s="85"/>
      <c r="L638" s="85"/>
      <c r="M638" s="86"/>
      <c r="N638" s="86"/>
      <c r="O638" s="86"/>
      <c r="P638" s="86"/>
      <c r="Q638" s="86"/>
      <c r="R638" s="86"/>
      <c r="S638" s="85"/>
      <c r="T638" s="85"/>
      <c r="U638" s="85"/>
      <c r="V638" s="85"/>
      <c r="W638" s="85"/>
      <c r="X638" s="85"/>
      <c r="Y638" s="87"/>
      <c r="Z638" s="87"/>
      <c r="AA638" s="87"/>
      <c r="AB638" s="87"/>
      <c r="AC638" s="87"/>
      <c r="AD638" s="87"/>
    </row>
    <row r="639" ht="15.75" customHeight="1">
      <c r="G639" s="85"/>
      <c r="H639" s="85"/>
      <c r="I639" s="85"/>
      <c r="J639" s="85"/>
      <c r="K639" s="85"/>
      <c r="L639" s="85"/>
      <c r="M639" s="86"/>
      <c r="N639" s="86"/>
      <c r="O639" s="86"/>
      <c r="P639" s="86"/>
      <c r="Q639" s="86"/>
      <c r="R639" s="86"/>
      <c r="S639" s="85"/>
      <c r="T639" s="85"/>
      <c r="U639" s="85"/>
      <c r="V639" s="85"/>
      <c r="W639" s="85"/>
      <c r="X639" s="85"/>
      <c r="Y639" s="87"/>
      <c r="Z639" s="87"/>
      <c r="AA639" s="87"/>
      <c r="AB639" s="87"/>
      <c r="AC639" s="87"/>
      <c r="AD639" s="87"/>
    </row>
    <row r="640" ht="15.75" customHeight="1">
      <c r="G640" s="85"/>
      <c r="H640" s="85"/>
      <c r="I640" s="85"/>
      <c r="J640" s="85"/>
      <c r="K640" s="85"/>
      <c r="L640" s="85"/>
      <c r="M640" s="86"/>
      <c r="N640" s="86"/>
      <c r="O640" s="86"/>
      <c r="P640" s="86"/>
      <c r="Q640" s="86"/>
      <c r="R640" s="86"/>
      <c r="S640" s="85"/>
      <c r="T640" s="85"/>
      <c r="U640" s="85"/>
      <c r="V640" s="85"/>
      <c r="W640" s="85"/>
      <c r="X640" s="85"/>
      <c r="Y640" s="87"/>
      <c r="Z640" s="87"/>
      <c r="AA640" s="87"/>
      <c r="AB640" s="87"/>
      <c r="AC640" s="87"/>
      <c r="AD640" s="87"/>
    </row>
    <row r="641" ht="15.75" customHeight="1">
      <c r="G641" s="85"/>
      <c r="H641" s="85"/>
      <c r="I641" s="85"/>
      <c r="J641" s="85"/>
      <c r="K641" s="85"/>
      <c r="L641" s="85"/>
      <c r="M641" s="86"/>
      <c r="N641" s="86"/>
      <c r="O641" s="86"/>
      <c r="P641" s="86"/>
      <c r="Q641" s="86"/>
      <c r="R641" s="86"/>
      <c r="S641" s="85"/>
      <c r="T641" s="85"/>
      <c r="U641" s="85"/>
      <c r="V641" s="85"/>
      <c r="W641" s="85"/>
      <c r="X641" s="85"/>
      <c r="Y641" s="87"/>
      <c r="Z641" s="87"/>
      <c r="AA641" s="87"/>
      <c r="AB641" s="87"/>
      <c r="AC641" s="87"/>
      <c r="AD641" s="87"/>
    </row>
    <row r="642" ht="15.75" customHeight="1">
      <c r="G642" s="85"/>
      <c r="H642" s="85"/>
      <c r="I642" s="85"/>
      <c r="J642" s="85"/>
      <c r="K642" s="85"/>
      <c r="L642" s="85"/>
      <c r="M642" s="86"/>
      <c r="N642" s="86"/>
      <c r="O642" s="86"/>
      <c r="P642" s="86"/>
      <c r="Q642" s="86"/>
      <c r="R642" s="86"/>
      <c r="S642" s="85"/>
      <c r="T642" s="85"/>
      <c r="U642" s="85"/>
      <c r="V642" s="85"/>
      <c r="W642" s="85"/>
      <c r="X642" s="85"/>
      <c r="Y642" s="87"/>
      <c r="Z642" s="87"/>
      <c r="AA642" s="87"/>
      <c r="AB642" s="87"/>
      <c r="AC642" s="87"/>
      <c r="AD642" s="87"/>
    </row>
    <row r="643" ht="15.75" customHeight="1">
      <c r="G643" s="85"/>
      <c r="H643" s="85"/>
      <c r="I643" s="85"/>
      <c r="J643" s="85"/>
      <c r="K643" s="85"/>
      <c r="L643" s="85"/>
      <c r="M643" s="86"/>
      <c r="N643" s="86"/>
      <c r="O643" s="86"/>
      <c r="P643" s="86"/>
      <c r="Q643" s="86"/>
      <c r="R643" s="86"/>
      <c r="S643" s="85"/>
      <c r="T643" s="85"/>
      <c r="U643" s="85"/>
      <c r="V643" s="85"/>
      <c r="W643" s="85"/>
      <c r="X643" s="85"/>
      <c r="Y643" s="87"/>
      <c r="Z643" s="87"/>
      <c r="AA643" s="87"/>
      <c r="AB643" s="87"/>
      <c r="AC643" s="87"/>
      <c r="AD643" s="87"/>
    </row>
    <row r="644" ht="15.75" customHeight="1">
      <c r="G644" s="85"/>
      <c r="H644" s="85"/>
      <c r="I644" s="85"/>
      <c r="J644" s="85"/>
      <c r="K644" s="85"/>
      <c r="L644" s="85"/>
      <c r="M644" s="86"/>
      <c r="N644" s="86"/>
      <c r="O644" s="86"/>
      <c r="P644" s="86"/>
      <c r="Q644" s="86"/>
      <c r="R644" s="86"/>
      <c r="S644" s="85"/>
      <c r="T644" s="85"/>
      <c r="U644" s="85"/>
      <c r="V644" s="85"/>
      <c r="W644" s="85"/>
      <c r="X644" s="85"/>
      <c r="Y644" s="87"/>
      <c r="Z644" s="87"/>
      <c r="AA644" s="87"/>
      <c r="AB644" s="87"/>
      <c r="AC644" s="87"/>
      <c r="AD644" s="87"/>
    </row>
    <row r="645" ht="15.75" customHeight="1">
      <c r="G645" s="85"/>
      <c r="H645" s="85"/>
      <c r="I645" s="85"/>
      <c r="J645" s="85"/>
      <c r="K645" s="85"/>
      <c r="L645" s="85"/>
      <c r="M645" s="86"/>
      <c r="N645" s="86"/>
      <c r="O645" s="86"/>
      <c r="P645" s="86"/>
      <c r="Q645" s="86"/>
      <c r="R645" s="86"/>
      <c r="S645" s="85"/>
      <c r="T645" s="85"/>
      <c r="U645" s="85"/>
      <c r="V645" s="85"/>
      <c r="W645" s="85"/>
      <c r="X645" s="85"/>
      <c r="Y645" s="87"/>
      <c r="Z645" s="87"/>
      <c r="AA645" s="87"/>
      <c r="AB645" s="87"/>
      <c r="AC645" s="87"/>
      <c r="AD645" s="87"/>
    </row>
    <row r="646" ht="15.75" customHeight="1">
      <c r="G646" s="85"/>
      <c r="H646" s="85"/>
      <c r="I646" s="85"/>
      <c r="J646" s="85"/>
      <c r="K646" s="85"/>
      <c r="L646" s="85"/>
      <c r="M646" s="86"/>
      <c r="N646" s="86"/>
      <c r="O646" s="86"/>
      <c r="P646" s="86"/>
      <c r="Q646" s="86"/>
      <c r="R646" s="86"/>
      <c r="S646" s="85"/>
      <c r="T646" s="85"/>
      <c r="U646" s="85"/>
      <c r="V646" s="85"/>
      <c r="W646" s="85"/>
      <c r="X646" s="85"/>
      <c r="Y646" s="87"/>
      <c r="Z646" s="87"/>
      <c r="AA646" s="87"/>
      <c r="AB646" s="87"/>
      <c r="AC646" s="87"/>
      <c r="AD646" s="87"/>
    </row>
    <row r="647" ht="15.75" customHeight="1">
      <c r="G647" s="85"/>
      <c r="H647" s="85"/>
      <c r="I647" s="85"/>
      <c r="J647" s="85"/>
      <c r="K647" s="85"/>
      <c r="L647" s="85"/>
      <c r="M647" s="86"/>
      <c r="N647" s="86"/>
      <c r="O647" s="86"/>
      <c r="P647" s="86"/>
      <c r="Q647" s="86"/>
      <c r="R647" s="86"/>
      <c r="S647" s="85"/>
      <c r="T647" s="85"/>
      <c r="U647" s="85"/>
      <c r="V647" s="85"/>
      <c r="W647" s="85"/>
      <c r="X647" s="85"/>
      <c r="Y647" s="87"/>
      <c r="Z647" s="87"/>
      <c r="AA647" s="87"/>
      <c r="AB647" s="87"/>
      <c r="AC647" s="87"/>
      <c r="AD647" s="87"/>
    </row>
    <row r="648" ht="15.75" customHeight="1">
      <c r="G648" s="85"/>
      <c r="H648" s="85"/>
      <c r="I648" s="85"/>
      <c r="J648" s="85"/>
      <c r="K648" s="85"/>
      <c r="L648" s="85"/>
      <c r="M648" s="86"/>
      <c r="N648" s="86"/>
      <c r="O648" s="86"/>
      <c r="P648" s="86"/>
      <c r="Q648" s="86"/>
      <c r="R648" s="86"/>
      <c r="S648" s="85"/>
      <c r="T648" s="85"/>
      <c r="U648" s="85"/>
      <c r="V648" s="85"/>
      <c r="W648" s="85"/>
      <c r="X648" s="85"/>
      <c r="Y648" s="87"/>
      <c r="Z648" s="87"/>
      <c r="AA648" s="87"/>
      <c r="AB648" s="87"/>
      <c r="AC648" s="87"/>
      <c r="AD648" s="87"/>
    </row>
    <row r="649" ht="15.75" customHeight="1">
      <c r="G649" s="85"/>
      <c r="H649" s="85"/>
      <c r="I649" s="85"/>
      <c r="J649" s="85"/>
      <c r="K649" s="85"/>
      <c r="L649" s="85"/>
      <c r="M649" s="86"/>
      <c r="N649" s="86"/>
      <c r="O649" s="86"/>
      <c r="P649" s="86"/>
      <c r="Q649" s="86"/>
      <c r="R649" s="86"/>
      <c r="S649" s="85"/>
      <c r="T649" s="85"/>
      <c r="U649" s="85"/>
      <c r="V649" s="85"/>
      <c r="W649" s="85"/>
      <c r="X649" s="85"/>
      <c r="Y649" s="87"/>
      <c r="Z649" s="87"/>
      <c r="AA649" s="87"/>
      <c r="AB649" s="87"/>
      <c r="AC649" s="87"/>
      <c r="AD649" s="87"/>
    </row>
    <row r="650" ht="15.75" customHeight="1">
      <c r="G650" s="85"/>
      <c r="H650" s="85"/>
      <c r="I650" s="85"/>
      <c r="J650" s="85"/>
      <c r="K650" s="85"/>
      <c r="L650" s="85"/>
      <c r="M650" s="86"/>
      <c r="N650" s="86"/>
      <c r="O650" s="86"/>
      <c r="P650" s="86"/>
      <c r="Q650" s="86"/>
      <c r="R650" s="86"/>
      <c r="S650" s="85"/>
      <c r="T650" s="85"/>
      <c r="U650" s="85"/>
      <c r="V650" s="85"/>
      <c r="W650" s="85"/>
      <c r="X650" s="85"/>
      <c r="Y650" s="87"/>
      <c r="Z650" s="87"/>
      <c r="AA650" s="87"/>
      <c r="AB650" s="87"/>
      <c r="AC650" s="87"/>
      <c r="AD650" s="87"/>
    </row>
    <row r="651" ht="15.75" customHeight="1">
      <c r="G651" s="85"/>
      <c r="H651" s="85"/>
      <c r="I651" s="85"/>
      <c r="J651" s="85"/>
      <c r="K651" s="85"/>
      <c r="L651" s="85"/>
      <c r="M651" s="86"/>
      <c r="N651" s="86"/>
      <c r="O651" s="86"/>
      <c r="P651" s="86"/>
      <c r="Q651" s="86"/>
      <c r="R651" s="86"/>
      <c r="S651" s="85"/>
      <c r="T651" s="85"/>
      <c r="U651" s="85"/>
      <c r="V651" s="85"/>
      <c r="W651" s="85"/>
      <c r="X651" s="85"/>
      <c r="Y651" s="87"/>
      <c r="Z651" s="87"/>
      <c r="AA651" s="87"/>
      <c r="AB651" s="87"/>
      <c r="AC651" s="87"/>
      <c r="AD651" s="87"/>
    </row>
    <row r="652" ht="15.75" customHeight="1">
      <c r="G652" s="85"/>
      <c r="H652" s="85"/>
      <c r="I652" s="85"/>
      <c r="J652" s="85"/>
      <c r="K652" s="85"/>
      <c r="L652" s="85"/>
      <c r="M652" s="86"/>
      <c r="N652" s="86"/>
      <c r="O652" s="86"/>
      <c r="P652" s="86"/>
      <c r="Q652" s="86"/>
      <c r="R652" s="86"/>
      <c r="S652" s="85"/>
      <c r="T652" s="85"/>
      <c r="U652" s="85"/>
      <c r="V652" s="85"/>
      <c r="W652" s="85"/>
      <c r="X652" s="85"/>
      <c r="Y652" s="87"/>
      <c r="Z652" s="87"/>
      <c r="AA652" s="87"/>
      <c r="AB652" s="87"/>
      <c r="AC652" s="87"/>
      <c r="AD652" s="87"/>
    </row>
    <row r="653" ht="15.75" customHeight="1">
      <c r="G653" s="85"/>
      <c r="H653" s="85"/>
      <c r="I653" s="85"/>
      <c r="J653" s="85"/>
      <c r="K653" s="85"/>
      <c r="L653" s="85"/>
      <c r="M653" s="86"/>
      <c r="N653" s="86"/>
      <c r="O653" s="86"/>
      <c r="P653" s="86"/>
      <c r="Q653" s="86"/>
      <c r="R653" s="86"/>
      <c r="S653" s="85"/>
      <c r="T653" s="85"/>
      <c r="U653" s="85"/>
      <c r="V653" s="85"/>
      <c r="W653" s="85"/>
      <c r="X653" s="85"/>
      <c r="Y653" s="87"/>
      <c r="Z653" s="87"/>
      <c r="AA653" s="87"/>
      <c r="AB653" s="87"/>
      <c r="AC653" s="87"/>
      <c r="AD653" s="87"/>
    </row>
    <row r="654" ht="15.75" customHeight="1">
      <c r="G654" s="85"/>
      <c r="H654" s="85"/>
      <c r="I654" s="85"/>
      <c r="J654" s="85"/>
      <c r="K654" s="85"/>
      <c r="L654" s="85"/>
      <c r="M654" s="86"/>
      <c r="N654" s="86"/>
      <c r="O654" s="86"/>
      <c r="P654" s="86"/>
      <c r="Q654" s="86"/>
      <c r="R654" s="86"/>
      <c r="S654" s="85"/>
      <c r="T654" s="85"/>
      <c r="U654" s="85"/>
      <c r="V654" s="85"/>
      <c r="W654" s="85"/>
      <c r="X654" s="85"/>
      <c r="Y654" s="87"/>
      <c r="Z654" s="87"/>
      <c r="AA654" s="87"/>
      <c r="AB654" s="87"/>
      <c r="AC654" s="87"/>
      <c r="AD654" s="87"/>
    </row>
    <row r="655" ht="15.75" customHeight="1">
      <c r="G655" s="85"/>
      <c r="H655" s="85"/>
      <c r="I655" s="85"/>
      <c r="J655" s="85"/>
      <c r="K655" s="85"/>
      <c r="L655" s="85"/>
      <c r="M655" s="86"/>
      <c r="N655" s="86"/>
      <c r="O655" s="86"/>
      <c r="P655" s="86"/>
      <c r="Q655" s="86"/>
      <c r="R655" s="86"/>
      <c r="S655" s="85"/>
      <c r="T655" s="85"/>
      <c r="U655" s="85"/>
      <c r="V655" s="85"/>
      <c r="W655" s="85"/>
      <c r="X655" s="85"/>
      <c r="Y655" s="87"/>
      <c r="Z655" s="87"/>
      <c r="AA655" s="87"/>
      <c r="AB655" s="87"/>
      <c r="AC655" s="87"/>
      <c r="AD655" s="87"/>
    </row>
    <row r="656" ht="15.75" customHeight="1">
      <c r="G656" s="85"/>
      <c r="H656" s="85"/>
      <c r="I656" s="85"/>
      <c r="J656" s="85"/>
      <c r="K656" s="85"/>
      <c r="L656" s="85"/>
      <c r="M656" s="86"/>
      <c r="N656" s="86"/>
      <c r="O656" s="86"/>
      <c r="P656" s="86"/>
      <c r="Q656" s="86"/>
      <c r="R656" s="86"/>
      <c r="S656" s="85"/>
      <c r="T656" s="85"/>
      <c r="U656" s="85"/>
      <c r="V656" s="85"/>
      <c r="W656" s="85"/>
      <c r="X656" s="85"/>
      <c r="Y656" s="87"/>
      <c r="Z656" s="87"/>
      <c r="AA656" s="87"/>
      <c r="AB656" s="87"/>
      <c r="AC656" s="87"/>
      <c r="AD656" s="87"/>
    </row>
    <row r="657" ht="15.75" customHeight="1">
      <c r="G657" s="85"/>
      <c r="H657" s="85"/>
      <c r="I657" s="85"/>
      <c r="J657" s="85"/>
      <c r="K657" s="85"/>
      <c r="L657" s="85"/>
      <c r="M657" s="86"/>
      <c r="N657" s="86"/>
      <c r="O657" s="86"/>
      <c r="P657" s="86"/>
      <c r="Q657" s="86"/>
      <c r="R657" s="86"/>
      <c r="S657" s="85"/>
      <c r="T657" s="85"/>
      <c r="U657" s="85"/>
      <c r="V657" s="85"/>
      <c r="W657" s="85"/>
      <c r="X657" s="85"/>
      <c r="Y657" s="87"/>
      <c r="Z657" s="87"/>
      <c r="AA657" s="87"/>
      <c r="AB657" s="87"/>
      <c r="AC657" s="87"/>
      <c r="AD657" s="87"/>
    </row>
    <row r="658" ht="15.75" customHeight="1">
      <c r="G658" s="85"/>
      <c r="H658" s="85"/>
      <c r="I658" s="85"/>
      <c r="J658" s="85"/>
      <c r="K658" s="85"/>
      <c r="L658" s="85"/>
      <c r="M658" s="86"/>
      <c r="N658" s="86"/>
      <c r="O658" s="86"/>
      <c r="P658" s="86"/>
      <c r="Q658" s="86"/>
      <c r="R658" s="86"/>
      <c r="S658" s="85"/>
      <c r="T658" s="85"/>
      <c r="U658" s="85"/>
      <c r="V658" s="85"/>
      <c r="W658" s="85"/>
      <c r="X658" s="85"/>
      <c r="Y658" s="87"/>
      <c r="Z658" s="87"/>
      <c r="AA658" s="87"/>
      <c r="AB658" s="87"/>
      <c r="AC658" s="87"/>
      <c r="AD658" s="87"/>
    </row>
    <row r="659" ht="15.75" customHeight="1">
      <c r="G659" s="85"/>
      <c r="H659" s="85"/>
      <c r="I659" s="85"/>
      <c r="J659" s="85"/>
      <c r="K659" s="85"/>
      <c r="L659" s="85"/>
      <c r="M659" s="86"/>
      <c r="N659" s="86"/>
      <c r="O659" s="86"/>
      <c r="P659" s="86"/>
      <c r="Q659" s="86"/>
      <c r="R659" s="86"/>
      <c r="S659" s="85"/>
      <c r="T659" s="85"/>
      <c r="U659" s="85"/>
      <c r="V659" s="85"/>
      <c r="W659" s="85"/>
      <c r="X659" s="85"/>
      <c r="Y659" s="87"/>
      <c r="Z659" s="87"/>
      <c r="AA659" s="87"/>
      <c r="AB659" s="87"/>
      <c r="AC659" s="87"/>
      <c r="AD659" s="87"/>
    </row>
    <row r="660" ht="15.75" customHeight="1">
      <c r="G660" s="85"/>
      <c r="H660" s="85"/>
      <c r="I660" s="85"/>
      <c r="J660" s="85"/>
      <c r="K660" s="85"/>
      <c r="L660" s="85"/>
      <c r="M660" s="86"/>
      <c r="N660" s="86"/>
      <c r="O660" s="86"/>
      <c r="P660" s="86"/>
      <c r="Q660" s="86"/>
      <c r="R660" s="86"/>
      <c r="S660" s="85"/>
      <c r="T660" s="85"/>
      <c r="U660" s="85"/>
      <c r="V660" s="85"/>
      <c r="W660" s="85"/>
      <c r="X660" s="85"/>
      <c r="Y660" s="87"/>
      <c r="Z660" s="87"/>
      <c r="AA660" s="87"/>
      <c r="AB660" s="87"/>
      <c r="AC660" s="87"/>
      <c r="AD660" s="87"/>
    </row>
    <row r="661" ht="15.75" customHeight="1">
      <c r="G661" s="85"/>
      <c r="H661" s="85"/>
      <c r="I661" s="85"/>
      <c r="J661" s="85"/>
      <c r="K661" s="85"/>
      <c r="L661" s="85"/>
      <c r="M661" s="86"/>
      <c r="N661" s="86"/>
      <c r="O661" s="86"/>
      <c r="P661" s="86"/>
      <c r="Q661" s="86"/>
      <c r="R661" s="86"/>
      <c r="S661" s="85"/>
      <c r="T661" s="85"/>
      <c r="U661" s="85"/>
      <c r="V661" s="85"/>
      <c r="W661" s="85"/>
      <c r="X661" s="85"/>
      <c r="Y661" s="87"/>
      <c r="Z661" s="87"/>
      <c r="AA661" s="87"/>
      <c r="AB661" s="87"/>
      <c r="AC661" s="87"/>
      <c r="AD661" s="87"/>
    </row>
    <row r="662" ht="15.75" customHeight="1">
      <c r="G662" s="85"/>
      <c r="H662" s="85"/>
      <c r="I662" s="85"/>
      <c r="J662" s="85"/>
      <c r="K662" s="85"/>
      <c r="L662" s="85"/>
      <c r="M662" s="86"/>
      <c r="N662" s="86"/>
      <c r="O662" s="86"/>
      <c r="P662" s="86"/>
      <c r="Q662" s="86"/>
      <c r="R662" s="86"/>
      <c r="S662" s="85"/>
      <c r="T662" s="85"/>
      <c r="U662" s="85"/>
      <c r="V662" s="85"/>
      <c r="W662" s="85"/>
      <c r="X662" s="85"/>
      <c r="Y662" s="87"/>
      <c r="Z662" s="87"/>
      <c r="AA662" s="87"/>
      <c r="AB662" s="87"/>
      <c r="AC662" s="87"/>
      <c r="AD662" s="87"/>
    </row>
    <row r="663" ht="15.75" customHeight="1">
      <c r="G663" s="85"/>
      <c r="H663" s="85"/>
      <c r="I663" s="85"/>
      <c r="J663" s="85"/>
      <c r="K663" s="85"/>
      <c r="L663" s="85"/>
      <c r="M663" s="86"/>
      <c r="N663" s="86"/>
      <c r="O663" s="86"/>
      <c r="P663" s="86"/>
      <c r="Q663" s="86"/>
      <c r="R663" s="86"/>
      <c r="S663" s="85"/>
      <c r="T663" s="85"/>
      <c r="U663" s="85"/>
      <c r="V663" s="85"/>
      <c r="W663" s="85"/>
      <c r="X663" s="85"/>
      <c r="Y663" s="87"/>
      <c r="Z663" s="87"/>
      <c r="AA663" s="87"/>
      <c r="AB663" s="87"/>
      <c r="AC663" s="87"/>
      <c r="AD663" s="87"/>
    </row>
    <row r="664" ht="15.75" customHeight="1">
      <c r="G664" s="85"/>
      <c r="H664" s="85"/>
      <c r="I664" s="85"/>
      <c r="J664" s="85"/>
      <c r="K664" s="85"/>
      <c r="L664" s="85"/>
      <c r="M664" s="86"/>
      <c r="N664" s="86"/>
      <c r="O664" s="86"/>
      <c r="P664" s="86"/>
      <c r="Q664" s="86"/>
      <c r="R664" s="86"/>
      <c r="S664" s="85"/>
      <c r="T664" s="85"/>
      <c r="U664" s="85"/>
      <c r="V664" s="85"/>
      <c r="W664" s="85"/>
      <c r="X664" s="85"/>
      <c r="Y664" s="87"/>
      <c r="Z664" s="87"/>
      <c r="AA664" s="87"/>
      <c r="AB664" s="87"/>
      <c r="AC664" s="87"/>
      <c r="AD664" s="87"/>
    </row>
    <row r="665" ht="15.75" customHeight="1">
      <c r="G665" s="85"/>
      <c r="H665" s="85"/>
      <c r="I665" s="85"/>
      <c r="J665" s="85"/>
      <c r="K665" s="85"/>
      <c r="L665" s="85"/>
      <c r="M665" s="86"/>
      <c r="N665" s="86"/>
      <c r="O665" s="86"/>
      <c r="P665" s="86"/>
      <c r="Q665" s="86"/>
      <c r="R665" s="86"/>
      <c r="S665" s="85"/>
      <c r="T665" s="85"/>
      <c r="U665" s="85"/>
      <c r="V665" s="85"/>
      <c r="W665" s="85"/>
      <c r="X665" s="85"/>
      <c r="Y665" s="87"/>
      <c r="Z665" s="87"/>
      <c r="AA665" s="87"/>
      <c r="AB665" s="87"/>
      <c r="AC665" s="87"/>
      <c r="AD665" s="87"/>
    </row>
    <row r="666" ht="15.75" customHeight="1">
      <c r="G666" s="85"/>
      <c r="H666" s="85"/>
      <c r="I666" s="85"/>
      <c r="J666" s="85"/>
      <c r="K666" s="85"/>
      <c r="L666" s="85"/>
      <c r="M666" s="86"/>
      <c r="N666" s="86"/>
      <c r="O666" s="86"/>
      <c r="P666" s="86"/>
      <c r="Q666" s="86"/>
      <c r="R666" s="86"/>
      <c r="S666" s="85"/>
      <c r="T666" s="85"/>
      <c r="U666" s="85"/>
      <c r="V666" s="85"/>
      <c r="W666" s="85"/>
      <c r="X666" s="85"/>
      <c r="Y666" s="87"/>
      <c r="Z666" s="87"/>
      <c r="AA666" s="87"/>
      <c r="AB666" s="87"/>
      <c r="AC666" s="87"/>
      <c r="AD666" s="87"/>
    </row>
    <row r="667" ht="15.75" customHeight="1">
      <c r="G667" s="85"/>
      <c r="H667" s="85"/>
      <c r="I667" s="85"/>
      <c r="J667" s="85"/>
      <c r="K667" s="85"/>
      <c r="L667" s="85"/>
      <c r="M667" s="86"/>
      <c r="N667" s="86"/>
      <c r="O667" s="86"/>
      <c r="P667" s="86"/>
      <c r="Q667" s="86"/>
      <c r="R667" s="86"/>
      <c r="S667" s="85"/>
      <c r="T667" s="85"/>
      <c r="U667" s="85"/>
      <c r="V667" s="85"/>
      <c r="W667" s="85"/>
      <c r="X667" s="85"/>
      <c r="Y667" s="87"/>
      <c r="Z667" s="87"/>
      <c r="AA667" s="87"/>
      <c r="AB667" s="87"/>
      <c r="AC667" s="87"/>
      <c r="AD667" s="87"/>
    </row>
    <row r="668" ht="15.75" customHeight="1">
      <c r="G668" s="85"/>
      <c r="H668" s="85"/>
      <c r="I668" s="85"/>
      <c r="J668" s="85"/>
      <c r="K668" s="85"/>
      <c r="L668" s="85"/>
      <c r="M668" s="86"/>
      <c r="N668" s="86"/>
      <c r="O668" s="86"/>
      <c r="P668" s="86"/>
      <c r="Q668" s="86"/>
      <c r="R668" s="86"/>
      <c r="S668" s="85"/>
      <c r="T668" s="85"/>
      <c r="U668" s="85"/>
      <c r="V668" s="85"/>
      <c r="W668" s="85"/>
      <c r="X668" s="85"/>
      <c r="Y668" s="87"/>
      <c r="Z668" s="87"/>
      <c r="AA668" s="87"/>
      <c r="AB668" s="87"/>
      <c r="AC668" s="87"/>
      <c r="AD668" s="87"/>
    </row>
    <row r="669" ht="15.75" customHeight="1">
      <c r="G669" s="85"/>
      <c r="H669" s="85"/>
      <c r="I669" s="85"/>
      <c r="J669" s="85"/>
      <c r="K669" s="85"/>
      <c r="L669" s="85"/>
      <c r="M669" s="86"/>
      <c r="N669" s="86"/>
      <c r="O669" s="86"/>
      <c r="P669" s="86"/>
      <c r="Q669" s="86"/>
      <c r="R669" s="86"/>
      <c r="S669" s="85"/>
      <c r="T669" s="85"/>
      <c r="U669" s="85"/>
      <c r="V669" s="85"/>
      <c r="W669" s="85"/>
      <c r="X669" s="85"/>
      <c r="Y669" s="87"/>
      <c r="Z669" s="87"/>
      <c r="AA669" s="87"/>
      <c r="AB669" s="87"/>
      <c r="AC669" s="87"/>
      <c r="AD669" s="87"/>
    </row>
    <row r="670" ht="15.75" customHeight="1">
      <c r="G670" s="85"/>
      <c r="H670" s="85"/>
      <c r="I670" s="85"/>
      <c r="J670" s="85"/>
      <c r="K670" s="85"/>
      <c r="L670" s="85"/>
      <c r="M670" s="86"/>
      <c r="N670" s="86"/>
      <c r="O670" s="86"/>
      <c r="P670" s="86"/>
      <c r="Q670" s="86"/>
      <c r="R670" s="86"/>
      <c r="S670" s="85"/>
      <c r="T670" s="85"/>
      <c r="U670" s="85"/>
      <c r="V670" s="85"/>
      <c r="W670" s="85"/>
      <c r="X670" s="85"/>
      <c r="Y670" s="87"/>
      <c r="Z670" s="87"/>
      <c r="AA670" s="87"/>
      <c r="AB670" s="87"/>
      <c r="AC670" s="87"/>
      <c r="AD670" s="87"/>
    </row>
    <row r="671" ht="15.75" customHeight="1">
      <c r="G671" s="85"/>
      <c r="H671" s="85"/>
      <c r="I671" s="85"/>
      <c r="J671" s="85"/>
      <c r="K671" s="85"/>
      <c r="L671" s="85"/>
      <c r="M671" s="86"/>
      <c r="N671" s="86"/>
      <c r="O671" s="86"/>
      <c r="P671" s="86"/>
      <c r="Q671" s="86"/>
      <c r="R671" s="86"/>
      <c r="S671" s="85"/>
      <c r="T671" s="85"/>
      <c r="U671" s="85"/>
      <c r="V671" s="85"/>
      <c r="W671" s="85"/>
      <c r="X671" s="85"/>
      <c r="Y671" s="87"/>
      <c r="Z671" s="87"/>
      <c r="AA671" s="87"/>
      <c r="AB671" s="87"/>
      <c r="AC671" s="87"/>
      <c r="AD671" s="87"/>
    </row>
    <row r="672" ht="15.75" customHeight="1">
      <c r="G672" s="85"/>
      <c r="H672" s="85"/>
      <c r="I672" s="85"/>
      <c r="J672" s="85"/>
      <c r="K672" s="85"/>
      <c r="L672" s="85"/>
      <c r="M672" s="86"/>
      <c r="N672" s="86"/>
      <c r="O672" s="86"/>
      <c r="P672" s="86"/>
      <c r="Q672" s="86"/>
      <c r="R672" s="86"/>
      <c r="S672" s="85"/>
      <c r="T672" s="85"/>
      <c r="U672" s="85"/>
      <c r="V672" s="85"/>
      <c r="W672" s="85"/>
      <c r="X672" s="85"/>
      <c r="Y672" s="87"/>
      <c r="Z672" s="87"/>
      <c r="AA672" s="87"/>
      <c r="AB672" s="87"/>
      <c r="AC672" s="87"/>
      <c r="AD672" s="87"/>
    </row>
    <row r="673" ht="15.75" customHeight="1">
      <c r="G673" s="85"/>
      <c r="H673" s="85"/>
      <c r="I673" s="85"/>
      <c r="J673" s="85"/>
      <c r="K673" s="85"/>
      <c r="L673" s="85"/>
      <c r="M673" s="86"/>
      <c r="N673" s="86"/>
      <c r="O673" s="86"/>
      <c r="P673" s="86"/>
      <c r="Q673" s="86"/>
      <c r="R673" s="86"/>
      <c r="S673" s="85"/>
      <c r="T673" s="85"/>
      <c r="U673" s="85"/>
      <c r="V673" s="85"/>
      <c r="W673" s="85"/>
      <c r="X673" s="85"/>
      <c r="Y673" s="87"/>
      <c r="Z673" s="87"/>
      <c r="AA673" s="87"/>
      <c r="AB673" s="87"/>
      <c r="AC673" s="87"/>
      <c r="AD673" s="87"/>
    </row>
    <row r="674" ht="15.75" customHeight="1">
      <c r="G674" s="85"/>
      <c r="H674" s="85"/>
      <c r="I674" s="85"/>
      <c r="J674" s="85"/>
      <c r="K674" s="85"/>
      <c r="L674" s="85"/>
      <c r="M674" s="86"/>
      <c r="N674" s="86"/>
      <c r="O674" s="86"/>
      <c r="P674" s="86"/>
      <c r="Q674" s="86"/>
      <c r="R674" s="86"/>
      <c r="S674" s="85"/>
      <c r="T674" s="85"/>
      <c r="U674" s="85"/>
      <c r="V674" s="85"/>
      <c r="W674" s="85"/>
      <c r="X674" s="85"/>
      <c r="Y674" s="87"/>
      <c r="Z674" s="87"/>
      <c r="AA674" s="87"/>
      <c r="AB674" s="87"/>
      <c r="AC674" s="87"/>
      <c r="AD674" s="87"/>
    </row>
    <row r="675" ht="15.75" customHeight="1">
      <c r="G675" s="85"/>
      <c r="H675" s="85"/>
      <c r="I675" s="85"/>
      <c r="J675" s="85"/>
      <c r="K675" s="85"/>
      <c r="L675" s="85"/>
      <c r="M675" s="86"/>
      <c r="N675" s="86"/>
      <c r="O675" s="86"/>
      <c r="P675" s="86"/>
      <c r="Q675" s="86"/>
      <c r="R675" s="86"/>
      <c r="S675" s="85"/>
      <c r="T675" s="85"/>
      <c r="U675" s="85"/>
      <c r="V675" s="85"/>
      <c r="W675" s="85"/>
      <c r="X675" s="85"/>
      <c r="Y675" s="87"/>
      <c r="Z675" s="87"/>
      <c r="AA675" s="87"/>
      <c r="AB675" s="87"/>
      <c r="AC675" s="87"/>
      <c r="AD675" s="87"/>
    </row>
    <row r="676" ht="15.75" customHeight="1">
      <c r="G676" s="85"/>
      <c r="H676" s="85"/>
      <c r="I676" s="85"/>
      <c r="J676" s="85"/>
      <c r="K676" s="85"/>
      <c r="L676" s="85"/>
      <c r="M676" s="86"/>
      <c r="N676" s="86"/>
      <c r="O676" s="86"/>
      <c r="P676" s="86"/>
      <c r="Q676" s="86"/>
      <c r="R676" s="86"/>
      <c r="S676" s="85"/>
      <c r="T676" s="85"/>
      <c r="U676" s="85"/>
      <c r="V676" s="85"/>
      <c r="W676" s="85"/>
      <c r="X676" s="85"/>
      <c r="Y676" s="87"/>
      <c r="Z676" s="87"/>
      <c r="AA676" s="87"/>
      <c r="AB676" s="87"/>
      <c r="AC676" s="87"/>
      <c r="AD676" s="87"/>
    </row>
    <row r="677" ht="15.75" customHeight="1">
      <c r="G677" s="85"/>
      <c r="H677" s="85"/>
      <c r="I677" s="85"/>
      <c r="J677" s="85"/>
      <c r="K677" s="85"/>
      <c r="L677" s="85"/>
      <c r="M677" s="86"/>
      <c r="N677" s="86"/>
      <c r="O677" s="86"/>
      <c r="P677" s="86"/>
      <c r="Q677" s="86"/>
      <c r="R677" s="86"/>
      <c r="S677" s="85"/>
      <c r="T677" s="85"/>
      <c r="U677" s="85"/>
      <c r="V677" s="85"/>
      <c r="W677" s="85"/>
      <c r="X677" s="85"/>
      <c r="Y677" s="87"/>
      <c r="Z677" s="87"/>
      <c r="AA677" s="87"/>
      <c r="AB677" s="87"/>
      <c r="AC677" s="87"/>
      <c r="AD677" s="87"/>
    </row>
    <row r="678" ht="15.75" customHeight="1">
      <c r="G678" s="85"/>
      <c r="H678" s="85"/>
      <c r="I678" s="85"/>
      <c r="J678" s="85"/>
      <c r="K678" s="85"/>
      <c r="L678" s="85"/>
      <c r="M678" s="86"/>
      <c r="N678" s="86"/>
      <c r="O678" s="86"/>
      <c r="P678" s="86"/>
      <c r="Q678" s="86"/>
      <c r="R678" s="86"/>
      <c r="S678" s="85"/>
      <c r="T678" s="85"/>
      <c r="U678" s="85"/>
      <c r="V678" s="85"/>
      <c r="W678" s="85"/>
      <c r="X678" s="85"/>
      <c r="Y678" s="87"/>
      <c r="Z678" s="87"/>
      <c r="AA678" s="87"/>
      <c r="AB678" s="87"/>
      <c r="AC678" s="87"/>
      <c r="AD678" s="87"/>
    </row>
    <row r="679" ht="15.75" customHeight="1">
      <c r="G679" s="85"/>
      <c r="H679" s="85"/>
      <c r="I679" s="85"/>
      <c r="J679" s="85"/>
      <c r="K679" s="85"/>
      <c r="L679" s="85"/>
      <c r="M679" s="86"/>
      <c r="N679" s="86"/>
      <c r="O679" s="86"/>
      <c r="P679" s="86"/>
      <c r="Q679" s="86"/>
      <c r="R679" s="86"/>
      <c r="S679" s="85"/>
      <c r="T679" s="85"/>
      <c r="U679" s="85"/>
      <c r="V679" s="85"/>
      <c r="W679" s="85"/>
      <c r="X679" s="85"/>
      <c r="Y679" s="87"/>
      <c r="Z679" s="87"/>
      <c r="AA679" s="87"/>
      <c r="AB679" s="87"/>
      <c r="AC679" s="87"/>
      <c r="AD679" s="87"/>
    </row>
    <row r="680" ht="15.75" customHeight="1">
      <c r="G680" s="85"/>
      <c r="H680" s="85"/>
      <c r="I680" s="85"/>
      <c r="J680" s="85"/>
      <c r="K680" s="85"/>
      <c r="L680" s="85"/>
      <c r="M680" s="86"/>
      <c r="N680" s="86"/>
      <c r="O680" s="86"/>
      <c r="P680" s="86"/>
      <c r="Q680" s="86"/>
      <c r="R680" s="86"/>
      <c r="S680" s="85"/>
      <c r="T680" s="85"/>
      <c r="U680" s="85"/>
      <c r="V680" s="85"/>
      <c r="W680" s="85"/>
      <c r="X680" s="85"/>
      <c r="Y680" s="87"/>
      <c r="Z680" s="87"/>
      <c r="AA680" s="87"/>
      <c r="AB680" s="87"/>
      <c r="AC680" s="87"/>
      <c r="AD680" s="87"/>
    </row>
    <row r="681" ht="15.75" customHeight="1">
      <c r="G681" s="85"/>
      <c r="H681" s="85"/>
      <c r="I681" s="85"/>
      <c r="J681" s="85"/>
      <c r="K681" s="85"/>
      <c r="L681" s="85"/>
      <c r="M681" s="86"/>
      <c r="N681" s="86"/>
      <c r="O681" s="86"/>
      <c r="P681" s="86"/>
      <c r="Q681" s="86"/>
      <c r="R681" s="86"/>
      <c r="S681" s="85"/>
      <c r="T681" s="85"/>
      <c r="U681" s="85"/>
      <c r="V681" s="85"/>
      <c r="W681" s="85"/>
      <c r="X681" s="85"/>
      <c r="Y681" s="87"/>
      <c r="Z681" s="87"/>
      <c r="AA681" s="87"/>
      <c r="AB681" s="87"/>
      <c r="AC681" s="87"/>
      <c r="AD681" s="87"/>
    </row>
    <row r="682" ht="15.75" customHeight="1">
      <c r="G682" s="85"/>
      <c r="H682" s="85"/>
      <c r="I682" s="85"/>
      <c r="J682" s="85"/>
      <c r="K682" s="85"/>
      <c r="L682" s="85"/>
      <c r="M682" s="86"/>
      <c r="N682" s="86"/>
      <c r="O682" s="86"/>
      <c r="P682" s="86"/>
      <c r="Q682" s="86"/>
      <c r="R682" s="86"/>
      <c r="S682" s="85"/>
      <c r="T682" s="85"/>
      <c r="U682" s="85"/>
      <c r="V682" s="85"/>
      <c r="W682" s="85"/>
      <c r="X682" s="85"/>
      <c r="Y682" s="87"/>
      <c r="Z682" s="87"/>
      <c r="AA682" s="87"/>
      <c r="AB682" s="87"/>
      <c r="AC682" s="87"/>
      <c r="AD682" s="87"/>
    </row>
    <row r="683" ht="15.75" customHeight="1">
      <c r="G683" s="85"/>
      <c r="H683" s="85"/>
      <c r="I683" s="85"/>
      <c r="J683" s="85"/>
      <c r="K683" s="85"/>
      <c r="L683" s="85"/>
      <c r="M683" s="86"/>
      <c r="N683" s="86"/>
      <c r="O683" s="86"/>
      <c r="P683" s="86"/>
      <c r="Q683" s="86"/>
      <c r="R683" s="86"/>
      <c r="S683" s="85"/>
      <c r="T683" s="85"/>
      <c r="U683" s="85"/>
      <c r="V683" s="85"/>
      <c r="W683" s="85"/>
      <c r="X683" s="85"/>
      <c r="Y683" s="87"/>
      <c r="Z683" s="87"/>
      <c r="AA683" s="87"/>
      <c r="AB683" s="87"/>
      <c r="AC683" s="87"/>
      <c r="AD683" s="87"/>
    </row>
    <row r="684" ht="15.75" customHeight="1">
      <c r="G684" s="85"/>
      <c r="H684" s="85"/>
      <c r="I684" s="85"/>
      <c r="J684" s="85"/>
      <c r="K684" s="85"/>
      <c r="L684" s="85"/>
      <c r="M684" s="86"/>
      <c r="N684" s="86"/>
      <c r="O684" s="86"/>
      <c r="P684" s="86"/>
      <c r="Q684" s="86"/>
      <c r="R684" s="86"/>
      <c r="S684" s="85"/>
      <c r="T684" s="85"/>
      <c r="U684" s="85"/>
      <c r="V684" s="85"/>
      <c r="W684" s="85"/>
      <c r="X684" s="85"/>
      <c r="Y684" s="87"/>
      <c r="Z684" s="87"/>
      <c r="AA684" s="87"/>
      <c r="AB684" s="87"/>
      <c r="AC684" s="87"/>
      <c r="AD684" s="87"/>
    </row>
    <row r="685" ht="15.75" customHeight="1">
      <c r="G685" s="85"/>
      <c r="H685" s="85"/>
      <c r="I685" s="85"/>
      <c r="J685" s="85"/>
      <c r="K685" s="85"/>
      <c r="L685" s="85"/>
      <c r="M685" s="86"/>
      <c r="N685" s="86"/>
      <c r="O685" s="86"/>
      <c r="P685" s="86"/>
      <c r="Q685" s="86"/>
      <c r="R685" s="86"/>
      <c r="S685" s="85"/>
      <c r="T685" s="85"/>
      <c r="U685" s="85"/>
      <c r="V685" s="85"/>
      <c r="W685" s="85"/>
      <c r="X685" s="85"/>
      <c r="Y685" s="87"/>
      <c r="Z685" s="87"/>
      <c r="AA685" s="87"/>
      <c r="AB685" s="87"/>
      <c r="AC685" s="87"/>
      <c r="AD685" s="87"/>
    </row>
    <row r="686" ht="15.75" customHeight="1">
      <c r="G686" s="85"/>
      <c r="H686" s="85"/>
      <c r="I686" s="85"/>
      <c r="J686" s="85"/>
      <c r="K686" s="85"/>
      <c r="L686" s="85"/>
      <c r="M686" s="86"/>
      <c r="N686" s="86"/>
      <c r="O686" s="86"/>
      <c r="P686" s="86"/>
      <c r="Q686" s="86"/>
      <c r="R686" s="86"/>
      <c r="S686" s="85"/>
      <c r="T686" s="85"/>
      <c r="U686" s="85"/>
      <c r="V686" s="85"/>
      <c r="W686" s="85"/>
      <c r="X686" s="85"/>
      <c r="Y686" s="87"/>
      <c r="Z686" s="87"/>
      <c r="AA686" s="87"/>
      <c r="AB686" s="87"/>
      <c r="AC686" s="87"/>
      <c r="AD686" s="87"/>
    </row>
    <row r="687" ht="15.75" customHeight="1">
      <c r="G687" s="85"/>
      <c r="H687" s="85"/>
      <c r="I687" s="85"/>
      <c r="J687" s="85"/>
      <c r="K687" s="85"/>
      <c r="L687" s="85"/>
      <c r="M687" s="86"/>
      <c r="N687" s="86"/>
      <c r="O687" s="86"/>
      <c r="P687" s="86"/>
      <c r="Q687" s="86"/>
      <c r="R687" s="86"/>
      <c r="S687" s="85"/>
      <c r="T687" s="85"/>
      <c r="U687" s="85"/>
      <c r="V687" s="85"/>
      <c r="W687" s="85"/>
      <c r="X687" s="85"/>
      <c r="Y687" s="87"/>
      <c r="Z687" s="87"/>
      <c r="AA687" s="87"/>
      <c r="AB687" s="87"/>
      <c r="AC687" s="87"/>
      <c r="AD687" s="87"/>
    </row>
    <row r="688" ht="15.75" customHeight="1">
      <c r="G688" s="85"/>
      <c r="H688" s="85"/>
      <c r="I688" s="85"/>
      <c r="J688" s="85"/>
      <c r="K688" s="85"/>
      <c r="L688" s="85"/>
      <c r="M688" s="86"/>
      <c r="N688" s="86"/>
      <c r="O688" s="86"/>
      <c r="P688" s="86"/>
      <c r="Q688" s="86"/>
      <c r="R688" s="86"/>
      <c r="S688" s="85"/>
      <c r="T688" s="85"/>
      <c r="U688" s="85"/>
      <c r="V688" s="85"/>
      <c r="W688" s="85"/>
      <c r="X688" s="85"/>
      <c r="Y688" s="87"/>
      <c r="Z688" s="87"/>
      <c r="AA688" s="87"/>
      <c r="AB688" s="87"/>
      <c r="AC688" s="87"/>
      <c r="AD688" s="87"/>
    </row>
    <row r="689" ht="15.75" customHeight="1">
      <c r="G689" s="85"/>
      <c r="H689" s="85"/>
      <c r="I689" s="85"/>
      <c r="J689" s="85"/>
      <c r="K689" s="85"/>
      <c r="L689" s="85"/>
      <c r="M689" s="86"/>
      <c r="N689" s="86"/>
      <c r="O689" s="86"/>
      <c r="P689" s="86"/>
      <c r="Q689" s="86"/>
      <c r="R689" s="86"/>
      <c r="S689" s="85"/>
      <c r="T689" s="85"/>
      <c r="U689" s="85"/>
      <c r="V689" s="85"/>
      <c r="W689" s="85"/>
      <c r="X689" s="85"/>
      <c r="Y689" s="87"/>
      <c r="Z689" s="87"/>
      <c r="AA689" s="87"/>
      <c r="AB689" s="87"/>
      <c r="AC689" s="87"/>
      <c r="AD689" s="87"/>
    </row>
    <row r="690" ht="15.75" customHeight="1">
      <c r="G690" s="85"/>
      <c r="H690" s="85"/>
      <c r="I690" s="85"/>
      <c r="J690" s="85"/>
      <c r="K690" s="85"/>
      <c r="L690" s="85"/>
      <c r="M690" s="86"/>
      <c r="N690" s="86"/>
      <c r="O690" s="86"/>
      <c r="P690" s="86"/>
      <c r="Q690" s="86"/>
      <c r="R690" s="86"/>
      <c r="S690" s="85"/>
      <c r="T690" s="85"/>
      <c r="U690" s="85"/>
      <c r="V690" s="85"/>
      <c r="W690" s="85"/>
      <c r="X690" s="85"/>
      <c r="Y690" s="87"/>
      <c r="Z690" s="87"/>
      <c r="AA690" s="87"/>
      <c r="AB690" s="87"/>
      <c r="AC690" s="87"/>
      <c r="AD690" s="87"/>
    </row>
    <row r="691" ht="15.75" customHeight="1">
      <c r="G691" s="85"/>
      <c r="H691" s="85"/>
      <c r="I691" s="85"/>
      <c r="J691" s="85"/>
      <c r="K691" s="85"/>
      <c r="L691" s="85"/>
      <c r="M691" s="86"/>
      <c r="N691" s="86"/>
      <c r="O691" s="86"/>
      <c r="P691" s="86"/>
      <c r="Q691" s="86"/>
      <c r="R691" s="86"/>
      <c r="S691" s="85"/>
      <c r="T691" s="85"/>
      <c r="U691" s="85"/>
      <c r="V691" s="85"/>
      <c r="W691" s="85"/>
      <c r="X691" s="85"/>
      <c r="Y691" s="87"/>
      <c r="Z691" s="87"/>
      <c r="AA691" s="87"/>
      <c r="AB691" s="87"/>
      <c r="AC691" s="87"/>
      <c r="AD691" s="87"/>
    </row>
    <row r="692" ht="15.75" customHeight="1">
      <c r="G692" s="85"/>
      <c r="H692" s="85"/>
      <c r="I692" s="85"/>
      <c r="J692" s="85"/>
      <c r="K692" s="85"/>
      <c r="L692" s="85"/>
      <c r="M692" s="86"/>
      <c r="N692" s="86"/>
      <c r="O692" s="86"/>
      <c r="P692" s="86"/>
      <c r="Q692" s="86"/>
      <c r="R692" s="86"/>
      <c r="S692" s="85"/>
      <c r="T692" s="85"/>
      <c r="U692" s="85"/>
      <c r="V692" s="85"/>
      <c r="W692" s="85"/>
      <c r="X692" s="85"/>
      <c r="Y692" s="87"/>
      <c r="Z692" s="87"/>
      <c r="AA692" s="87"/>
      <c r="AB692" s="87"/>
      <c r="AC692" s="87"/>
      <c r="AD692" s="87"/>
    </row>
    <row r="693" ht="15.75" customHeight="1">
      <c r="G693" s="85"/>
      <c r="H693" s="85"/>
      <c r="I693" s="85"/>
      <c r="J693" s="85"/>
      <c r="K693" s="85"/>
      <c r="L693" s="85"/>
      <c r="M693" s="86"/>
      <c r="N693" s="86"/>
      <c r="O693" s="86"/>
      <c r="P693" s="86"/>
      <c r="Q693" s="86"/>
      <c r="R693" s="86"/>
      <c r="S693" s="85"/>
      <c r="T693" s="85"/>
      <c r="U693" s="85"/>
      <c r="V693" s="85"/>
      <c r="W693" s="85"/>
      <c r="X693" s="85"/>
      <c r="Y693" s="87"/>
      <c r="Z693" s="87"/>
      <c r="AA693" s="87"/>
      <c r="AB693" s="87"/>
      <c r="AC693" s="87"/>
      <c r="AD693" s="87"/>
    </row>
    <row r="694" ht="15.75" customHeight="1">
      <c r="G694" s="85"/>
      <c r="H694" s="85"/>
      <c r="I694" s="85"/>
      <c r="J694" s="85"/>
      <c r="K694" s="85"/>
      <c r="L694" s="85"/>
      <c r="M694" s="86"/>
      <c r="N694" s="86"/>
      <c r="O694" s="86"/>
      <c r="P694" s="86"/>
      <c r="Q694" s="86"/>
      <c r="R694" s="86"/>
      <c r="S694" s="85"/>
      <c r="T694" s="85"/>
      <c r="U694" s="85"/>
      <c r="V694" s="85"/>
      <c r="W694" s="85"/>
      <c r="X694" s="85"/>
      <c r="Y694" s="87"/>
      <c r="Z694" s="87"/>
      <c r="AA694" s="87"/>
      <c r="AB694" s="87"/>
      <c r="AC694" s="87"/>
      <c r="AD694" s="87"/>
    </row>
    <row r="695" ht="15.75" customHeight="1">
      <c r="G695" s="85"/>
      <c r="H695" s="85"/>
      <c r="I695" s="85"/>
      <c r="J695" s="85"/>
      <c r="K695" s="85"/>
      <c r="L695" s="85"/>
      <c r="M695" s="86"/>
      <c r="N695" s="86"/>
      <c r="O695" s="86"/>
      <c r="P695" s="86"/>
      <c r="Q695" s="86"/>
      <c r="R695" s="86"/>
      <c r="S695" s="85"/>
      <c r="T695" s="85"/>
      <c r="U695" s="85"/>
      <c r="V695" s="85"/>
      <c r="W695" s="85"/>
      <c r="X695" s="85"/>
      <c r="Y695" s="87"/>
      <c r="Z695" s="87"/>
      <c r="AA695" s="87"/>
      <c r="AB695" s="87"/>
      <c r="AC695" s="87"/>
      <c r="AD695" s="87"/>
    </row>
    <row r="696" ht="15.75" customHeight="1">
      <c r="G696" s="85"/>
      <c r="H696" s="85"/>
      <c r="I696" s="85"/>
      <c r="J696" s="85"/>
      <c r="K696" s="85"/>
      <c r="L696" s="85"/>
      <c r="M696" s="86"/>
      <c r="N696" s="86"/>
      <c r="O696" s="86"/>
      <c r="P696" s="86"/>
      <c r="Q696" s="86"/>
      <c r="R696" s="86"/>
      <c r="S696" s="85"/>
      <c r="T696" s="85"/>
      <c r="U696" s="85"/>
      <c r="V696" s="85"/>
      <c r="W696" s="85"/>
      <c r="X696" s="85"/>
      <c r="Y696" s="87"/>
      <c r="Z696" s="87"/>
      <c r="AA696" s="87"/>
      <c r="AB696" s="87"/>
      <c r="AC696" s="87"/>
      <c r="AD696" s="87"/>
    </row>
    <row r="697" ht="15.75" customHeight="1">
      <c r="G697" s="85"/>
      <c r="H697" s="85"/>
      <c r="I697" s="85"/>
      <c r="J697" s="85"/>
      <c r="K697" s="85"/>
      <c r="L697" s="85"/>
      <c r="M697" s="86"/>
      <c r="N697" s="86"/>
      <c r="O697" s="86"/>
      <c r="P697" s="86"/>
      <c r="Q697" s="86"/>
      <c r="R697" s="86"/>
      <c r="S697" s="85"/>
      <c r="T697" s="85"/>
      <c r="U697" s="85"/>
      <c r="V697" s="85"/>
      <c r="W697" s="85"/>
      <c r="X697" s="85"/>
      <c r="Y697" s="87"/>
      <c r="Z697" s="87"/>
      <c r="AA697" s="87"/>
      <c r="AB697" s="87"/>
      <c r="AC697" s="87"/>
      <c r="AD697" s="87"/>
    </row>
    <row r="698" ht="15.75" customHeight="1">
      <c r="G698" s="85"/>
      <c r="H698" s="85"/>
      <c r="I698" s="85"/>
      <c r="J698" s="85"/>
      <c r="K698" s="85"/>
      <c r="L698" s="85"/>
      <c r="M698" s="86"/>
      <c r="N698" s="86"/>
      <c r="O698" s="86"/>
      <c r="P698" s="86"/>
      <c r="Q698" s="86"/>
      <c r="R698" s="86"/>
      <c r="S698" s="85"/>
      <c r="T698" s="85"/>
      <c r="U698" s="85"/>
      <c r="V698" s="85"/>
      <c r="W698" s="85"/>
      <c r="X698" s="85"/>
      <c r="Y698" s="87"/>
      <c r="Z698" s="87"/>
      <c r="AA698" s="87"/>
      <c r="AB698" s="87"/>
      <c r="AC698" s="87"/>
      <c r="AD698" s="87"/>
    </row>
    <row r="699" ht="15.75" customHeight="1">
      <c r="G699" s="85"/>
      <c r="H699" s="85"/>
      <c r="I699" s="85"/>
      <c r="J699" s="85"/>
      <c r="K699" s="85"/>
      <c r="L699" s="85"/>
      <c r="M699" s="86"/>
      <c r="N699" s="86"/>
      <c r="O699" s="86"/>
      <c r="P699" s="86"/>
      <c r="Q699" s="86"/>
      <c r="R699" s="86"/>
      <c r="S699" s="85"/>
      <c r="T699" s="85"/>
      <c r="U699" s="85"/>
      <c r="V699" s="85"/>
      <c r="W699" s="85"/>
      <c r="X699" s="85"/>
      <c r="Y699" s="87"/>
      <c r="Z699" s="87"/>
      <c r="AA699" s="87"/>
      <c r="AB699" s="87"/>
      <c r="AC699" s="87"/>
      <c r="AD699" s="87"/>
    </row>
    <row r="700" ht="15.75" customHeight="1">
      <c r="G700" s="85"/>
      <c r="H700" s="85"/>
      <c r="I700" s="85"/>
      <c r="J700" s="85"/>
      <c r="K700" s="85"/>
      <c r="L700" s="85"/>
      <c r="M700" s="86"/>
      <c r="N700" s="86"/>
      <c r="O700" s="86"/>
      <c r="P700" s="86"/>
      <c r="Q700" s="86"/>
      <c r="R700" s="86"/>
      <c r="S700" s="85"/>
      <c r="T700" s="85"/>
      <c r="U700" s="85"/>
      <c r="V700" s="85"/>
      <c r="W700" s="85"/>
      <c r="X700" s="85"/>
      <c r="Y700" s="87"/>
      <c r="Z700" s="87"/>
      <c r="AA700" s="87"/>
      <c r="AB700" s="87"/>
      <c r="AC700" s="87"/>
      <c r="AD700" s="87"/>
    </row>
    <row r="701" ht="15.75" customHeight="1">
      <c r="G701" s="85"/>
      <c r="H701" s="85"/>
      <c r="I701" s="85"/>
      <c r="J701" s="85"/>
      <c r="K701" s="85"/>
      <c r="L701" s="85"/>
      <c r="M701" s="86"/>
      <c r="N701" s="86"/>
      <c r="O701" s="86"/>
      <c r="P701" s="86"/>
      <c r="Q701" s="86"/>
      <c r="R701" s="86"/>
      <c r="S701" s="85"/>
      <c r="T701" s="85"/>
      <c r="U701" s="85"/>
      <c r="V701" s="85"/>
      <c r="W701" s="85"/>
      <c r="X701" s="85"/>
      <c r="Y701" s="87"/>
      <c r="Z701" s="87"/>
      <c r="AA701" s="87"/>
      <c r="AB701" s="87"/>
      <c r="AC701" s="87"/>
      <c r="AD701" s="87"/>
    </row>
    <row r="702" ht="15.75" customHeight="1">
      <c r="G702" s="85"/>
      <c r="H702" s="85"/>
      <c r="I702" s="85"/>
      <c r="J702" s="85"/>
      <c r="K702" s="85"/>
      <c r="L702" s="85"/>
      <c r="M702" s="86"/>
      <c r="N702" s="86"/>
      <c r="O702" s="86"/>
      <c r="P702" s="86"/>
      <c r="Q702" s="86"/>
      <c r="R702" s="86"/>
      <c r="S702" s="85"/>
      <c r="T702" s="85"/>
      <c r="U702" s="85"/>
      <c r="V702" s="85"/>
      <c r="W702" s="85"/>
      <c r="X702" s="85"/>
      <c r="Y702" s="87"/>
      <c r="Z702" s="87"/>
      <c r="AA702" s="87"/>
      <c r="AB702" s="87"/>
      <c r="AC702" s="87"/>
      <c r="AD702" s="87"/>
    </row>
    <row r="703" ht="15.75" customHeight="1">
      <c r="G703" s="85"/>
      <c r="H703" s="85"/>
      <c r="I703" s="85"/>
      <c r="J703" s="85"/>
      <c r="K703" s="85"/>
      <c r="L703" s="85"/>
      <c r="M703" s="86"/>
      <c r="N703" s="86"/>
      <c r="O703" s="86"/>
      <c r="P703" s="86"/>
      <c r="Q703" s="86"/>
      <c r="R703" s="86"/>
      <c r="S703" s="85"/>
      <c r="T703" s="85"/>
      <c r="U703" s="85"/>
      <c r="V703" s="85"/>
      <c r="W703" s="85"/>
      <c r="X703" s="85"/>
      <c r="Y703" s="87"/>
      <c r="Z703" s="87"/>
      <c r="AA703" s="87"/>
      <c r="AB703" s="87"/>
      <c r="AC703" s="87"/>
      <c r="AD703" s="87"/>
    </row>
    <row r="704" ht="15.75" customHeight="1">
      <c r="G704" s="85"/>
      <c r="H704" s="85"/>
      <c r="I704" s="85"/>
      <c r="J704" s="85"/>
      <c r="K704" s="85"/>
      <c r="L704" s="85"/>
      <c r="M704" s="86"/>
      <c r="N704" s="86"/>
      <c r="O704" s="86"/>
      <c r="P704" s="86"/>
      <c r="Q704" s="86"/>
      <c r="R704" s="86"/>
      <c r="S704" s="85"/>
      <c r="T704" s="85"/>
      <c r="U704" s="85"/>
      <c r="V704" s="85"/>
      <c r="W704" s="85"/>
      <c r="X704" s="85"/>
      <c r="Y704" s="87"/>
      <c r="Z704" s="87"/>
      <c r="AA704" s="87"/>
      <c r="AB704" s="87"/>
      <c r="AC704" s="87"/>
      <c r="AD704" s="87"/>
    </row>
    <row r="705" ht="15.75" customHeight="1">
      <c r="G705" s="85"/>
      <c r="H705" s="85"/>
      <c r="I705" s="85"/>
      <c r="J705" s="85"/>
      <c r="K705" s="85"/>
      <c r="L705" s="85"/>
      <c r="M705" s="86"/>
      <c r="N705" s="86"/>
      <c r="O705" s="86"/>
      <c r="P705" s="86"/>
      <c r="Q705" s="86"/>
      <c r="R705" s="86"/>
      <c r="S705" s="85"/>
      <c r="T705" s="85"/>
      <c r="U705" s="85"/>
      <c r="V705" s="85"/>
      <c r="W705" s="85"/>
      <c r="X705" s="85"/>
      <c r="Y705" s="87"/>
      <c r="Z705" s="87"/>
      <c r="AA705" s="87"/>
      <c r="AB705" s="87"/>
      <c r="AC705" s="87"/>
      <c r="AD705" s="87"/>
    </row>
    <row r="706" ht="15.75" customHeight="1">
      <c r="G706" s="85"/>
      <c r="H706" s="85"/>
      <c r="I706" s="85"/>
      <c r="J706" s="85"/>
      <c r="K706" s="85"/>
      <c r="L706" s="85"/>
      <c r="M706" s="86"/>
      <c r="N706" s="86"/>
      <c r="O706" s="86"/>
      <c r="P706" s="86"/>
      <c r="Q706" s="86"/>
      <c r="R706" s="86"/>
      <c r="S706" s="85"/>
      <c r="T706" s="85"/>
      <c r="U706" s="85"/>
      <c r="V706" s="85"/>
      <c r="W706" s="85"/>
      <c r="X706" s="85"/>
      <c r="Y706" s="87"/>
      <c r="Z706" s="87"/>
      <c r="AA706" s="87"/>
      <c r="AB706" s="87"/>
      <c r="AC706" s="87"/>
      <c r="AD706" s="87"/>
    </row>
    <row r="707" ht="15.75" customHeight="1">
      <c r="G707" s="85"/>
      <c r="H707" s="85"/>
      <c r="I707" s="85"/>
      <c r="J707" s="85"/>
      <c r="K707" s="85"/>
      <c r="L707" s="85"/>
      <c r="M707" s="86"/>
      <c r="N707" s="86"/>
      <c r="O707" s="86"/>
      <c r="P707" s="86"/>
      <c r="Q707" s="86"/>
      <c r="R707" s="86"/>
      <c r="S707" s="85"/>
      <c r="T707" s="85"/>
      <c r="U707" s="85"/>
      <c r="V707" s="85"/>
      <c r="W707" s="85"/>
      <c r="X707" s="85"/>
      <c r="Y707" s="87"/>
      <c r="Z707" s="87"/>
      <c r="AA707" s="87"/>
      <c r="AB707" s="87"/>
      <c r="AC707" s="87"/>
      <c r="AD707" s="87"/>
    </row>
    <row r="708" ht="15.75" customHeight="1">
      <c r="G708" s="85"/>
      <c r="H708" s="85"/>
      <c r="I708" s="85"/>
      <c r="J708" s="85"/>
      <c r="K708" s="85"/>
      <c r="L708" s="85"/>
      <c r="M708" s="86"/>
      <c r="N708" s="86"/>
      <c r="O708" s="86"/>
      <c r="P708" s="86"/>
      <c r="Q708" s="86"/>
      <c r="R708" s="86"/>
      <c r="S708" s="85"/>
      <c r="T708" s="85"/>
      <c r="U708" s="85"/>
      <c r="V708" s="85"/>
      <c r="W708" s="85"/>
      <c r="X708" s="85"/>
      <c r="Y708" s="87"/>
      <c r="Z708" s="87"/>
      <c r="AA708" s="87"/>
      <c r="AB708" s="87"/>
      <c r="AC708" s="87"/>
      <c r="AD708" s="87"/>
    </row>
    <row r="709" ht="15.75" customHeight="1">
      <c r="G709" s="85"/>
      <c r="H709" s="85"/>
      <c r="I709" s="85"/>
      <c r="J709" s="85"/>
      <c r="K709" s="85"/>
      <c r="L709" s="85"/>
      <c r="M709" s="86"/>
      <c r="N709" s="86"/>
      <c r="O709" s="86"/>
      <c r="P709" s="86"/>
      <c r="Q709" s="86"/>
      <c r="R709" s="86"/>
      <c r="S709" s="85"/>
      <c r="T709" s="85"/>
      <c r="U709" s="85"/>
      <c r="V709" s="85"/>
      <c r="W709" s="85"/>
      <c r="X709" s="85"/>
      <c r="Y709" s="87"/>
      <c r="Z709" s="87"/>
      <c r="AA709" s="87"/>
      <c r="AB709" s="87"/>
      <c r="AC709" s="87"/>
      <c r="AD709" s="87"/>
    </row>
    <row r="710" ht="15.75" customHeight="1">
      <c r="G710" s="85"/>
      <c r="H710" s="85"/>
      <c r="I710" s="85"/>
      <c r="J710" s="85"/>
      <c r="K710" s="85"/>
      <c r="L710" s="85"/>
      <c r="M710" s="86"/>
      <c r="N710" s="86"/>
      <c r="O710" s="86"/>
      <c r="P710" s="86"/>
      <c r="Q710" s="86"/>
      <c r="R710" s="86"/>
      <c r="S710" s="85"/>
      <c r="T710" s="85"/>
      <c r="U710" s="85"/>
      <c r="V710" s="85"/>
      <c r="W710" s="85"/>
      <c r="X710" s="85"/>
      <c r="Y710" s="87"/>
      <c r="Z710" s="87"/>
      <c r="AA710" s="87"/>
      <c r="AB710" s="87"/>
      <c r="AC710" s="87"/>
      <c r="AD710" s="87"/>
    </row>
    <row r="711" ht="15.75" customHeight="1">
      <c r="G711" s="85"/>
      <c r="H711" s="85"/>
      <c r="I711" s="85"/>
      <c r="J711" s="85"/>
      <c r="K711" s="85"/>
      <c r="L711" s="85"/>
      <c r="M711" s="86"/>
      <c r="N711" s="86"/>
      <c r="O711" s="86"/>
      <c r="P711" s="86"/>
      <c r="Q711" s="86"/>
      <c r="R711" s="86"/>
      <c r="S711" s="85"/>
      <c r="T711" s="85"/>
      <c r="U711" s="85"/>
      <c r="V711" s="85"/>
      <c r="W711" s="85"/>
      <c r="X711" s="85"/>
      <c r="Y711" s="87"/>
      <c r="Z711" s="87"/>
      <c r="AA711" s="87"/>
      <c r="AB711" s="87"/>
      <c r="AC711" s="87"/>
      <c r="AD711" s="87"/>
    </row>
    <row r="712" ht="15.75" customHeight="1">
      <c r="G712" s="85"/>
      <c r="H712" s="85"/>
      <c r="I712" s="85"/>
      <c r="J712" s="85"/>
      <c r="K712" s="85"/>
      <c r="L712" s="85"/>
      <c r="M712" s="86"/>
      <c r="N712" s="86"/>
      <c r="O712" s="86"/>
      <c r="P712" s="86"/>
      <c r="Q712" s="86"/>
      <c r="R712" s="86"/>
      <c r="S712" s="85"/>
      <c r="T712" s="85"/>
      <c r="U712" s="85"/>
      <c r="V712" s="85"/>
      <c r="W712" s="85"/>
      <c r="X712" s="85"/>
      <c r="Y712" s="87"/>
      <c r="Z712" s="87"/>
      <c r="AA712" s="87"/>
      <c r="AB712" s="87"/>
      <c r="AC712" s="87"/>
      <c r="AD712" s="87"/>
    </row>
    <row r="713" ht="15.75" customHeight="1">
      <c r="G713" s="85"/>
      <c r="H713" s="85"/>
      <c r="I713" s="85"/>
      <c r="J713" s="85"/>
      <c r="K713" s="85"/>
      <c r="L713" s="85"/>
      <c r="M713" s="86"/>
      <c r="N713" s="86"/>
      <c r="O713" s="86"/>
      <c r="P713" s="86"/>
      <c r="Q713" s="86"/>
      <c r="R713" s="86"/>
      <c r="S713" s="85"/>
      <c r="T713" s="85"/>
      <c r="U713" s="85"/>
      <c r="V713" s="85"/>
      <c r="W713" s="85"/>
      <c r="X713" s="85"/>
      <c r="Y713" s="87"/>
      <c r="Z713" s="87"/>
      <c r="AA713" s="87"/>
      <c r="AB713" s="87"/>
      <c r="AC713" s="87"/>
      <c r="AD713" s="87"/>
    </row>
    <row r="714" ht="15.75" customHeight="1">
      <c r="G714" s="85"/>
      <c r="H714" s="85"/>
      <c r="I714" s="85"/>
      <c r="J714" s="85"/>
      <c r="K714" s="85"/>
      <c r="L714" s="85"/>
      <c r="M714" s="86"/>
      <c r="N714" s="86"/>
      <c r="O714" s="86"/>
      <c r="P714" s="86"/>
      <c r="Q714" s="86"/>
      <c r="R714" s="86"/>
      <c r="S714" s="85"/>
      <c r="T714" s="85"/>
      <c r="U714" s="85"/>
      <c r="V714" s="85"/>
      <c r="W714" s="85"/>
      <c r="X714" s="85"/>
      <c r="Y714" s="87"/>
      <c r="Z714" s="87"/>
      <c r="AA714" s="87"/>
      <c r="AB714" s="87"/>
      <c r="AC714" s="87"/>
      <c r="AD714" s="87"/>
    </row>
    <row r="715" ht="15.75" customHeight="1">
      <c r="G715" s="85"/>
      <c r="H715" s="85"/>
      <c r="I715" s="85"/>
      <c r="J715" s="85"/>
      <c r="K715" s="85"/>
      <c r="L715" s="85"/>
      <c r="M715" s="86"/>
      <c r="N715" s="86"/>
      <c r="O715" s="86"/>
      <c r="P715" s="86"/>
      <c r="Q715" s="86"/>
      <c r="R715" s="86"/>
      <c r="S715" s="85"/>
      <c r="T715" s="85"/>
      <c r="U715" s="85"/>
      <c r="V715" s="85"/>
      <c r="W715" s="85"/>
      <c r="X715" s="85"/>
      <c r="Y715" s="87"/>
      <c r="Z715" s="87"/>
      <c r="AA715" s="87"/>
      <c r="AB715" s="87"/>
      <c r="AC715" s="87"/>
      <c r="AD715" s="87"/>
    </row>
    <row r="716" ht="15.75" customHeight="1">
      <c r="G716" s="85"/>
      <c r="H716" s="85"/>
      <c r="I716" s="85"/>
      <c r="J716" s="85"/>
      <c r="K716" s="85"/>
      <c r="L716" s="85"/>
      <c r="M716" s="86"/>
      <c r="N716" s="86"/>
      <c r="O716" s="86"/>
      <c r="P716" s="86"/>
      <c r="Q716" s="86"/>
      <c r="R716" s="86"/>
      <c r="S716" s="85"/>
      <c r="T716" s="85"/>
      <c r="U716" s="85"/>
      <c r="V716" s="85"/>
      <c r="W716" s="85"/>
      <c r="X716" s="85"/>
      <c r="Y716" s="87"/>
      <c r="Z716" s="87"/>
      <c r="AA716" s="87"/>
      <c r="AB716" s="87"/>
      <c r="AC716" s="87"/>
      <c r="AD716" s="87"/>
    </row>
    <row r="717" ht="15.75" customHeight="1">
      <c r="G717" s="85"/>
      <c r="H717" s="85"/>
      <c r="I717" s="85"/>
      <c r="J717" s="85"/>
      <c r="K717" s="85"/>
      <c r="L717" s="85"/>
      <c r="M717" s="86"/>
      <c r="N717" s="86"/>
      <c r="O717" s="86"/>
      <c r="P717" s="86"/>
      <c r="Q717" s="86"/>
      <c r="R717" s="86"/>
      <c r="S717" s="85"/>
      <c r="T717" s="85"/>
      <c r="U717" s="85"/>
      <c r="V717" s="85"/>
      <c r="W717" s="85"/>
      <c r="X717" s="85"/>
      <c r="Y717" s="87"/>
      <c r="Z717" s="87"/>
      <c r="AA717" s="87"/>
      <c r="AB717" s="87"/>
      <c r="AC717" s="87"/>
      <c r="AD717" s="87"/>
    </row>
    <row r="718" ht="15.75" customHeight="1">
      <c r="G718" s="85"/>
      <c r="H718" s="85"/>
      <c r="I718" s="85"/>
      <c r="J718" s="85"/>
      <c r="K718" s="85"/>
      <c r="L718" s="85"/>
      <c r="M718" s="86"/>
      <c r="N718" s="86"/>
      <c r="O718" s="86"/>
      <c r="P718" s="86"/>
      <c r="Q718" s="86"/>
      <c r="R718" s="86"/>
      <c r="S718" s="85"/>
      <c r="T718" s="85"/>
      <c r="U718" s="85"/>
      <c r="V718" s="85"/>
      <c r="W718" s="85"/>
      <c r="X718" s="85"/>
      <c r="Y718" s="87"/>
      <c r="Z718" s="87"/>
      <c r="AA718" s="87"/>
      <c r="AB718" s="87"/>
      <c r="AC718" s="87"/>
      <c r="AD718" s="87"/>
    </row>
    <row r="719" ht="15.75" customHeight="1">
      <c r="G719" s="85"/>
      <c r="H719" s="85"/>
      <c r="I719" s="85"/>
      <c r="J719" s="85"/>
      <c r="K719" s="85"/>
      <c r="L719" s="85"/>
      <c r="M719" s="86"/>
      <c r="N719" s="86"/>
      <c r="O719" s="86"/>
      <c r="P719" s="86"/>
      <c r="Q719" s="86"/>
      <c r="R719" s="86"/>
      <c r="S719" s="85"/>
      <c r="T719" s="85"/>
      <c r="U719" s="85"/>
      <c r="V719" s="85"/>
      <c r="W719" s="85"/>
      <c r="X719" s="85"/>
      <c r="Y719" s="87"/>
      <c r="Z719" s="87"/>
      <c r="AA719" s="87"/>
      <c r="AB719" s="87"/>
      <c r="AC719" s="87"/>
      <c r="AD719" s="87"/>
    </row>
    <row r="720" ht="15.75" customHeight="1">
      <c r="G720" s="85"/>
      <c r="H720" s="85"/>
      <c r="I720" s="85"/>
      <c r="J720" s="85"/>
      <c r="K720" s="85"/>
      <c r="L720" s="85"/>
      <c r="M720" s="86"/>
      <c r="N720" s="86"/>
      <c r="O720" s="86"/>
      <c r="P720" s="86"/>
      <c r="Q720" s="86"/>
      <c r="R720" s="86"/>
      <c r="S720" s="85"/>
      <c r="T720" s="85"/>
      <c r="U720" s="85"/>
      <c r="V720" s="85"/>
      <c r="W720" s="85"/>
      <c r="X720" s="85"/>
      <c r="Y720" s="87"/>
      <c r="Z720" s="87"/>
      <c r="AA720" s="87"/>
      <c r="AB720" s="87"/>
      <c r="AC720" s="87"/>
      <c r="AD720" s="87"/>
    </row>
    <row r="721" ht="15.75" customHeight="1">
      <c r="G721" s="85"/>
      <c r="H721" s="85"/>
      <c r="I721" s="85"/>
      <c r="J721" s="85"/>
      <c r="K721" s="85"/>
      <c r="L721" s="85"/>
      <c r="M721" s="86"/>
      <c r="N721" s="86"/>
      <c r="O721" s="86"/>
      <c r="P721" s="86"/>
      <c r="Q721" s="86"/>
      <c r="R721" s="86"/>
      <c r="S721" s="85"/>
      <c r="T721" s="85"/>
      <c r="U721" s="85"/>
      <c r="V721" s="85"/>
      <c r="W721" s="85"/>
      <c r="X721" s="85"/>
      <c r="Y721" s="87"/>
      <c r="Z721" s="87"/>
      <c r="AA721" s="87"/>
      <c r="AB721" s="87"/>
      <c r="AC721" s="87"/>
      <c r="AD721" s="87"/>
    </row>
    <row r="722" ht="15.75" customHeight="1">
      <c r="G722" s="85"/>
      <c r="H722" s="85"/>
      <c r="I722" s="85"/>
      <c r="J722" s="85"/>
      <c r="K722" s="85"/>
      <c r="L722" s="85"/>
      <c r="M722" s="86"/>
      <c r="N722" s="86"/>
      <c r="O722" s="86"/>
      <c r="P722" s="86"/>
      <c r="Q722" s="86"/>
      <c r="R722" s="86"/>
      <c r="S722" s="85"/>
      <c r="T722" s="85"/>
      <c r="U722" s="85"/>
      <c r="V722" s="85"/>
      <c r="W722" s="85"/>
      <c r="X722" s="85"/>
      <c r="Y722" s="87"/>
      <c r="Z722" s="87"/>
      <c r="AA722" s="87"/>
      <c r="AB722" s="87"/>
      <c r="AC722" s="87"/>
      <c r="AD722" s="87"/>
    </row>
    <row r="723" ht="15.75" customHeight="1">
      <c r="G723" s="85"/>
      <c r="H723" s="85"/>
      <c r="I723" s="85"/>
      <c r="J723" s="85"/>
      <c r="K723" s="85"/>
      <c r="L723" s="85"/>
      <c r="M723" s="86"/>
      <c r="N723" s="86"/>
      <c r="O723" s="86"/>
      <c r="P723" s="86"/>
      <c r="Q723" s="86"/>
      <c r="R723" s="86"/>
      <c r="S723" s="85"/>
      <c r="T723" s="85"/>
      <c r="U723" s="85"/>
      <c r="V723" s="85"/>
      <c r="W723" s="85"/>
      <c r="X723" s="85"/>
      <c r="Y723" s="87"/>
      <c r="Z723" s="87"/>
      <c r="AA723" s="87"/>
      <c r="AB723" s="87"/>
      <c r="AC723" s="87"/>
      <c r="AD723" s="87"/>
    </row>
    <row r="724" ht="15.75" customHeight="1">
      <c r="G724" s="85"/>
      <c r="H724" s="85"/>
      <c r="I724" s="85"/>
      <c r="J724" s="85"/>
      <c r="K724" s="85"/>
      <c r="L724" s="85"/>
      <c r="M724" s="86"/>
      <c r="N724" s="86"/>
      <c r="O724" s="86"/>
      <c r="P724" s="86"/>
      <c r="Q724" s="86"/>
      <c r="R724" s="86"/>
      <c r="S724" s="85"/>
      <c r="T724" s="85"/>
      <c r="U724" s="85"/>
      <c r="V724" s="85"/>
      <c r="W724" s="85"/>
      <c r="X724" s="85"/>
      <c r="Y724" s="87"/>
      <c r="Z724" s="87"/>
      <c r="AA724" s="87"/>
      <c r="AB724" s="87"/>
      <c r="AC724" s="87"/>
      <c r="AD724" s="87"/>
    </row>
    <row r="725" ht="15.75" customHeight="1">
      <c r="G725" s="85"/>
      <c r="H725" s="85"/>
      <c r="I725" s="85"/>
      <c r="J725" s="85"/>
      <c r="K725" s="85"/>
      <c r="L725" s="85"/>
      <c r="M725" s="86"/>
      <c r="N725" s="86"/>
      <c r="O725" s="86"/>
      <c r="P725" s="86"/>
      <c r="Q725" s="86"/>
      <c r="R725" s="86"/>
      <c r="S725" s="85"/>
      <c r="T725" s="85"/>
      <c r="U725" s="85"/>
      <c r="V725" s="85"/>
      <c r="W725" s="85"/>
      <c r="X725" s="85"/>
      <c r="Y725" s="87"/>
      <c r="Z725" s="87"/>
      <c r="AA725" s="87"/>
      <c r="AB725" s="87"/>
      <c r="AC725" s="87"/>
      <c r="AD725" s="87"/>
    </row>
    <row r="726" ht="15.75" customHeight="1">
      <c r="G726" s="85"/>
      <c r="H726" s="85"/>
      <c r="I726" s="85"/>
      <c r="J726" s="85"/>
      <c r="K726" s="85"/>
      <c r="L726" s="85"/>
      <c r="M726" s="86"/>
      <c r="N726" s="86"/>
      <c r="O726" s="86"/>
      <c r="P726" s="86"/>
      <c r="Q726" s="86"/>
      <c r="R726" s="86"/>
      <c r="S726" s="85"/>
      <c r="T726" s="85"/>
      <c r="U726" s="85"/>
      <c r="V726" s="85"/>
      <c r="W726" s="85"/>
      <c r="X726" s="85"/>
      <c r="Y726" s="87"/>
      <c r="Z726" s="87"/>
      <c r="AA726" s="87"/>
      <c r="AB726" s="87"/>
      <c r="AC726" s="87"/>
      <c r="AD726" s="87"/>
    </row>
    <row r="727" ht="15.75" customHeight="1">
      <c r="G727" s="85"/>
      <c r="H727" s="85"/>
      <c r="I727" s="85"/>
      <c r="J727" s="85"/>
      <c r="K727" s="85"/>
      <c r="L727" s="85"/>
      <c r="M727" s="86"/>
      <c r="N727" s="86"/>
      <c r="O727" s="86"/>
      <c r="P727" s="86"/>
      <c r="Q727" s="86"/>
      <c r="R727" s="86"/>
      <c r="S727" s="85"/>
      <c r="T727" s="85"/>
      <c r="U727" s="85"/>
      <c r="V727" s="85"/>
      <c r="W727" s="85"/>
      <c r="X727" s="85"/>
      <c r="Y727" s="87"/>
      <c r="Z727" s="87"/>
      <c r="AA727" s="87"/>
      <c r="AB727" s="87"/>
      <c r="AC727" s="87"/>
      <c r="AD727" s="87"/>
    </row>
    <row r="728" ht="15.75" customHeight="1">
      <c r="G728" s="85"/>
      <c r="H728" s="85"/>
      <c r="I728" s="85"/>
      <c r="J728" s="85"/>
      <c r="K728" s="85"/>
      <c r="L728" s="85"/>
      <c r="M728" s="86"/>
      <c r="N728" s="86"/>
      <c r="O728" s="86"/>
      <c r="P728" s="86"/>
      <c r="Q728" s="86"/>
      <c r="R728" s="86"/>
      <c r="S728" s="85"/>
      <c r="T728" s="85"/>
      <c r="U728" s="85"/>
      <c r="V728" s="85"/>
      <c r="W728" s="85"/>
      <c r="X728" s="85"/>
      <c r="Y728" s="87"/>
      <c r="Z728" s="87"/>
      <c r="AA728" s="87"/>
      <c r="AB728" s="87"/>
      <c r="AC728" s="87"/>
      <c r="AD728" s="87"/>
    </row>
    <row r="729" ht="15.75" customHeight="1">
      <c r="G729" s="85"/>
      <c r="H729" s="85"/>
      <c r="I729" s="85"/>
      <c r="J729" s="85"/>
      <c r="K729" s="85"/>
      <c r="L729" s="85"/>
      <c r="M729" s="86"/>
      <c r="N729" s="86"/>
      <c r="O729" s="86"/>
      <c r="P729" s="86"/>
      <c r="Q729" s="86"/>
      <c r="R729" s="86"/>
      <c r="S729" s="85"/>
      <c r="T729" s="85"/>
      <c r="U729" s="85"/>
      <c r="V729" s="85"/>
      <c r="W729" s="85"/>
      <c r="X729" s="85"/>
      <c r="Y729" s="87"/>
      <c r="Z729" s="87"/>
      <c r="AA729" s="87"/>
      <c r="AB729" s="87"/>
      <c r="AC729" s="87"/>
      <c r="AD729" s="87"/>
    </row>
    <row r="730" ht="15.75" customHeight="1">
      <c r="G730" s="85"/>
      <c r="H730" s="85"/>
      <c r="I730" s="85"/>
      <c r="J730" s="85"/>
      <c r="K730" s="85"/>
      <c r="L730" s="85"/>
      <c r="M730" s="86"/>
      <c r="N730" s="86"/>
      <c r="O730" s="86"/>
      <c r="P730" s="86"/>
      <c r="Q730" s="86"/>
      <c r="R730" s="86"/>
      <c r="S730" s="85"/>
      <c r="T730" s="85"/>
      <c r="U730" s="85"/>
      <c r="V730" s="85"/>
      <c r="W730" s="85"/>
      <c r="X730" s="85"/>
      <c r="Y730" s="87"/>
      <c r="Z730" s="87"/>
      <c r="AA730" s="87"/>
      <c r="AB730" s="87"/>
      <c r="AC730" s="87"/>
      <c r="AD730" s="87"/>
    </row>
    <row r="731" ht="15.75" customHeight="1">
      <c r="G731" s="85"/>
      <c r="H731" s="85"/>
      <c r="I731" s="85"/>
      <c r="J731" s="85"/>
      <c r="K731" s="85"/>
      <c r="L731" s="85"/>
      <c r="M731" s="86"/>
      <c r="N731" s="86"/>
      <c r="O731" s="86"/>
      <c r="P731" s="86"/>
      <c r="Q731" s="86"/>
      <c r="R731" s="86"/>
      <c r="S731" s="85"/>
      <c r="T731" s="85"/>
      <c r="U731" s="85"/>
      <c r="V731" s="85"/>
      <c r="W731" s="85"/>
      <c r="X731" s="85"/>
      <c r="Y731" s="87"/>
      <c r="Z731" s="87"/>
      <c r="AA731" s="87"/>
      <c r="AB731" s="87"/>
      <c r="AC731" s="87"/>
      <c r="AD731" s="87"/>
    </row>
    <row r="732" ht="15.75" customHeight="1">
      <c r="G732" s="85"/>
      <c r="H732" s="85"/>
      <c r="I732" s="85"/>
      <c r="J732" s="85"/>
      <c r="K732" s="85"/>
      <c r="L732" s="85"/>
      <c r="M732" s="86"/>
      <c r="N732" s="86"/>
      <c r="O732" s="86"/>
      <c r="P732" s="86"/>
      <c r="Q732" s="86"/>
      <c r="R732" s="86"/>
      <c r="S732" s="85"/>
      <c r="T732" s="85"/>
      <c r="U732" s="85"/>
      <c r="V732" s="85"/>
      <c r="W732" s="85"/>
      <c r="X732" s="85"/>
      <c r="Y732" s="87"/>
      <c r="Z732" s="87"/>
      <c r="AA732" s="87"/>
      <c r="AB732" s="87"/>
      <c r="AC732" s="87"/>
      <c r="AD732" s="87"/>
    </row>
    <row r="733" ht="15.75" customHeight="1">
      <c r="G733" s="85"/>
      <c r="H733" s="85"/>
      <c r="I733" s="85"/>
      <c r="J733" s="85"/>
      <c r="K733" s="85"/>
      <c r="L733" s="85"/>
      <c r="M733" s="86"/>
      <c r="N733" s="86"/>
      <c r="O733" s="86"/>
      <c r="P733" s="86"/>
      <c r="Q733" s="86"/>
      <c r="R733" s="86"/>
      <c r="S733" s="85"/>
      <c r="T733" s="85"/>
      <c r="U733" s="85"/>
      <c r="V733" s="85"/>
      <c r="W733" s="85"/>
      <c r="X733" s="85"/>
      <c r="Y733" s="87"/>
      <c r="Z733" s="87"/>
      <c r="AA733" s="87"/>
      <c r="AB733" s="87"/>
      <c r="AC733" s="87"/>
      <c r="AD733" s="87"/>
    </row>
    <row r="734" ht="15.75" customHeight="1">
      <c r="G734" s="85"/>
      <c r="H734" s="85"/>
      <c r="I734" s="85"/>
      <c r="J734" s="85"/>
      <c r="K734" s="85"/>
      <c r="L734" s="85"/>
      <c r="M734" s="86"/>
      <c r="N734" s="86"/>
      <c r="O734" s="86"/>
      <c r="P734" s="86"/>
      <c r="Q734" s="86"/>
      <c r="R734" s="86"/>
      <c r="S734" s="85"/>
      <c r="T734" s="85"/>
      <c r="U734" s="85"/>
      <c r="V734" s="85"/>
      <c r="W734" s="85"/>
      <c r="X734" s="85"/>
      <c r="Y734" s="87"/>
      <c r="Z734" s="87"/>
      <c r="AA734" s="87"/>
      <c r="AB734" s="87"/>
      <c r="AC734" s="87"/>
      <c r="AD734" s="87"/>
    </row>
    <row r="735" ht="15.75" customHeight="1">
      <c r="G735" s="85"/>
      <c r="H735" s="85"/>
      <c r="I735" s="85"/>
      <c r="J735" s="85"/>
      <c r="K735" s="85"/>
      <c r="L735" s="85"/>
      <c r="M735" s="86"/>
      <c r="N735" s="86"/>
      <c r="O735" s="86"/>
      <c r="P735" s="86"/>
      <c r="Q735" s="86"/>
      <c r="R735" s="86"/>
      <c r="S735" s="85"/>
      <c r="T735" s="85"/>
      <c r="U735" s="85"/>
      <c r="V735" s="85"/>
      <c r="W735" s="85"/>
      <c r="X735" s="85"/>
      <c r="Y735" s="87"/>
      <c r="Z735" s="87"/>
      <c r="AA735" s="87"/>
      <c r="AB735" s="87"/>
      <c r="AC735" s="87"/>
      <c r="AD735" s="87"/>
    </row>
    <row r="736" ht="15.75" customHeight="1">
      <c r="G736" s="85"/>
      <c r="H736" s="85"/>
      <c r="I736" s="85"/>
      <c r="J736" s="85"/>
      <c r="K736" s="85"/>
      <c r="L736" s="85"/>
      <c r="M736" s="86"/>
      <c r="N736" s="86"/>
      <c r="O736" s="86"/>
      <c r="P736" s="86"/>
      <c r="Q736" s="86"/>
      <c r="R736" s="86"/>
      <c r="S736" s="85"/>
      <c r="T736" s="85"/>
      <c r="U736" s="85"/>
      <c r="V736" s="85"/>
      <c r="W736" s="85"/>
      <c r="X736" s="85"/>
      <c r="Y736" s="87"/>
      <c r="Z736" s="87"/>
      <c r="AA736" s="87"/>
      <c r="AB736" s="87"/>
      <c r="AC736" s="87"/>
      <c r="AD736" s="87"/>
    </row>
    <row r="737" ht="15.75" customHeight="1">
      <c r="G737" s="85"/>
      <c r="H737" s="85"/>
      <c r="I737" s="85"/>
      <c r="J737" s="85"/>
      <c r="K737" s="85"/>
      <c r="L737" s="85"/>
      <c r="M737" s="86"/>
      <c r="N737" s="86"/>
      <c r="O737" s="86"/>
      <c r="P737" s="86"/>
      <c r="Q737" s="86"/>
      <c r="R737" s="86"/>
      <c r="S737" s="85"/>
      <c r="T737" s="85"/>
      <c r="U737" s="85"/>
      <c r="V737" s="85"/>
      <c r="W737" s="85"/>
      <c r="X737" s="85"/>
      <c r="Y737" s="87"/>
      <c r="Z737" s="87"/>
      <c r="AA737" s="87"/>
      <c r="AB737" s="87"/>
      <c r="AC737" s="87"/>
      <c r="AD737" s="87"/>
    </row>
    <row r="738" ht="15.75" customHeight="1">
      <c r="G738" s="85"/>
      <c r="H738" s="85"/>
      <c r="I738" s="85"/>
      <c r="J738" s="85"/>
      <c r="K738" s="85"/>
      <c r="L738" s="85"/>
      <c r="M738" s="86"/>
      <c r="N738" s="86"/>
      <c r="O738" s="86"/>
      <c r="P738" s="86"/>
      <c r="Q738" s="86"/>
      <c r="R738" s="86"/>
      <c r="S738" s="85"/>
      <c r="T738" s="85"/>
      <c r="U738" s="85"/>
      <c r="V738" s="85"/>
      <c r="W738" s="85"/>
      <c r="X738" s="85"/>
      <c r="Y738" s="87"/>
      <c r="Z738" s="87"/>
      <c r="AA738" s="87"/>
      <c r="AB738" s="87"/>
      <c r="AC738" s="87"/>
      <c r="AD738" s="87"/>
    </row>
    <row r="739" ht="15.75" customHeight="1">
      <c r="G739" s="85"/>
      <c r="H739" s="85"/>
      <c r="I739" s="85"/>
      <c r="J739" s="85"/>
      <c r="K739" s="85"/>
      <c r="L739" s="85"/>
      <c r="M739" s="86"/>
      <c r="N739" s="86"/>
      <c r="O739" s="86"/>
      <c r="P739" s="86"/>
      <c r="Q739" s="86"/>
      <c r="R739" s="86"/>
      <c r="S739" s="85"/>
      <c r="T739" s="85"/>
      <c r="U739" s="85"/>
      <c r="V739" s="85"/>
      <c r="W739" s="85"/>
      <c r="X739" s="85"/>
      <c r="Y739" s="87"/>
      <c r="Z739" s="87"/>
      <c r="AA739" s="87"/>
      <c r="AB739" s="87"/>
      <c r="AC739" s="87"/>
      <c r="AD739" s="87"/>
    </row>
    <row r="740" ht="15.75" customHeight="1">
      <c r="G740" s="85"/>
      <c r="H740" s="85"/>
      <c r="I740" s="85"/>
      <c r="J740" s="85"/>
      <c r="K740" s="85"/>
      <c r="L740" s="85"/>
      <c r="M740" s="86"/>
      <c r="N740" s="86"/>
      <c r="O740" s="86"/>
      <c r="P740" s="86"/>
      <c r="Q740" s="86"/>
      <c r="R740" s="86"/>
      <c r="S740" s="85"/>
      <c r="T740" s="85"/>
      <c r="U740" s="85"/>
      <c r="V740" s="85"/>
      <c r="W740" s="85"/>
      <c r="X740" s="85"/>
      <c r="Y740" s="87"/>
      <c r="Z740" s="87"/>
      <c r="AA740" s="87"/>
      <c r="AB740" s="87"/>
      <c r="AC740" s="87"/>
      <c r="AD740" s="87"/>
    </row>
    <row r="741" ht="15.75" customHeight="1">
      <c r="G741" s="85"/>
      <c r="H741" s="85"/>
      <c r="I741" s="85"/>
      <c r="J741" s="85"/>
      <c r="K741" s="85"/>
      <c r="L741" s="85"/>
      <c r="M741" s="86"/>
      <c r="N741" s="86"/>
      <c r="O741" s="86"/>
      <c r="P741" s="86"/>
      <c r="Q741" s="86"/>
      <c r="R741" s="86"/>
      <c r="S741" s="85"/>
      <c r="T741" s="85"/>
      <c r="U741" s="85"/>
      <c r="V741" s="85"/>
      <c r="W741" s="85"/>
      <c r="X741" s="85"/>
      <c r="Y741" s="87"/>
      <c r="Z741" s="87"/>
      <c r="AA741" s="87"/>
      <c r="AB741" s="87"/>
      <c r="AC741" s="87"/>
      <c r="AD741" s="87"/>
    </row>
    <row r="742" ht="15.75" customHeight="1">
      <c r="G742" s="85"/>
      <c r="H742" s="85"/>
      <c r="I742" s="85"/>
      <c r="J742" s="85"/>
      <c r="K742" s="85"/>
      <c r="L742" s="85"/>
      <c r="M742" s="86"/>
      <c r="N742" s="86"/>
      <c r="O742" s="86"/>
      <c r="P742" s="86"/>
      <c r="Q742" s="86"/>
      <c r="R742" s="86"/>
      <c r="S742" s="85"/>
      <c r="T742" s="85"/>
      <c r="U742" s="85"/>
      <c r="V742" s="85"/>
      <c r="W742" s="85"/>
      <c r="X742" s="85"/>
      <c r="Y742" s="87"/>
      <c r="Z742" s="87"/>
      <c r="AA742" s="87"/>
      <c r="AB742" s="87"/>
      <c r="AC742" s="87"/>
      <c r="AD742" s="87"/>
    </row>
    <row r="743" ht="15.75" customHeight="1">
      <c r="G743" s="85"/>
      <c r="H743" s="85"/>
      <c r="I743" s="85"/>
      <c r="J743" s="85"/>
      <c r="K743" s="85"/>
      <c r="L743" s="85"/>
      <c r="M743" s="86"/>
      <c r="N743" s="86"/>
      <c r="O743" s="86"/>
      <c r="P743" s="86"/>
      <c r="Q743" s="86"/>
      <c r="R743" s="86"/>
      <c r="S743" s="85"/>
      <c r="T743" s="85"/>
      <c r="U743" s="85"/>
      <c r="V743" s="85"/>
      <c r="W743" s="85"/>
      <c r="X743" s="85"/>
      <c r="Y743" s="87"/>
      <c r="Z743" s="87"/>
      <c r="AA743" s="87"/>
      <c r="AB743" s="87"/>
      <c r="AC743" s="87"/>
      <c r="AD743" s="87"/>
    </row>
    <row r="744" ht="15.75" customHeight="1">
      <c r="G744" s="85"/>
      <c r="H744" s="85"/>
      <c r="I744" s="85"/>
      <c r="J744" s="85"/>
      <c r="K744" s="85"/>
      <c r="L744" s="85"/>
      <c r="M744" s="86"/>
      <c r="N744" s="86"/>
      <c r="O744" s="86"/>
      <c r="P744" s="86"/>
      <c r="Q744" s="86"/>
      <c r="R744" s="86"/>
      <c r="S744" s="85"/>
      <c r="T744" s="85"/>
      <c r="U744" s="85"/>
      <c r="V744" s="85"/>
      <c r="W744" s="85"/>
      <c r="X744" s="85"/>
      <c r="Y744" s="87"/>
      <c r="Z744" s="87"/>
      <c r="AA744" s="87"/>
      <c r="AB744" s="87"/>
      <c r="AC744" s="87"/>
      <c r="AD744" s="87"/>
    </row>
    <row r="745" ht="15.75" customHeight="1">
      <c r="G745" s="85"/>
      <c r="H745" s="85"/>
      <c r="I745" s="85"/>
      <c r="J745" s="85"/>
      <c r="K745" s="85"/>
      <c r="L745" s="85"/>
      <c r="M745" s="86"/>
      <c r="N745" s="86"/>
      <c r="O745" s="86"/>
      <c r="P745" s="86"/>
      <c r="Q745" s="86"/>
      <c r="R745" s="86"/>
      <c r="S745" s="85"/>
      <c r="T745" s="85"/>
      <c r="U745" s="85"/>
      <c r="V745" s="85"/>
      <c r="W745" s="85"/>
      <c r="X745" s="85"/>
      <c r="Y745" s="87"/>
      <c r="Z745" s="87"/>
      <c r="AA745" s="87"/>
      <c r="AB745" s="87"/>
      <c r="AC745" s="87"/>
      <c r="AD745" s="87"/>
    </row>
    <row r="746" ht="15.75" customHeight="1">
      <c r="G746" s="85"/>
      <c r="H746" s="85"/>
      <c r="I746" s="85"/>
      <c r="J746" s="85"/>
      <c r="K746" s="85"/>
      <c r="L746" s="85"/>
      <c r="M746" s="86"/>
      <c r="N746" s="86"/>
      <c r="O746" s="86"/>
      <c r="P746" s="86"/>
      <c r="Q746" s="86"/>
      <c r="R746" s="86"/>
      <c r="S746" s="85"/>
      <c r="T746" s="85"/>
      <c r="U746" s="85"/>
      <c r="V746" s="85"/>
      <c r="W746" s="85"/>
      <c r="X746" s="85"/>
      <c r="Y746" s="87"/>
      <c r="Z746" s="87"/>
      <c r="AA746" s="87"/>
      <c r="AB746" s="87"/>
      <c r="AC746" s="87"/>
      <c r="AD746" s="87"/>
    </row>
    <row r="747" ht="15.75" customHeight="1">
      <c r="G747" s="85"/>
      <c r="H747" s="85"/>
      <c r="I747" s="85"/>
      <c r="J747" s="85"/>
      <c r="K747" s="85"/>
      <c r="L747" s="85"/>
      <c r="M747" s="86"/>
      <c r="N747" s="86"/>
      <c r="O747" s="86"/>
      <c r="P747" s="86"/>
      <c r="Q747" s="86"/>
      <c r="R747" s="86"/>
      <c r="S747" s="85"/>
      <c r="T747" s="85"/>
      <c r="U747" s="85"/>
      <c r="V747" s="85"/>
      <c r="W747" s="85"/>
      <c r="X747" s="85"/>
      <c r="Y747" s="87"/>
      <c r="Z747" s="87"/>
      <c r="AA747" s="87"/>
      <c r="AB747" s="87"/>
      <c r="AC747" s="87"/>
      <c r="AD747" s="87"/>
    </row>
    <row r="748" ht="15.75" customHeight="1">
      <c r="G748" s="85"/>
      <c r="H748" s="85"/>
      <c r="I748" s="85"/>
      <c r="J748" s="85"/>
      <c r="K748" s="85"/>
      <c r="L748" s="85"/>
      <c r="M748" s="86"/>
      <c r="N748" s="86"/>
      <c r="O748" s="86"/>
      <c r="P748" s="86"/>
      <c r="Q748" s="86"/>
      <c r="R748" s="86"/>
      <c r="S748" s="85"/>
      <c r="T748" s="85"/>
      <c r="U748" s="85"/>
      <c r="V748" s="85"/>
      <c r="W748" s="85"/>
      <c r="X748" s="85"/>
      <c r="Y748" s="87"/>
      <c r="Z748" s="87"/>
      <c r="AA748" s="87"/>
      <c r="AB748" s="87"/>
      <c r="AC748" s="87"/>
      <c r="AD748" s="87"/>
    </row>
    <row r="749" ht="15.75" customHeight="1">
      <c r="G749" s="85"/>
      <c r="H749" s="85"/>
      <c r="I749" s="85"/>
      <c r="J749" s="85"/>
      <c r="K749" s="85"/>
      <c r="L749" s="85"/>
      <c r="M749" s="86"/>
      <c r="N749" s="86"/>
      <c r="O749" s="86"/>
      <c r="P749" s="86"/>
      <c r="Q749" s="86"/>
      <c r="R749" s="86"/>
      <c r="S749" s="85"/>
      <c r="T749" s="85"/>
      <c r="U749" s="85"/>
      <c r="V749" s="85"/>
      <c r="W749" s="85"/>
      <c r="X749" s="85"/>
      <c r="Y749" s="87"/>
      <c r="Z749" s="87"/>
      <c r="AA749" s="87"/>
      <c r="AB749" s="87"/>
      <c r="AC749" s="87"/>
      <c r="AD749" s="87"/>
    </row>
    <row r="750" ht="15.75" customHeight="1">
      <c r="G750" s="85"/>
      <c r="H750" s="85"/>
      <c r="I750" s="85"/>
      <c r="J750" s="85"/>
      <c r="K750" s="85"/>
      <c r="L750" s="85"/>
      <c r="M750" s="86"/>
      <c r="N750" s="86"/>
      <c r="O750" s="86"/>
      <c r="P750" s="86"/>
      <c r="Q750" s="86"/>
      <c r="R750" s="86"/>
      <c r="S750" s="85"/>
      <c r="T750" s="85"/>
      <c r="U750" s="85"/>
      <c r="V750" s="85"/>
      <c r="W750" s="85"/>
      <c r="X750" s="85"/>
      <c r="Y750" s="87"/>
      <c r="Z750" s="87"/>
      <c r="AA750" s="87"/>
      <c r="AB750" s="87"/>
      <c r="AC750" s="87"/>
      <c r="AD750" s="87"/>
    </row>
    <row r="751" ht="15.75" customHeight="1">
      <c r="G751" s="85"/>
      <c r="H751" s="85"/>
      <c r="I751" s="85"/>
      <c r="J751" s="85"/>
      <c r="K751" s="85"/>
      <c r="L751" s="85"/>
      <c r="M751" s="86"/>
      <c r="N751" s="86"/>
      <c r="O751" s="86"/>
      <c r="P751" s="86"/>
      <c r="Q751" s="86"/>
      <c r="R751" s="86"/>
      <c r="S751" s="85"/>
      <c r="T751" s="85"/>
      <c r="U751" s="85"/>
      <c r="V751" s="85"/>
      <c r="W751" s="85"/>
      <c r="X751" s="85"/>
      <c r="Y751" s="87"/>
      <c r="Z751" s="87"/>
      <c r="AA751" s="87"/>
      <c r="AB751" s="87"/>
      <c r="AC751" s="87"/>
      <c r="AD751" s="87"/>
    </row>
    <row r="752" ht="15.75" customHeight="1">
      <c r="G752" s="85"/>
      <c r="H752" s="85"/>
      <c r="I752" s="85"/>
      <c r="J752" s="85"/>
      <c r="K752" s="85"/>
      <c r="L752" s="85"/>
      <c r="M752" s="86"/>
      <c r="N752" s="86"/>
      <c r="O752" s="86"/>
      <c r="P752" s="86"/>
      <c r="Q752" s="86"/>
      <c r="R752" s="86"/>
      <c r="S752" s="85"/>
      <c r="T752" s="85"/>
      <c r="U752" s="85"/>
      <c r="V752" s="85"/>
      <c r="W752" s="85"/>
      <c r="X752" s="85"/>
      <c r="Y752" s="87"/>
      <c r="Z752" s="87"/>
      <c r="AA752" s="87"/>
      <c r="AB752" s="87"/>
      <c r="AC752" s="87"/>
      <c r="AD752" s="87"/>
    </row>
    <row r="753" ht="15.75" customHeight="1">
      <c r="G753" s="85"/>
      <c r="H753" s="85"/>
      <c r="I753" s="85"/>
      <c r="J753" s="85"/>
      <c r="K753" s="85"/>
      <c r="L753" s="85"/>
      <c r="M753" s="86"/>
      <c r="N753" s="86"/>
      <c r="O753" s="86"/>
      <c r="P753" s="86"/>
      <c r="Q753" s="86"/>
      <c r="R753" s="86"/>
      <c r="S753" s="85"/>
      <c r="T753" s="85"/>
      <c r="U753" s="85"/>
      <c r="V753" s="85"/>
      <c r="W753" s="85"/>
      <c r="X753" s="85"/>
      <c r="Y753" s="87"/>
      <c r="Z753" s="87"/>
      <c r="AA753" s="87"/>
      <c r="AB753" s="87"/>
      <c r="AC753" s="87"/>
      <c r="AD753" s="87"/>
    </row>
    <row r="754" ht="15.75" customHeight="1">
      <c r="G754" s="85"/>
      <c r="H754" s="85"/>
      <c r="I754" s="85"/>
      <c r="J754" s="85"/>
      <c r="K754" s="85"/>
      <c r="L754" s="85"/>
      <c r="M754" s="86"/>
      <c r="N754" s="86"/>
      <c r="O754" s="86"/>
      <c r="P754" s="86"/>
      <c r="Q754" s="86"/>
      <c r="R754" s="86"/>
      <c r="S754" s="85"/>
      <c r="T754" s="85"/>
      <c r="U754" s="85"/>
      <c r="V754" s="85"/>
      <c r="W754" s="85"/>
      <c r="X754" s="85"/>
      <c r="Y754" s="87"/>
      <c r="Z754" s="87"/>
      <c r="AA754" s="87"/>
      <c r="AB754" s="87"/>
      <c r="AC754" s="87"/>
      <c r="AD754" s="87"/>
    </row>
    <row r="755" ht="15.75" customHeight="1">
      <c r="G755" s="85"/>
      <c r="H755" s="85"/>
      <c r="I755" s="85"/>
      <c r="J755" s="85"/>
      <c r="K755" s="85"/>
      <c r="L755" s="85"/>
      <c r="M755" s="86"/>
      <c r="N755" s="86"/>
      <c r="O755" s="86"/>
      <c r="P755" s="86"/>
      <c r="Q755" s="86"/>
      <c r="R755" s="86"/>
      <c r="S755" s="85"/>
      <c r="T755" s="85"/>
      <c r="U755" s="85"/>
      <c r="V755" s="85"/>
      <c r="W755" s="85"/>
      <c r="X755" s="85"/>
      <c r="Y755" s="87"/>
      <c r="Z755" s="87"/>
      <c r="AA755" s="87"/>
      <c r="AB755" s="87"/>
      <c r="AC755" s="87"/>
      <c r="AD755" s="87"/>
    </row>
    <row r="756" ht="15.75" customHeight="1">
      <c r="G756" s="85"/>
      <c r="H756" s="85"/>
      <c r="I756" s="85"/>
      <c r="J756" s="85"/>
      <c r="K756" s="85"/>
      <c r="L756" s="85"/>
      <c r="M756" s="86"/>
      <c r="N756" s="86"/>
      <c r="O756" s="86"/>
      <c r="P756" s="86"/>
      <c r="Q756" s="86"/>
      <c r="R756" s="86"/>
      <c r="S756" s="85"/>
      <c r="T756" s="85"/>
      <c r="U756" s="85"/>
      <c r="V756" s="85"/>
      <c r="W756" s="85"/>
      <c r="X756" s="85"/>
      <c r="Y756" s="87"/>
      <c r="Z756" s="87"/>
      <c r="AA756" s="87"/>
      <c r="AB756" s="87"/>
      <c r="AC756" s="87"/>
      <c r="AD756" s="87"/>
    </row>
    <row r="757" ht="15.75" customHeight="1">
      <c r="G757" s="85"/>
      <c r="H757" s="85"/>
      <c r="I757" s="85"/>
      <c r="J757" s="85"/>
      <c r="K757" s="85"/>
      <c r="L757" s="85"/>
      <c r="M757" s="86"/>
      <c r="N757" s="86"/>
      <c r="O757" s="86"/>
      <c r="P757" s="86"/>
      <c r="Q757" s="86"/>
      <c r="R757" s="86"/>
      <c r="S757" s="85"/>
      <c r="T757" s="85"/>
      <c r="U757" s="85"/>
      <c r="V757" s="85"/>
      <c r="W757" s="85"/>
      <c r="X757" s="85"/>
      <c r="Y757" s="87"/>
      <c r="Z757" s="87"/>
      <c r="AA757" s="87"/>
      <c r="AB757" s="87"/>
      <c r="AC757" s="87"/>
      <c r="AD757" s="87"/>
    </row>
    <row r="758" ht="15.75" customHeight="1">
      <c r="G758" s="85"/>
      <c r="H758" s="85"/>
      <c r="I758" s="85"/>
      <c r="J758" s="85"/>
      <c r="K758" s="85"/>
      <c r="L758" s="85"/>
      <c r="M758" s="86"/>
      <c r="N758" s="86"/>
      <c r="O758" s="86"/>
      <c r="P758" s="86"/>
      <c r="Q758" s="86"/>
      <c r="R758" s="86"/>
      <c r="S758" s="85"/>
      <c r="T758" s="85"/>
      <c r="U758" s="85"/>
      <c r="V758" s="85"/>
      <c r="W758" s="85"/>
      <c r="X758" s="85"/>
      <c r="Y758" s="87"/>
      <c r="Z758" s="87"/>
      <c r="AA758" s="87"/>
      <c r="AB758" s="87"/>
      <c r="AC758" s="87"/>
      <c r="AD758" s="87"/>
    </row>
    <row r="759" ht="15.75" customHeight="1">
      <c r="G759" s="85"/>
      <c r="H759" s="85"/>
      <c r="I759" s="85"/>
      <c r="J759" s="85"/>
      <c r="K759" s="85"/>
      <c r="L759" s="85"/>
      <c r="M759" s="86"/>
      <c r="N759" s="86"/>
      <c r="O759" s="86"/>
      <c r="P759" s="86"/>
      <c r="Q759" s="86"/>
      <c r="R759" s="86"/>
      <c r="S759" s="85"/>
      <c r="T759" s="85"/>
      <c r="U759" s="85"/>
      <c r="V759" s="85"/>
      <c r="W759" s="85"/>
      <c r="X759" s="85"/>
      <c r="Y759" s="87"/>
      <c r="Z759" s="87"/>
      <c r="AA759" s="87"/>
      <c r="AB759" s="87"/>
      <c r="AC759" s="87"/>
      <c r="AD759" s="87"/>
    </row>
    <row r="760" ht="15.75" customHeight="1">
      <c r="G760" s="85"/>
      <c r="H760" s="85"/>
      <c r="I760" s="85"/>
      <c r="J760" s="85"/>
      <c r="K760" s="85"/>
      <c r="L760" s="85"/>
      <c r="M760" s="86"/>
      <c r="N760" s="86"/>
      <c r="O760" s="86"/>
      <c r="P760" s="86"/>
      <c r="Q760" s="86"/>
      <c r="R760" s="86"/>
      <c r="S760" s="85"/>
      <c r="T760" s="85"/>
      <c r="U760" s="85"/>
      <c r="V760" s="85"/>
      <c r="W760" s="85"/>
      <c r="X760" s="85"/>
      <c r="Y760" s="87"/>
      <c r="Z760" s="87"/>
      <c r="AA760" s="87"/>
      <c r="AB760" s="87"/>
      <c r="AC760" s="87"/>
      <c r="AD760" s="87"/>
    </row>
    <row r="761" ht="15.75" customHeight="1">
      <c r="G761" s="85"/>
      <c r="H761" s="85"/>
      <c r="I761" s="85"/>
      <c r="J761" s="85"/>
      <c r="K761" s="85"/>
      <c r="L761" s="85"/>
      <c r="M761" s="86"/>
      <c r="N761" s="86"/>
      <c r="O761" s="86"/>
      <c r="P761" s="86"/>
      <c r="Q761" s="86"/>
      <c r="R761" s="86"/>
      <c r="S761" s="85"/>
      <c r="T761" s="85"/>
      <c r="U761" s="85"/>
      <c r="V761" s="85"/>
      <c r="W761" s="85"/>
      <c r="X761" s="85"/>
      <c r="Y761" s="87"/>
      <c r="Z761" s="87"/>
      <c r="AA761" s="87"/>
      <c r="AB761" s="87"/>
      <c r="AC761" s="87"/>
      <c r="AD761" s="87"/>
    </row>
    <row r="762" ht="15.75" customHeight="1">
      <c r="G762" s="85"/>
      <c r="H762" s="85"/>
      <c r="I762" s="85"/>
      <c r="J762" s="85"/>
      <c r="K762" s="85"/>
      <c r="L762" s="85"/>
      <c r="M762" s="86"/>
      <c r="N762" s="86"/>
      <c r="O762" s="86"/>
      <c r="P762" s="86"/>
      <c r="Q762" s="86"/>
      <c r="R762" s="86"/>
      <c r="S762" s="85"/>
      <c r="T762" s="85"/>
      <c r="U762" s="85"/>
      <c r="V762" s="85"/>
      <c r="W762" s="85"/>
      <c r="X762" s="85"/>
      <c r="Y762" s="87"/>
      <c r="Z762" s="87"/>
      <c r="AA762" s="87"/>
      <c r="AB762" s="87"/>
      <c r="AC762" s="87"/>
      <c r="AD762" s="87"/>
    </row>
    <row r="763" ht="15.75" customHeight="1">
      <c r="G763" s="85"/>
      <c r="H763" s="85"/>
      <c r="I763" s="85"/>
      <c r="J763" s="85"/>
      <c r="K763" s="85"/>
      <c r="L763" s="85"/>
      <c r="M763" s="86"/>
      <c r="N763" s="86"/>
      <c r="O763" s="86"/>
      <c r="P763" s="86"/>
      <c r="Q763" s="86"/>
      <c r="R763" s="86"/>
      <c r="S763" s="85"/>
      <c r="T763" s="85"/>
      <c r="U763" s="85"/>
      <c r="V763" s="85"/>
      <c r="W763" s="85"/>
      <c r="X763" s="85"/>
      <c r="Y763" s="87"/>
      <c r="Z763" s="87"/>
      <c r="AA763" s="87"/>
      <c r="AB763" s="87"/>
      <c r="AC763" s="87"/>
      <c r="AD763" s="87"/>
    </row>
    <row r="764" ht="15.75" customHeight="1">
      <c r="G764" s="85"/>
      <c r="H764" s="85"/>
      <c r="I764" s="85"/>
      <c r="J764" s="85"/>
      <c r="K764" s="85"/>
      <c r="L764" s="85"/>
      <c r="M764" s="86"/>
      <c r="N764" s="86"/>
      <c r="O764" s="86"/>
      <c r="P764" s="86"/>
      <c r="Q764" s="86"/>
      <c r="R764" s="86"/>
      <c r="S764" s="85"/>
      <c r="T764" s="85"/>
      <c r="U764" s="85"/>
      <c r="V764" s="85"/>
      <c r="W764" s="85"/>
      <c r="X764" s="85"/>
      <c r="Y764" s="87"/>
      <c r="Z764" s="87"/>
      <c r="AA764" s="87"/>
      <c r="AB764" s="87"/>
      <c r="AC764" s="87"/>
      <c r="AD764" s="87"/>
    </row>
    <row r="765" ht="15.75" customHeight="1">
      <c r="G765" s="85"/>
      <c r="H765" s="85"/>
      <c r="I765" s="85"/>
      <c r="J765" s="85"/>
      <c r="K765" s="85"/>
      <c r="L765" s="85"/>
      <c r="M765" s="86"/>
      <c r="N765" s="86"/>
      <c r="O765" s="86"/>
      <c r="P765" s="86"/>
      <c r="Q765" s="86"/>
      <c r="R765" s="86"/>
      <c r="S765" s="85"/>
      <c r="T765" s="85"/>
      <c r="U765" s="85"/>
      <c r="V765" s="85"/>
      <c r="W765" s="85"/>
      <c r="X765" s="85"/>
      <c r="Y765" s="87"/>
      <c r="Z765" s="87"/>
      <c r="AA765" s="87"/>
      <c r="AB765" s="87"/>
      <c r="AC765" s="87"/>
      <c r="AD765" s="87"/>
    </row>
    <row r="766" ht="15.75" customHeight="1">
      <c r="G766" s="85"/>
      <c r="H766" s="85"/>
      <c r="I766" s="85"/>
      <c r="J766" s="85"/>
      <c r="K766" s="85"/>
      <c r="L766" s="85"/>
      <c r="M766" s="86"/>
      <c r="N766" s="86"/>
      <c r="O766" s="86"/>
      <c r="P766" s="86"/>
      <c r="Q766" s="86"/>
      <c r="R766" s="86"/>
      <c r="S766" s="85"/>
      <c r="T766" s="85"/>
      <c r="U766" s="85"/>
      <c r="V766" s="85"/>
      <c r="W766" s="85"/>
      <c r="X766" s="85"/>
      <c r="Y766" s="87"/>
      <c r="Z766" s="87"/>
      <c r="AA766" s="87"/>
      <c r="AB766" s="87"/>
      <c r="AC766" s="87"/>
      <c r="AD766" s="87"/>
    </row>
    <row r="767" ht="15.75" customHeight="1">
      <c r="G767" s="85"/>
      <c r="H767" s="85"/>
      <c r="I767" s="85"/>
      <c r="J767" s="85"/>
      <c r="K767" s="85"/>
      <c r="L767" s="85"/>
      <c r="M767" s="86"/>
      <c r="N767" s="86"/>
      <c r="O767" s="86"/>
      <c r="P767" s="86"/>
      <c r="Q767" s="86"/>
      <c r="R767" s="86"/>
      <c r="S767" s="85"/>
      <c r="T767" s="85"/>
      <c r="U767" s="85"/>
      <c r="V767" s="85"/>
      <c r="W767" s="85"/>
      <c r="X767" s="85"/>
      <c r="Y767" s="87"/>
      <c r="Z767" s="87"/>
      <c r="AA767" s="87"/>
      <c r="AB767" s="87"/>
      <c r="AC767" s="87"/>
      <c r="AD767" s="87"/>
    </row>
    <row r="768" ht="15.75" customHeight="1">
      <c r="G768" s="85"/>
      <c r="H768" s="85"/>
      <c r="I768" s="85"/>
      <c r="J768" s="85"/>
      <c r="K768" s="85"/>
      <c r="L768" s="85"/>
      <c r="M768" s="86"/>
      <c r="N768" s="86"/>
      <c r="O768" s="86"/>
      <c r="P768" s="86"/>
      <c r="Q768" s="86"/>
      <c r="R768" s="86"/>
      <c r="S768" s="85"/>
      <c r="T768" s="85"/>
      <c r="U768" s="85"/>
      <c r="V768" s="85"/>
      <c r="W768" s="85"/>
      <c r="X768" s="85"/>
      <c r="Y768" s="87"/>
      <c r="Z768" s="87"/>
      <c r="AA768" s="87"/>
      <c r="AB768" s="87"/>
      <c r="AC768" s="87"/>
      <c r="AD768" s="87"/>
    </row>
    <row r="769" ht="15.75" customHeight="1">
      <c r="G769" s="85"/>
      <c r="H769" s="85"/>
      <c r="I769" s="85"/>
      <c r="J769" s="85"/>
      <c r="K769" s="85"/>
      <c r="L769" s="85"/>
      <c r="M769" s="86"/>
      <c r="N769" s="86"/>
      <c r="O769" s="86"/>
      <c r="P769" s="86"/>
      <c r="Q769" s="86"/>
      <c r="R769" s="86"/>
      <c r="S769" s="85"/>
      <c r="T769" s="85"/>
      <c r="U769" s="85"/>
      <c r="V769" s="85"/>
      <c r="W769" s="85"/>
      <c r="X769" s="85"/>
      <c r="Y769" s="87"/>
      <c r="Z769" s="87"/>
      <c r="AA769" s="87"/>
      <c r="AB769" s="87"/>
      <c r="AC769" s="87"/>
      <c r="AD769" s="87"/>
    </row>
    <row r="770" ht="15.75" customHeight="1">
      <c r="G770" s="85"/>
      <c r="H770" s="85"/>
      <c r="I770" s="85"/>
      <c r="J770" s="85"/>
      <c r="K770" s="85"/>
      <c r="L770" s="85"/>
      <c r="M770" s="86"/>
      <c r="N770" s="86"/>
      <c r="O770" s="86"/>
      <c r="P770" s="86"/>
      <c r="Q770" s="86"/>
      <c r="R770" s="86"/>
      <c r="S770" s="85"/>
      <c r="T770" s="85"/>
      <c r="U770" s="85"/>
      <c r="V770" s="85"/>
      <c r="W770" s="85"/>
      <c r="X770" s="85"/>
      <c r="Y770" s="87"/>
      <c r="Z770" s="87"/>
      <c r="AA770" s="87"/>
      <c r="AB770" s="87"/>
      <c r="AC770" s="87"/>
      <c r="AD770" s="87"/>
    </row>
    <row r="771" ht="15.75" customHeight="1">
      <c r="G771" s="85"/>
      <c r="H771" s="85"/>
      <c r="I771" s="85"/>
      <c r="J771" s="85"/>
      <c r="K771" s="85"/>
      <c r="L771" s="85"/>
      <c r="M771" s="86"/>
      <c r="N771" s="86"/>
      <c r="O771" s="86"/>
      <c r="P771" s="86"/>
      <c r="Q771" s="86"/>
      <c r="R771" s="86"/>
      <c r="S771" s="85"/>
      <c r="T771" s="85"/>
      <c r="U771" s="85"/>
      <c r="V771" s="85"/>
      <c r="W771" s="85"/>
      <c r="X771" s="85"/>
      <c r="Y771" s="87"/>
      <c r="Z771" s="87"/>
      <c r="AA771" s="87"/>
      <c r="AB771" s="87"/>
      <c r="AC771" s="87"/>
      <c r="AD771" s="87"/>
    </row>
    <row r="772" ht="15.75" customHeight="1">
      <c r="G772" s="85"/>
      <c r="H772" s="85"/>
      <c r="I772" s="85"/>
      <c r="J772" s="85"/>
      <c r="K772" s="85"/>
      <c r="L772" s="85"/>
      <c r="M772" s="86"/>
      <c r="N772" s="86"/>
      <c r="O772" s="86"/>
      <c r="P772" s="86"/>
      <c r="Q772" s="86"/>
      <c r="R772" s="86"/>
      <c r="S772" s="85"/>
      <c r="T772" s="85"/>
      <c r="U772" s="85"/>
      <c r="V772" s="85"/>
      <c r="W772" s="85"/>
      <c r="X772" s="85"/>
      <c r="Y772" s="87"/>
      <c r="Z772" s="87"/>
      <c r="AA772" s="87"/>
      <c r="AB772" s="87"/>
      <c r="AC772" s="87"/>
      <c r="AD772" s="87"/>
    </row>
    <row r="773" ht="15.75" customHeight="1">
      <c r="G773" s="85"/>
      <c r="H773" s="85"/>
      <c r="I773" s="85"/>
      <c r="J773" s="85"/>
      <c r="K773" s="85"/>
      <c r="L773" s="85"/>
      <c r="M773" s="86"/>
      <c r="N773" s="86"/>
      <c r="O773" s="86"/>
      <c r="P773" s="86"/>
      <c r="Q773" s="86"/>
      <c r="R773" s="86"/>
      <c r="S773" s="85"/>
      <c r="T773" s="85"/>
      <c r="U773" s="85"/>
      <c r="V773" s="85"/>
      <c r="W773" s="85"/>
      <c r="X773" s="85"/>
      <c r="Y773" s="87"/>
      <c r="Z773" s="87"/>
      <c r="AA773" s="87"/>
      <c r="AB773" s="87"/>
      <c r="AC773" s="87"/>
      <c r="AD773" s="87"/>
    </row>
    <row r="774" ht="15.75" customHeight="1">
      <c r="G774" s="85"/>
      <c r="H774" s="85"/>
      <c r="I774" s="85"/>
      <c r="J774" s="85"/>
      <c r="K774" s="85"/>
      <c r="L774" s="85"/>
      <c r="M774" s="86"/>
      <c r="N774" s="86"/>
      <c r="O774" s="86"/>
      <c r="P774" s="86"/>
      <c r="Q774" s="86"/>
      <c r="R774" s="86"/>
      <c r="S774" s="85"/>
      <c r="T774" s="85"/>
      <c r="U774" s="85"/>
      <c r="V774" s="85"/>
      <c r="W774" s="85"/>
      <c r="X774" s="85"/>
      <c r="Y774" s="87"/>
      <c r="Z774" s="87"/>
      <c r="AA774" s="87"/>
      <c r="AB774" s="87"/>
      <c r="AC774" s="87"/>
      <c r="AD774" s="87"/>
    </row>
    <row r="775" ht="15.75" customHeight="1">
      <c r="G775" s="85"/>
      <c r="H775" s="85"/>
      <c r="I775" s="85"/>
      <c r="J775" s="85"/>
      <c r="K775" s="85"/>
      <c r="L775" s="85"/>
      <c r="M775" s="86"/>
      <c r="N775" s="86"/>
      <c r="O775" s="86"/>
      <c r="P775" s="86"/>
      <c r="Q775" s="86"/>
      <c r="R775" s="86"/>
      <c r="S775" s="85"/>
      <c r="T775" s="85"/>
      <c r="U775" s="85"/>
      <c r="V775" s="85"/>
      <c r="W775" s="85"/>
      <c r="X775" s="85"/>
      <c r="Y775" s="87"/>
      <c r="Z775" s="87"/>
      <c r="AA775" s="87"/>
      <c r="AB775" s="87"/>
      <c r="AC775" s="87"/>
      <c r="AD775" s="87"/>
    </row>
    <row r="776" ht="15.75" customHeight="1">
      <c r="G776" s="85"/>
      <c r="H776" s="85"/>
      <c r="I776" s="85"/>
      <c r="J776" s="85"/>
      <c r="K776" s="85"/>
      <c r="L776" s="85"/>
      <c r="M776" s="86"/>
      <c r="N776" s="86"/>
      <c r="O776" s="86"/>
      <c r="P776" s="86"/>
      <c r="Q776" s="86"/>
      <c r="R776" s="86"/>
      <c r="S776" s="85"/>
      <c r="T776" s="85"/>
      <c r="U776" s="85"/>
      <c r="V776" s="85"/>
      <c r="W776" s="85"/>
      <c r="X776" s="85"/>
      <c r="Y776" s="87"/>
      <c r="Z776" s="87"/>
      <c r="AA776" s="87"/>
      <c r="AB776" s="87"/>
      <c r="AC776" s="87"/>
      <c r="AD776" s="87"/>
    </row>
    <row r="777" ht="15.75" customHeight="1">
      <c r="G777" s="85"/>
      <c r="H777" s="85"/>
      <c r="I777" s="85"/>
      <c r="J777" s="85"/>
      <c r="K777" s="85"/>
      <c r="L777" s="85"/>
      <c r="M777" s="86"/>
      <c r="N777" s="86"/>
      <c r="O777" s="86"/>
      <c r="P777" s="86"/>
      <c r="Q777" s="86"/>
      <c r="R777" s="86"/>
      <c r="S777" s="85"/>
      <c r="T777" s="85"/>
      <c r="U777" s="85"/>
      <c r="V777" s="85"/>
      <c r="W777" s="85"/>
      <c r="X777" s="85"/>
      <c r="Y777" s="87"/>
      <c r="Z777" s="87"/>
      <c r="AA777" s="87"/>
      <c r="AB777" s="87"/>
      <c r="AC777" s="87"/>
      <c r="AD777" s="87"/>
    </row>
    <row r="778" ht="15.75" customHeight="1">
      <c r="G778" s="85"/>
      <c r="H778" s="85"/>
      <c r="I778" s="85"/>
      <c r="J778" s="85"/>
      <c r="K778" s="85"/>
      <c r="L778" s="85"/>
      <c r="M778" s="86"/>
      <c r="N778" s="86"/>
      <c r="O778" s="86"/>
      <c r="P778" s="86"/>
      <c r="Q778" s="86"/>
      <c r="R778" s="86"/>
      <c r="S778" s="85"/>
      <c r="T778" s="85"/>
      <c r="U778" s="85"/>
      <c r="V778" s="85"/>
      <c r="W778" s="85"/>
      <c r="X778" s="85"/>
      <c r="Y778" s="87"/>
      <c r="Z778" s="87"/>
      <c r="AA778" s="87"/>
      <c r="AB778" s="87"/>
      <c r="AC778" s="87"/>
      <c r="AD778" s="87"/>
    </row>
    <row r="779" ht="15.75" customHeight="1">
      <c r="G779" s="85"/>
      <c r="H779" s="85"/>
      <c r="I779" s="85"/>
      <c r="J779" s="85"/>
      <c r="K779" s="85"/>
      <c r="L779" s="85"/>
      <c r="M779" s="86"/>
      <c r="N779" s="86"/>
      <c r="O779" s="86"/>
      <c r="P779" s="86"/>
      <c r="Q779" s="86"/>
      <c r="R779" s="86"/>
      <c r="S779" s="85"/>
      <c r="T779" s="85"/>
      <c r="U779" s="85"/>
      <c r="V779" s="85"/>
      <c r="W779" s="85"/>
      <c r="X779" s="85"/>
      <c r="Y779" s="87"/>
      <c r="Z779" s="87"/>
      <c r="AA779" s="87"/>
      <c r="AB779" s="87"/>
      <c r="AC779" s="87"/>
      <c r="AD779" s="87"/>
    </row>
    <row r="780" ht="15.75" customHeight="1">
      <c r="G780" s="85"/>
      <c r="H780" s="85"/>
      <c r="I780" s="85"/>
      <c r="J780" s="85"/>
      <c r="K780" s="85"/>
      <c r="L780" s="85"/>
      <c r="M780" s="86"/>
      <c r="N780" s="86"/>
      <c r="O780" s="86"/>
      <c r="P780" s="86"/>
      <c r="Q780" s="86"/>
      <c r="R780" s="86"/>
      <c r="S780" s="85"/>
      <c r="T780" s="85"/>
      <c r="U780" s="85"/>
      <c r="V780" s="85"/>
      <c r="W780" s="85"/>
      <c r="X780" s="85"/>
      <c r="Y780" s="87"/>
      <c r="Z780" s="87"/>
      <c r="AA780" s="87"/>
      <c r="AB780" s="87"/>
      <c r="AC780" s="87"/>
      <c r="AD780" s="87"/>
    </row>
    <row r="781" ht="15.75" customHeight="1">
      <c r="G781" s="85"/>
      <c r="H781" s="85"/>
      <c r="I781" s="85"/>
      <c r="J781" s="85"/>
      <c r="K781" s="85"/>
      <c r="L781" s="85"/>
      <c r="M781" s="86"/>
      <c r="N781" s="86"/>
      <c r="O781" s="86"/>
      <c r="P781" s="86"/>
      <c r="Q781" s="86"/>
      <c r="R781" s="86"/>
      <c r="S781" s="85"/>
      <c r="T781" s="85"/>
      <c r="U781" s="85"/>
      <c r="V781" s="85"/>
      <c r="W781" s="85"/>
      <c r="X781" s="85"/>
      <c r="Y781" s="87"/>
      <c r="Z781" s="87"/>
      <c r="AA781" s="87"/>
      <c r="AB781" s="87"/>
      <c r="AC781" s="87"/>
      <c r="AD781" s="87"/>
    </row>
    <row r="782" ht="15.75" customHeight="1">
      <c r="G782" s="85"/>
      <c r="H782" s="85"/>
      <c r="I782" s="85"/>
      <c r="J782" s="85"/>
      <c r="K782" s="85"/>
      <c r="L782" s="85"/>
      <c r="M782" s="86"/>
      <c r="N782" s="86"/>
      <c r="O782" s="86"/>
      <c r="P782" s="86"/>
      <c r="Q782" s="86"/>
      <c r="R782" s="86"/>
      <c r="S782" s="85"/>
      <c r="T782" s="85"/>
      <c r="U782" s="85"/>
      <c r="V782" s="85"/>
      <c r="W782" s="85"/>
      <c r="X782" s="85"/>
      <c r="Y782" s="87"/>
      <c r="Z782" s="87"/>
      <c r="AA782" s="87"/>
      <c r="AB782" s="87"/>
      <c r="AC782" s="87"/>
      <c r="AD782" s="87"/>
    </row>
    <row r="783" ht="15.75" customHeight="1">
      <c r="G783" s="85"/>
      <c r="H783" s="85"/>
      <c r="I783" s="85"/>
      <c r="J783" s="85"/>
      <c r="K783" s="85"/>
      <c r="L783" s="85"/>
      <c r="M783" s="86"/>
      <c r="N783" s="86"/>
      <c r="O783" s="86"/>
      <c r="P783" s="86"/>
      <c r="Q783" s="86"/>
      <c r="R783" s="86"/>
      <c r="S783" s="85"/>
      <c r="T783" s="85"/>
      <c r="U783" s="85"/>
      <c r="V783" s="85"/>
      <c r="W783" s="85"/>
      <c r="X783" s="85"/>
      <c r="Y783" s="87"/>
      <c r="Z783" s="87"/>
      <c r="AA783" s="87"/>
      <c r="AB783" s="87"/>
      <c r="AC783" s="87"/>
      <c r="AD783" s="87"/>
    </row>
    <row r="784" ht="15.75" customHeight="1">
      <c r="G784" s="85"/>
      <c r="H784" s="85"/>
      <c r="I784" s="85"/>
      <c r="J784" s="85"/>
      <c r="K784" s="85"/>
      <c r="L784" s="85"/>
      <c r="M784" s="86"/>
      <c r="N784" s="86"/>
      <c r="O784" s="86"/>
      <c r="P784" s="86"/>
      <c r="Q784" s="86"/>
      <c r="R784" s="86"/>
      <c r="S784" s="85"/>
      <c r="T784" s="85"/>
      <c r="U784" s="85"/>
      <c r="V784" s="85"/>
      <c r="W784" s="85"/>
      <c r="X784" s="85"/>
      <c r="Y784" s="87"/>
      <c r="Z784" s="87"/>
      <c r="AA784" s="87"/>
      <c r="AB784" s="87"/>
      <c r="AC784" s="87"/>
      <c r="AD784" s="87"/>
    </row>
    <row r="785" ht="15.75" customHeight="1">
      <c r="G785" s="85"/>
      <c r="H785" s="85"/>
      <c r="I785" s="85"/>
      <c r="J785" s="85"/>
      <c r="K785" s="85"/>
      <c r="L785" s="85"/>
      <c r="M785" s="86"/>
      <c r="N785" s="86"/>
      <c r="O785" s="86"/>
      <c r="P785" s="86"/>
      <c r="Q785" s="86"/>
      <c r="R785" s="86"/>
      <c r="S785" s="85"/>
      <c r="T785" s="85"/>
      <c r="U785" s="85"/>
      <c r="V785" s="85"/>
      <c r="W785" s="85"/>
      <c r="X785" s="85"/>
      <c r="Y785" s="87"/>
      <c r="Z785" s="87"/>
      <c r="AA785" s="87"/>
      <c r="AB785" s="87"/>
      <c r="AC785" s="87"/>
      <c r="AD785" s="87"/>
    </row>
    <row r="786" ht="15.75" customHeight="1">
      <c r="G786" s="85"/>
      <c r="H786" s="85"/>
      <c r="I786" s="85"/>
      <c r="J786" s="85"/>
      <c r="K786" s="85"/>
      <c r="L786" s="85"/>
      <c r="M786" s="86"/>
      <c r="N786" s="86"/>
      <c r="O786" s="86"/>
      <c r="P786" s="86"/>
      <c r="Q786" s="86"/>
      <c r="R786" s="86"/>
      <c r="S786" s="85"/>
      <c r="T786" s="85"/>
      <c r="U786" s="85"/>
      <c r="V786" s="85"/>
      <c r="W786" s="85"/>
      <c r="X786" s="85"/>
      <c r="Y786" s="87"/>
      <c r="Z786" s="87"/>
      <c r="AA786" s="87"/>
      <c r="AB786" s="87"/>
      <c r="AC786" s="87"/>
      <c r="AD786" s="87"/>
    </row>
    <row r="787" ht="15.75" customHeight="1">
      <c r="G787" s="85"/>
      <c r="H787" s="85"/>
      <c r="I787" s="85"/>
      <c r="J787" s="85"/>
      <c r="K787" s="85"/>
      <c r="L787" s="85"/>
      <c r="M787" s="86"/>
      <c r="N787" s="86"/>
      <c r="O787" s="86"/>
      <c r="P787" s="86"/>
      <c r="Q787" s="86"/>
      <c r="R787" s="86"/>
      <c r="S787" s="85"/>
      <c r="T787" s="85"/>
      <c r="U787" s="85"/>
      <c r="V787" s="85"/>
      <c r="W787" s="85"/>
      <c r="X787" s="85"/>
      <c r="Y787" s="87"/>
      <c r="Z787" s="87"/>
      <c r="AA787" s="87"/>
      <c r="AB787" s="87"/>
      <c r="AC787" s="87"/>
      <c r="AD787" s="87"/>
    </row>
    <row r="788" ht="15.75" customHeight="1">
      <c r="G788" s="85"/>
      <c r="H788" s="85"/>
      <c r="I788" s="85"/>
      <c r="J788" s="85"/>
      <c r="K788" s="85"/>
      <c r="L788" s="85"/>
      <c r="M788" s="86"/>
      <c r="N788" s="86"/>
      <c r="O788" s="86"/>
      <c r="P788" s="86"/>
      <c r="Q788" s="86"/>
      <c r="R788" s="86"/>
      <c r="S788" s="85"/>
      <c r="T788" s="85"/>
      <c r="U788" s="85"/>
      <c r="V788" s="85"/>
      <c r="W788" s="85"/>
      <c r="X788" s="85"/>
      <c r="Y788" s="87"/>
      <c r="Z788" s="87"/>
      <c r="AA788" s="87"/>
      <c r="AB788" s="87"/>
      <c r="AC788" s="87"/>
      <c r="AD788" s="87"/>
    </row>
    <row r="789" ht="15.75" customHeight="1">
      <c r="G789" s="85"/>
      <c r="H789" s="85"/>
      <c r="I789" s="85"/>
      <c r="J789" s="85"/>
      <c r="K789" s="85"/>
      <c r="L789" s="85"/>
      <c r="M789" s="86"/>
      <c r="N789" s="86"/>
      <c r="O789" s="86"/>
      <c r="P789" s="86"/>
      <c r="Q789" s="86"/>
      <c r="R789" s="86"/>
      <c r="S789" s="85"/>
      <c r="T789" s="85"/>
      <c r="U789" s="85"/>
      <c r="V789" s="85"/>
      <c r="W789" s="85"/>
      <c r="X789" s="85"/>
      <c r="Y789" s="87"/>
      <c r="Z789" s="87"/>
      <c r="AA789" s="87"/>
      <c r="AB789" s="87"/>
      <c r="AC789" s="87"/>
      <c r="AD789" s="87"/>
    </row>
    <row r="790" ht="15.75" customHeight="1">
      <c r="G790" s="85"/>
      <c r="H790" s="85"/>
      <c r="I790" s="85"/>
      <c r="J790" s="85"/>
      <c r="K790" s="85"/>
      <c r="L790" s="85"/>
      <c r="M790" s="86"/>
      <c r="N790" s="86"/>
      <c r="O790" s="86"/>
      <c r="P790" s="86"/>
      <c r="Q790" s="86"/>
      <c r="R790" s="86"/>
      <c r="S790" s="85"/>
      <c r="T790" s="85"/>
      <c r="U790" s="85"/>
      <c r="V790" s="85"/>
      <c r="W790" s="85"/>
      <c r="X790" s="85"/>
      <c r="Y790" s="87"/>
      <c r="Z790" s="87"/>
      <c r="AA790" s="87"/>
      <c r="AB790" s="87"/>
      <c r="AC790" s="87"/>
      <c r="AD790" s="87"/>
    </row>
    <row r="791" ht="15.75" customHeight="1">
      <c r="G791" s="85"/>
      <c r="H791" s="85"/>
      <c r="I791" s="85"/>
      <c r="J791" s="85"/>
      <c r="K791" s="85"/>
      <c r="L791" s="85"/>
      <c r="M791" s="86"/>
      <c r="N791" s="86"/>
      <c r="O791" s="86"/>
      <c r="P791" s="86"/>
      <c r="Q791" s="86"/>
      <c r="R791" s="86"/>
      <c r="S791" s="85"/>
      <c r="T791" s="85"/>
      <c r="U791" s="85"/>
      <c r="V791" s="85"/>
      <c r="W791" s="85"/>
      <c r="X791" s="85"/>
      <c r="Y791" s="87"/>
      <c r="Z791" s="87"/>
      <c r="AA791" s="87"/>
      <c r="AB791" s="87"/>
      <c r="AC791" s="87"/>
      <c r="AD791" s="87"/>
    </row>
    <row r="792" ht="15.75" customHeight="1">
      <c r="G792" s="85"/>
      <c r="H792" s="85"/>
      <c r="I792" s="85"/>
      <c r="J792" s="85"/>
      <c r="K792" s="85"/>
      <c r="L792" s="85"/>
      <c r="M792" s="86"/>
      <c r="N792" s="86"/>
      <c r="O792" s="86"/>
      <c r="P792" s="86"/>
      <c r="Q792" s="86"/>
      <c r="R792" s="86"/>
      <c r="S792" s="85"/>
      <c r="T792" s="85"/>
      <c r="U792" s="85"/>
      <c r="V792" s="85"/>
      <c r="W792" s="85"/>
      <c r="X792" s="85"/>
      <c r="Y792" s="87"/>
      <c r="Z792" s="87"/>
      <c r="AA792" s="87"/>
      <c r="AB792" s="87"/>
      <c r="AC792" s="87"/>
      <c r="AD792" s="87"/>
    </row>
    <row r="793" ht="15.75" customHeight="1">
      <c r="G793" s="85"/>
      <c r="H793" s="85"/>
      <c r="I793" s="85"/>
      <c r="J793" s="85"/>
      <c r="K793" s="85"/>
      <c r="L793" s="85"/>
      <c r="M793" s="86"/>
      <c r="N793" s="86"/>
      <c r="O793" s="86"/>
      <c r="P793" s="86"/>
      <c r="Q793" s="86"/>
      <c r="R793" s="86"/>
      <c r="S793" s="85"/>
      <c r="T793" s="85"/>
      <c r="U793" s="85"/>
      <c r="V793" s="85"/>
      <c r="W793" s="85"/>
      <c r="X793" s="85"/>
      <c r="Y793" s="87"/>
      <c r="Z793" s="87"/>
      <c r="AA793" s="87"/>
      <c r="AB793" s="87"/>
      <c r="AC793" s="87"/>
      <c r="AD793" s="87"/>
    </row>
    <row r="794" ht="15.75" customHeight="1">
      <c r="G794" s="85"/>
      <c r="H794" s="85"/>
      <c r="I794" s="85"/>
      <c r="J794" s="85"/>
      <c r="K794" s="85"/>
      <c r="L794" s="85"/>
      <c r="M794" s="86"/>
      <c r="N794" s="86"/>
      <c r="O794" s="86"/>
      <c r="P794" s="86"/>
      <c r="Q794" s="86"/>
      <c r="R794" s="86"/>
      <c r="S794" s="85"/>
      <c r="T794" s="85"/>
      <c r="U794" s="85"/>
      <c r="V794" s="85"/>
      <c r="W794" s="85"/>
      <c r="X794" s="85"/>
      <c r="Y794" s="87"/>
      <c r="Z794" s="87"/>
      <c r="AA794" s="87"/>
      <c r="AB794" s="87"/>
      <c r="AC794" s="87"/>
      <c r="AD794" s="87"/>
    </row>
    <row r="795" ht="15.75" customHeight="1">
      <c r="G795" s="85"/>
      <c r="H795" s="85"/>
      <c r="I795" s="85"/>
      <c r="J795" s="85"/>
      <c r="K795" s="85"/>
      <c r="L795" s="85"/>
      <c r="M795" s="86"/>
      <c r="N795" s="86"/>
      <c r="O795" s="86"/>
      <c r="P795" s="86"/>
      <c r="Q795" s="86"/>
      <c r="R795" s="86"/>
      <c r="S795" s="85"/>
      <c r="T795" s="85"/>
      <c r="U795" s="85"/>
      <c r="V795" s="85"/>
      <c r="W795" s="85"/>
      <c r="X795" s="85"/>
      <c r="Y795" s="87"/>
      <c r="Z795" s="87"/>
      <c r="AA795" s="87"/>
      <c r="AB795" s="87"/>
      <c r="AC795" s="87"/>
      <c r="AD795" s="87"/>
    </row>
    <row r="796" ht="15.75" customHeight="1">
      <c r="G796" s="85"/>
      <c r="H796" s="85"/>
      <c r="I796" s="85"/>
      <c r="J796" s="85"/>
      <c r="K796" s="85"/>
      <c r="L796" s="85"/>
      <c r="M796" s="86"/>
      <c r="N796" s="86"/>
      <c r="O796" s="86"/>
      <c r="P796" s="86"/>
      <c r="Q796" s="86"/>
      <c r="R796" s="86"/>
      <c r="S796" s="85"/>
      <c r="T796" s="85"/>
      <c r="U796" s="85"/>
      <c r="V796" s="85"/>
      <c r="W796" s="85"/>
      <c r="X796" s="85"/>
      <c r="Y796" s="87"/>
      <c r="Z796" s="87"/>
      <c r="AA796" s="87"/>
      <c r="AB796" s="87"/>
      <c r="AC796" s="87"/>
      <c r="AD796" s="87"/>
    </row>
    <row r="797" ht="15.75" customHeight="1">
      <c r="G797" s="85"/>
      <c r="H797" s="85"/>
      <c r="I797" s="85"/>
      <c r="J797" s="85"/>
      <c r="K797" s="85"/>
      <c r="L797" s="85"/>
      <c r="M797" s="86"/>
      <c r="N797" s="86"/>
      <c r="O797" s="86"/>
      <c r="P797" s="86"/>
      <c r="Q797" s="86"/>
      <c r="R797" s="86"/>
      <c r="S797" s="85"/>
      <c r="T797" s="85"/>
      <c r="U797" s="85"/>
      <c r="V797" s="85"/>
      <c r="W797" s="85"/>
      <c r="X797" s="85"/>
      <c r="Y797" s="87"/>
      <c r="Z797" s="87"/>
      <c r="AA797" s="87"/>
      <c r="AB797" s="87"/>
      <c r="AC797" s="87"/>
      <c r="AD797" s="87"/>
    </row>
    <row r="798" ht="15.75" customHeight="1">
      <c r="G798" s="85"/>
      <c r="H798" s="85"/>
      <c r="I798" s="85"/>
      <c r="J798" s="85"/>
      <c r="K798" s="85"/>
      <c r="L798" s="85"/>
      <c r="M798" s="86"/>
      <c r="N798" s="86"/>
      <c r="O798" s="86"/>
      <c r="P798" s="86"/>
      <c r="Q798" s="86"/>
      <c r="R798" s="86"/>
      <c r="S798" s="85"/>
      <c r="T798" s="85"/>
      <c r="U798" s="85"/>
      <c r="V798" s="85"/>
      <c r="W798" s="85"/>
      <c r="X798" s="85"/>
      <c r="Y798" s="87"/>
      <c r="Z798" s="87"/>
      <c r="AA798" s="87"/>
      <c r="AB798" s="87"/>
      <c r="AC798" s="87"/>
      <c r="AD798" s="87"/>
    </row>
    <row r="799" ht="15.75" customHeight="1">
      <c r="G799" s="85"/>
      <c r="H799" s="85"/>
      <c r="I799" s="85"/>
      <c r="J799" s="85"/>
      <c r="K799" s="85"/>
      <c r="L799" s="85"/>
      <c r="M799" s="86"/>
      <c r="N799" s="86"/>
      <c r="O799" s="86"/>
      <c r="P799" s="86"/>
      <c r="Q799" s="86"/>
      <c r="R799" s="86"/>
      <c r="S799" s="85"/>
      <c r="T799" s="85"/>
      <c r="U799" s="85"/>
      <c r="V799" s="85"/>
      <c r="W799" s="85"/>
      <c r="X799" s="85"/>
      <c r="Y799" s="87"/>
      <c r="Z799" s="87"/>
      <c r="AA799" s="87"/>
      <c r="AB799" s="87"/>
      <c r="AC799" s="87"/>
      <c r="AD799" s="87"/>
    </row>
    <row r="800" ht="15.75" customHeight="1">
      <c r="G800" s="85"/>
      <c r="H800" s="85"/>
      <c r="I800" s="85"/>
      <c r="J800" s="85"/>
      <c r="K800" s="85"/>
      <c r="L800" s="85"/>
      <c r="M800" s="86"/>
      <c r="N800" s="86"/>
      <c r="O800" s="86"/>
      <c r="P800" s="86"/>
      <c r="Q800" s="86"/>
      <c r="R800" s="86"/>
      <c r="S800" s="85"/>
      <c r="T800" s="85"/>
      <c r="U800" s="85"/>
      <c r="V800" s="85"/>
      <c r="W800" s="85"/>
      <c r="X800" s="85"/>
      <c r="Y800" s="87"/>
      <c r="Z800" s="87"/>
      <c r="AA800" s="87"/>
      <c r="AB800" s="87"/>
      <c r="AC800" s="87"/>
      <c r="AD800" s="87"/>
    </row>
    <row r="801" ht="15.75" customHeight="1">
      <c r="G801" s="85"/>
      <c r="H801" s="85"/>
      <c r="I801" s="85"/>
      <c r="J801" s="85"/>
      <c r="K801" s="85"/>
      <c r="L801" s="85"/>
      <c r="M801" s="86"/>
      <c r="N801" s="86"/>
      <c r="O801" s="86"/>
      <c r="P801" s="86"/>
      <c r="Q801" s="86"/>
      <c r="R801" s="86"/>
      <c r="S801" s="85"/>
      <c r="T801" s="85"/>
      <c r="U801" s="85"/>
      <c r="V801" s="85"/>
      <c r="W801" s="85"/>
      <c r="X801" s="85"/>
      <c r="Y801" s="87"/>
      <c r="Z801" s="87"/>
      <c r="AA801" s="87"/>
      <c r="AB801" s="87"/>
      <c r="AC801" s="87"/>
      <c r="AD801" s="87"/>
    </row>
    <row r="802" ht="15.75" customHeight="1">
      <c r="G802" s="85"/>
      <c r="H802" s="85"/>
      <c r="I802" s="85"/>
      <c r="J802" s="85"/>
      <c r="K802" s="85"/>
      <c r="L802" s="85"/>
      <c r="M802" s="86"/>
      <c r="N802" s="86"/>
      <c r="O802" s="86"/>
      <c r="P802" s="86"/>
      <c r="Q802" s="86"/>
      <c r="R802" s="86"/>
      <c r="S802" s="85"/>
      <c r="T802" s="85"/>
      <c r="U802" s="85"/>
      <c r="V802" s="85"/>
      <c r="W802" s="85"/>
      <c r="X802" s="85"/>
      <c r="Y802" s="87"/>
      <c r="Z802" s="87"/>
      <c r="AA802" s="87"/>
      <c r="AB802" s="87"/>
      <c r="AC802" s="87"/>
      <c r="AD802" s="87"/>
    </row>
    <row r="803" ht="15.75" customHeight="1">
      <c r="G803" s="85"/>
      <c r="H803" s="85"/>
      <c r="I803" s="85"/>
      <c r="J803" s="85"/>
      <c r="K803" s="85"/>
      <c r="L803" s="85"/>
      <c r="M803" s="86"/>
      <c r="N803" s="86"/>
      <c r="O803" s="86"/>
      <c r="P803" s="86"/>
      <c r="Q803" s="86"/>
      <c r="R803" s="86"/>
      <c r="S803" s="85"/>
      <c r="T803" s="85"/>
      <c r="U803" s="85"/>
      <c r="V803" s="85"/>
      <c r="W803" s="85"/>
      <c r="X803" s="85"/>
      <c r="Y803" s="87"/>
      <c r="Z803" s="87"/>
      <c r="AA803" s="87"/>
      <c r="AB803" s="87"/>
      <c r="AC803" s="87"/>
      <c r="AD803" s="87"/>
    </row>
    <row r="804" ht="15.75" customHeight="1">
      <c r="G804" s="85"/>
      <c r="H804" s="85"/>
      <c r="I804" s="85"/>
      <c r="J804" s="85"/>
      <c r="K804" s="85"/>
      <c r="L804" s="85"/>
      <c r="M804" s="86"/>
      <c r="N804" s="86"/>
      <c r="O804" s="86"/>
      <c r="P804" s="86"/>
      <c r="Q804" s="86"/>
      <c r="R804" s="86"/>
      <c r="S804" s="85"/>
      <c r="T804" s="85"/>
      <c r="U804" s="85"/>
      <c r="V804" s="85"/>
      <c r="W804" s="85"/>
      <c r="X804" s="85"/>
      <c r="Y804" s="87"/>
      <c r="Z804" s="87"/>
      <c r="AA804" s="87"/>
      <c r="AB804" s="87"/>
      <c r="AC804" s="87"/>
      <c r="AD804" s="87"/>
    </row>
    <row r="805" ht="15.75" customHeight="1">
      <c r="G805" s="85"/>
      <c r="H805" s="85"/>
      <c r="I805" s="85"/>
      <c r="J805" s="85"/>
      <c r="K805" s="85"/>
      <c r="L805" s="85"/>
      <c r="M805" s="86"/>
      <c r="N805" s="86"/>
      <c r="O805" s="86"/>
      <c r="P805" s="86"/>
      <c r="Q805" s="86"/>
      <c r="R805" s="86"/>
      <c r="S805" s="85"/>
      <c r="T805" s="85"/>
      <c r="U805" s="85"/>
      <c r="V805" s="85"/>
      <c r="W805" s="85"/>
      <c r="X805" s="85"/>
      <c r="Y805" s="87"/>
      <c r="Z805" s="87"/>
      <c r="AA805" s="87"/>
      <c r="AB805" s="87"/>
      <c r="AC805" s="87"/>
      <c r="AD805" s="87"/>
    </row>
    <row r="806" ht="15.75" customHeight="1">
      <c r="G806" s="85"/>
      <c r="H806" s="85"/>
      <c r="I806" s="85"/>
      <c r="J806" s="85"/>
      <c r="K806" s="85"/>
      <c r="L806" s="85"/>
      <c r="M806" s="86"/>
      <c r="N806" s="86"/>
      <c r="O806" s="86"/>
      <c r="P806" s="86"/>
      <c r="Q806" s="86"/>
      <c r="R806" s="86"/>
      <c r="S806" s="85"/>
      <c r="T806" s="85"/>
      <c r="U806" s="85"/>
      <c r="V806" s="85"/>
      <c r="W806" s="85"/>
      <c r="X806" s="85"/>
      <c r="Y806" s="87"/>
      <c r="Z806" s="87"/>
      <c r="AA806" s="87"/>
      <c r="AB806" s="87"/>
      <c r="AC806" s="87"/>
      <c r="AD806" s="87"/>
    </row>
    <row r="807" ht="15.75" customHeight="1">
      <c r="G807" s="85"/>
      <c r="H807" s="85"/>
      <c r="I807" s="85"/>
      <c r="J807" s="85"/>
      <c r="K807" s="85"/>
      <c r="L807" s="85"/>
      <c r="M807" s="86"/>
      <c r="N807" s="86"/>
      <c r="O807" s="86"/>
      <c r="P807" s="86"/>
      <c r="Q807" s="86"/>
      <c r="R807" s="86"/>
      <c r="S807" s="85"/>
      <c r="T807" s="85"/>
      <c r="U807" s="85"/>
      <c r="V807" s="85"/>
      <c r="W807" s="85"/>
      <c r="X807" s="85"/>
      <c r="Y807" s="87"/>
      <c r="Z807" s="87"/>
      <c r="AA807" s="87"/>
      <c r="AB807" s="87"/>
      <c r="AC807" s="87"/>
      <c r="AD807" s="87"/>
    </row>
    <row r="808" ht="15.75" customHeight="1">
      <c r="G808" s="85"/>
      <c r="H808" s="85"/>
      <c r="I808" s="85"/>
      <c r="J808" s="85"/>
      <c r="K808" s="85"/>
      <c r="L808" s="85"/>
      <c r="M808" s="86"/>
      <c r="N808" s="86"/>
      <c r="O808" s="86"/>
      <c r="P808" s="86"/>
      <c r="Q808" s="86"/>
      <c r="R808" s="86"/>
      <c r="S808" s="85"/>
      <c r="T808" s="85"/>
      <c r="U808" s="85"/>
      <c r="V808" s="85"/>
      <c r="W808" s="85"/>
      <c r="X808" s="85"/>
      <c r="Y808" s="87"/>
      <c r="Z808" s="87"/>
      <c r="AA808" s="87"/>
      <c r="AB808" s="87"/>
      <c r="AC808" s="87"/>
      <c r="AD808" s="87"/>
    </row>
    <row r="809" ht="15.75" customHeight="1">
      <c r="G809" s="85"/>
      <c r="H809" s="85"/>
      <c r="I809" s="85"/>
      <c r="J809" s="85"/>
      <c r="K809" s="85"/>
      <c r="L809" s="85"/>
      <c r="M809" s="86"/>
      <c r="N809" s="86"/>
      <c r="O809" s="86"/>
      <c r="P809" s="86"/>
      <c r="Q809" s="86"/>
      <c r="R809" s="86"/>
      <c r="S809" s="85"/>
      <c r="T809" s="85"/>
      <c r="U809" s="85"/>
      <c r="V809" s="85"/>
      <c r="W809" s="85"/>
      <c r="X809" s="85"/>
      <c r="Y809" s="87"/>
      <c r="Z809" s="87"/>
      <c r="AA809" s="87"/>
      <c r="AB809" s="87"/>
      <c r="AC809" s="87"/>
      <c r="AD809" s="87"/>
    </row>
    <row r="810" ht="15.75" customHeight="1">
      <c r="G810" s="85"/>
      <c r="H810" s="85"/>
      <c r="I810" s="85"/>
      <c r="J810" s="85"/>
      <c r="K810" s="85"/>
      <c r="L810" s="85"/>
      <c r="M810" s="86"/>
      <c r="N810" s="86"/>
      <c r="O810" s="86"/>
      <c r="P810" s="86"/>
      <c r="Q810" s="86"/>
      <c r="R810" s="86"/>
      <c r="S810" s="85"/>
      <c r="T810" s="85"/>
      <c r="U810" s="85"/>
      <c r="V810" s="85"/>
      <c r="W810" s="85"/>
      <c r="X810" s="85"/>
      <c r="Y810" s="87"/>
      <c r="Z810" s="87"/>
      <c r="AA810" s="87"/>
      <c r="AB810" s="87"/>
      <c r="AC810" s="87"/>
      <c r="AD810" s="87"/>
    </row>
    <row r="811" ht="15.75" customHeight="1">
      <c r="G811" s="85"/>
      <c r="H811" s="85"/>
      <c r="I811" s="85"/>
      <c r="J811" s="85"/>
      <c r="K811" s="85"/>
      <c r="L811" s="85"/>
      <c r="M811" s="86"/>
      <c r="N811" s="86"/>
      <c r="O811" s="86"/>
      <c r="P811" s="86"/>
      <c r="Q811" s="86"/>
      <c r="R811" s="86"/>
      <c r="S811" s="85"/>
      <c r="T811" s="85"/>
      <c r="U811" s="85"/>
      <c r="V811" s="85"/>
      <c r="W811" s="85"/>
      <c r="X811" s="85"/>
      <c r="Y811" s="87"/>
      <c r="Z811" s="87"/>
      <c r="AA811" s="87"/>
      <c r="AB811" s="87"/>
      <c r="AC811" s="87"/>
      <c r="AD811" s="87"/>
    </row>
    <row r="812" ht="15.75" customHeight="1">
      <c r="G812" s="85"/>
      <c r="H812" s="85"/>
      <c r="I812" s="85"/>
      <c r="J812" s="85"/>
      <c r="K812" s="85"/>
      <c r="L812" s="85"/>
      <c r="M812" s="86"/>
      <c r="N812" s="86"/>
      <c r="O812" s="86"/>
      <c r="P812" s="86"/>
      <c r="Q812" s="86"/>
      <c r="R812" s="86"/>
      <c r="S812" s="85"/>
      <c r="T812" s="85"/>
      <c r="U812" s="85"/>
      <c r="V812" s="85"/>
      <c r="W812" s="85"/>
      <c r="X812" s="85"/>
      <c r="Y812" s="87"/>
      <c r="Z812" s="87"/>
      <c r="AA812" s="87"/>
      <c r="AB812" s="87"/>
      <c r="AC812" s="87"/>
      <c r="AD812" s="87"/>
    </row>
    <row r="813" ht="15.75" customHeight="1">
      <c r="G813" s="85"/>
      <c r="H813" s="85"/>
      <c r="I813" s="85"/>
      <c r="J813" s="85"/>
      <c r="K813" s="85"/>
      <c r="L813" s="85"/>
      <c r="M813" s="86"/>
      <c r="N813" s="86"/>
      <c r="O813" s="86"/>
      <c r="P813" s="86"/>
      <c r="Q813" s="86"/>
      <c r="R813" s="86"/>
      <c r="S813" s="85"/>
      <c r="T813" s="85"/>
      <c r="U813" s="85"/>
      <c r="V813" s="85"/>
      <c r="W813" s="85"/>
      <c r="X813" s="85"/>
      <c r="Y813" s="87"/>
      <c r="Z813" s="87"/>
      <c r="AA813" s="87"/>
      <c r="AB813" s="87"/>
      <c r="AC813" s="87"/>
      <c r="AD813" s="87"/>
    </row>
    <row r="814" ht="15.75" customHeight="1">
      <c r="G814" s="85"/>
      <c r="H814" s="85"/>
      <c r="I814" s="85"/>
      <c r="J814" s="85"/>
      <c r="K814" s="85"/>
      <c r="L814" s="85"/>
      <c r="M814" s="86"/>
      <c r="N814" s="86"/>
      <c r="O814" s="86"/>
      <c r="P814" s="86"/>
      <c r="Q814" s="86"/>
      <c r="R814" s="86"/>
      <c r="S814" s="85"/>
      <c r="T814" s="85"/>
      <c r="U814" s="85"/>
      <c r="V814" s="85"/>
      <c r="W814" s="85"/>
      <c r="X814" s="85"/>
      <c r="Y814" s="87"/>
      <c r="Z814" s="87"/>
      <c r="AA814" s="87"/>
      <c r="AB814" s="87"/>
      <c r="AC814" s="87"/>
      <c r="AD814" s="87"/>
    </row>
    <row r="815" ht="15.75" customHeight="1">
      <c r="G815" s="85"/>
      <c r="H815" s="85"/>
      <c r="I815" s="85"/>
      <c r="J815" s="85"/>
      <c r="K815" s="85"/>
      <c r="L815" s="85"/>
      <c r="M815" s="86"/>
      <c r="N815" s="86"/>
      <c r="O815" s="86"/>
      <c r="P815" s="86"/>
      <c r="Q815" s="86"/>
      <c r="R815" s="86"/>
      <c r="S815" s="85"/>
      <c r="T815" s="85"/>
      <c r="U815" s="85"/>
      <c r="V815" s="85"/>
      <c r="W815" s="85"/>
      <c r="X815" s="85"/>
      <c r="Y815" s="87"/>
      <c r="Z815" s="87"/>
      <c r="AA815" s="87"/>
      <c r="AB815" s="87"/>
      <c r="AC815" s="87"/>
      <c r="AD815" s="87"/>
    </row>
    <row r="816" ht="15.75" customHeight="1">
      <c r="G816" s="85"/>
      <c r="H816" s="85"/>
      <c r="I816" s="85"/>
      <c r="J816" s="85"/>
      <c r="K816" s="85"/>
      <c r="L816" s="85"/>
      <c r="M816" s="86"/>
      <c r="N816" s="86"/>
      <c r="O816" s="86"/>
      <c r="P816" s="86"/>
      <c r="Q816" s="86"/>
      <c r="R816" s="86"/>
      <c r="S816" s="85"/>
      <c r="T816" s="85"/>
      <c r="U816" s="85"/>
      <c r="V816" s="85"/>
      <c r="W816" s="85"/>
      <c r="X816" s="85"/>
      <c r="Y816" s="87"/>
      <c r="Z816" s="87"/>
      <c r="AA816" s="87"/>
      <c r="AB816" s="87"/>
      <c r="AC816" s="87"/>
      <c r="AD816" s="87"/>
    </row>
    <row r="817" ht="15.75" customHeight="1">
      <c r="G817" s="85"/>
      <c r="H817" s="85"/>
      <c r="I817" s="85"/>
      <c r="J817" s="85"/>
      <c r="K817" s="85"/>
      <c r="L817" s="85"/>
      <c r="M817" s="86"/>
      <c r="N817" s="86"/>
      <c r="O817" s="86"/>
      <c r="P817" s="86"/>
      <c r="Q817" s="86"/>
      <c r="R817" s="86"/>
      <c r="S817" s="85"/>
      <c r="T817" s="85"/>
      <c r="U817" s="85"/>
      <c r="V817" s="85"/>
      <c r="W817" s="85"/>
      <c r="X817" s="85"/>
      <c r="Y817" s="87"/>
      <c r="Z817" s="87"/>
      <c r="AA817" s="87"/>
      <c r="AB817" s="87"/>
      <c r="AC817" s="87"/>
      <c r="AD817" s="87"/>
    </row>
    <row r="818" ht="15.75" customHeight="1">
      <c r="G818" s="85"/>
      <c r="H818" s="85"/>
      <c r="I818" s="85"/>
      <c r="J818" s="85"/>
      <c r="K818" s="85"/>
      <c r="L818" s="85"/>
      <c r="M818" s="86"/>
      <c r="N818" s="86"/>
      <c r="O818" s="86"/>
      <c r="P818" s="86"/>
      <c r="Q818" s="86"/>
      <c r="R818" s="86"/>
      <c r="S818" s="85"/>
      <c r="T818" s="85"/>
      <c r="U818" s="85"/>
      <c r="V818" s="85"/>
      <c r="W818" s="85"/>
      <c r="X818" s="85"/>
      <c r="Y818" s="87"/>
      <c r="Z818" s="87"/>
      <c r="AA818" s="87"/>
      <c r="AB818" s="87"/>
      <c r="AC818" s="87"/>
      <c r="AD818" s="87"/>
    </row>
    <row r="819" ht="15.75" customHeight="1">
      <c r="G819" s="85"/>
      <c r="H819" s="85"/>
      <c r="I819" s="85"/>
      <c r="J819" s="85"/>
      <c r="K819" s="85"/>
      <c r="L819" s="85"/>
      <c r="M819" s="86"/>
      <c r="N819" s="86"/>
      <c r="O819" s="86"/>
      <c r="P819" s="86"/>
      <c r="Q819" s="86"/>
      <c r="R819" s="86"/>
      <c r="S819" s="85"/>
      <c r="T819" s="85"/>
      <c r="U819" s="85"/>
      <c r="V819" s="85"/>
      <c r="W819" s="85"/>
      <c r="X819" s="85"/>
      <c r="Y819" s="87"/>
      <c r="Z819" s="87"/>
      <c r="AA819" s="87"/>
      <c r="AB819" s="87"/>
      <c r="AC819" s="87"/>
      <c r="AD819" s="87"/>
    </row>
    <row r="820" ht="15.75" customHeight="1">
      <c r="G820" s="85"/>
      <c r="H820" s="85"/>
      <c r="I820" s="85"/>
      <c r="J820" s="85"/>
      <c r="K820" s="85"/>
      <c r="L820" s="85"/>
      <c r="M820" s="86"/>
      <c r="N820" s="86"/>
      <c r="O820" s="86"/>
      <c r="P820" s="86"/>
      <c r="Q820" s="86"/>
      <c r="R820" s="86"/>
      <c r="S820" s="85"/>
      <c r="T820" s="85"/>
      <c r="U820" s="85"/>
      <c r="V820" s="85"/>
      <c r="W820" s="85"/>
      <c r="X820" s="85"/>
      <c r="Y820" s="87"/>
      <c r="Z820" s="87"/>
      <c r="AA820" s="87"/>
      <c r="AB820" s="87"/>
      <c r="AC820" s="87"/>
      <c r="AD820" s="87"/>
    </row>
    <row r="821" ht="15.75" customHeight="1">
      <c r="G821" s="85"/>
      <c r="H821" s="85"/>
      <c r="I821" s="85"/>
      <c r="J821" s="85"/>
      <c r="K821" s="85"/>
      <c r="L821" s="85"/>
      <c r="M821" s="86"/>
      <c r="N821" s="86"/>
      <c r="O821" s="86"/>
      <c r="P821" s="86"/>
      <c r="Q821" s="86"/>
      <c r="R821" s="86"/>
      <c r="S821" s="85"/>
      <c r="T821" s="85"/>
      <c r="U821" s="85"/>
      <c r="V821" s="85"/>
      <c r="W821" s="85"/>
      <c r="X821" s="85"/>
      <c r="Y821" s="87"/>
      <c r="Z821" s="87"/>
      <c r="AA821" s="87"/>
      <c r="AB821" s="87"/>
      <c r="AC821" s="87"/>
      <c r="AD821" s="87"/>
    </row>
    <row r="822" ht="15.75" customHeight="1">
      <c r="G822" s="85"/>
      <c r="H822" s="85"/>
      <c r="I822" s="85"/>
      <c r="J822" s="85"/>
      <c r="K822" s="85"/>
      <c r="L822" s="85"/>
      <c r="M822" s="86"/>
      <c r="N822" s="86"/>
      <c r="O822" s="86"/>
      <c r="P822" s="86"/>
      <c r="Q822" s="86"/>
      <c r="R822" s="86"/>
      <c r="S822" s="85"/>
      <c r="T822" s="85"/>
      <c r="U822" s="85"/>
      <c r="V822" s="85"/>
      <c r="W822" s="85"/>
      <c r="X822" s="85"/>
      <c r="Y822" s="87"/>
      <c r="Z822" s="87"/>
      <c r="AA822" s="87"/>
      <c r="AB822" s="87"/>
      <c r="AC822" s="87"/>
      <c r="AD822" s="87"/>
    </row>
    <row r="823" ht="15.75" customHeight="1">
      <c r="G823" s="85"/>
      <c r="H823" s="85"/>
      <c r="I823" s="85"/>
      <c r="J823" s="85"/>
      <c r="K823" s="85"/>
      <c r="L823" s="85"/>
      <c r="M823" s="86"/>
      <c r="N823" s="86"/>
      <c r="O823" s="86"/>
      <c r="P823" s="86"/>
      <c r="Q823" s="86"/>
      <c r="R823" s="86"/>
      <c r="S823" s="85"/>
      <c r="T823" s="85"/>
      <c r="U823" s="85"/>
      <c r="V823" s="85"/>
      <c r="W823" s="85"/>
      <c r="X823" s="85"/>
      <c r="Y823" s="87"/>
      <c r="Z823" s="87"/>
      <c r="AA823" s="87"/>
      <c r="AB823" s="87"/>
      <c r="AC823" s="87"/>
      <c r="AD823" s="87"/>
    </row>
    <row r="824" ht="15.75" customHeight="1">
      <c r="G824" s="85"/>
      <c r="H824" s="85"/>
      <c r="I824" s="85"/>
      <c r="J824" s="85"/>
      <c r="K824" s="85"/>
      <c r="L824" s="85"/>
      <c r="M824" s="86"/>
      <c r="N824" s="86"/>
      <c r="O824" s="86"/>
      <c r="P824" s="86"/>
      <c r="Q824" s="86"/>
      <c r="R824" s="86"/>
      <c r="S824" s="85"/>
      <c r="T824" s="85"/>
      <c r="U824" s="85"/>
      <c r="V824" s="85"/>
      <c r="W824" s="85"/>
      <c r="X824" s="85"/>
      <c r="Y824" s="87"/>
      <c r="Z824" s="87"/>
      <c r="AA824" s="87"/>
      <c r="AB824" s="87"/>
      <c r="AC824" s="87"/>
      <c r="AD824" s="87"/>
    </row>
    <row r="825" ht="15.75" customHeight="1">
      <c r="G825" s="85"/>
      <c r="H825" s="85"/>
      <c r="I825" s="85"/>
      <c r="J825" s="85"/>
      <c r="K825" s="85"/>
      <c r="L825" s="85"/>
      <c r="M825" s="86"/>
      <c r="N825" s="86"/>
      <c r="O825" s="86"/>
      <c r="P825" s="86"/>
      <c r="Q825" s="86"/>
      <c r="R825" s="86"/>
      <c r="S825" s="85"/>
      <c r="T825" s="85"/>
      <c r="U825" s="85"/>
      <c r="V825" s="85"/>
      <c r="W825" s="85"/>
      <c r="X825" s="85"/>
      <c r="Y825" s="87"/>
      <c r="Z825" s="87"/>
      <c r="AA825" s="87"/>
      <c r="AB825" s="87"/>
      <c r="AC825" s="87"/>
      <c r="AD825" s="87"/>
    </row>
    <row r="826" ht="15.75" customHeight="1">
      <c r="G826" s="85"/>
      <c r="H826" s="85"/>
      <c r="I826" s="85"/>
      <c r="J826" s="85"/>
      <c r="K826" s="85"/>
      <c r="L826" s="85"/>
      <c r="M826" s="86"/>
      <c r="N826" s="86"/>
      <c r="O826" s="86"/>
      <c r="P826" s="86"/>
      <c r="Q826" s="86"/>
      <c r="R826" s="86"/>
      <c r="S826" s="85"/>
      <c r="T826" s="85"/>
      <c r="U826" s="85"/>
      <c r="V826" s="85"/>
      <c r="W826" s="85"/>
      <c r="X826" s="85"/>
      <c r="Y826" s="87"/>
      <c r="Z826" s="87"/>
      <c r="AA826" s="87"/>
      <c r="AB826" s="87"/>
      <c r="AC826" s="87"/>
      <c r="AD826" s="87"/>
    </row>
    <row r="827" ht="15.75" customHeight="1">
      <c r="G827" s="85"/>
      <c r="H827" s="85"/>
      <c r="I827" s="85"/>
      <c r="J827" s="85"/>
      <c r="K827" s="85"/>
      <c r="L827" s="85"/>
      <c r="M827" s="86"/>
      <c r="N827" s="86"/>
      <c r="O827" s="86"/>
      <c r="P827" s="86"/>
      <c r="Q827" s="86"/>
      <c r="R827" s="86"/>
      <c r="S827" s="85"/>
      <c r="T827" s="85"/>
      <c r="U827" s="85"/>
      <c r="V827" s="85"/>
      <c r="W827" s="85"/>
      <c r="X827" s="85"/>
      <c r="Y827" s="87"/>
      <c r="Z827" s="87"/>
      <c r="AA827" s="87"/>
      <c r="AB827" s="87"/>
      <c r="AC827" s="87"/>
      <c r="AD827" s="87"/>
    </row>
    <row r="828" ht="15.75" customHeight="1">
      <c r="G828" s="85"/>
      <c r="H828" s="85"/>
      <c r="I828" s="85"/>
      <c r="J828" s="85"/>
      <c r="K828" s="85"/>
      <c r="L828" s="85"/>
      <c r="M828" s="86"/>
      <c r="N828" s="86"/>
      <c r="O828" s="86"/>
      <c r="P828" s="86"/>
      <c r="Q828" s="86"/>
      <c r="R828" s="86"/>
      <c r="S828" s="85"/>
      <c r="T828" s="85"/>
      <c r="U828" s="85"/>
      <c r="V828" s="85"/>
      <c r="W828" s="85"/>
      <c r="X828" s="85"/>
      <c r="Y828" s="87"/>
      <c r="Z828" s="87"/>
      <c r="AA828" s="87"/>
      <c r="AB828" s="87"/>
      <c r="AC828" s="87"/>
      <c r="AD828" s="87"/>
    </row>
    <row r="829" ht="15.75" customHeight="1">
      <c r="G829" s="85"/>
      <c r="H829" s="85"/>
      <c r="I829" s="85"/>
      <c r="J829" s="85"/>
      <c r="K829" s="85"/>
      <c r="L829" s="85"/>
      <c r="M829" s="86"/>
      <c r="N829" s="86"/>
      <c r="O829" s="86"/>
      <c r="P829" s="86"/>
      <c r="Q829" s="86"/>
      <c r="R829" s="86"/>
      <c r="S829" s="85"/>
      <c r="T829" s="85"/>
      <c r="U829" s="85"/>
      <c r="V829" s="85"/>
      <c r="W829" s="85"/>
      <c r="X829" s="85"/>
      <c r="Y829" s="87"/>
      <c r="Z829" s="87"/>
      <c r="AA829" s="87"/>
      <c r="AB829" s="87"/>
      <c r="AC829" s="87"/>
      <c r="AD829" s="87"/>
    </row>
    <row r="830" ht="15.75" customHeight="1">
      <c r="G830" s="85"/>
      <c r="H830" s="85"/>
      <c r="I830" s="85"/>
      <c r="J830" s="85"/>
      <c r="K830" s="85"/>
      <c r="L830" s="85"/>
      <c r="M830" s="86"/>
      <c r="N830" s="86"/>
      <c r="O830" s="86"/>
      <c r="P830" s="86"/>
      <c r="Q830" s="86"/>
      <c r="R830" s="86"/>
      <c r="S830" s="85"/>
      <c r="T830" s="85"/>
      <c r="U830" s="85"/>
      <c r="V830" s="85"/>
      <c r="W830" s="85"/>
      <c r="X830" s="85"/>
      <c r="Y830" s="87"/>
      <c r="Z830" s="87"/>
      <c r="AA830" s="87"/>
      <c r="AB830" s="87"/>
      <c r="AC830" s="87"/>
      <c r="AD830" s="87"/>
    </row>
    <row r="831" ht="15.75" customHeight="1">
      <c r="G831" s="85"/>
      <c r="H831" s="85"/>
      <c r="I831" s="85"/>
      <c r="J831" s="85"/>
      <c r="K831" s="85"/>
      <c r="L831" s="85"/>
      <c r="M831" s="86"/>
      <c r="N831" s="86"/>
      <c r="O831" s="86"/>
      <c r="P831" s="86"/>
      <c r="Q831" s="86"/>
      <c r="R831" s="86"/>
      <c r="S831" s="85"/>
      <c r="T831" s="85"/>
      <c r="U831" s="85"/>
      <c r="V831" s="85"/>
      <c r="W831" s="85"/>
      <c r="X831" s="85"/>
      <c r="Y831" s="87"/>
      <c r="Z831" s="87"/>
      <c r="AA831" s="87"/>
      <c r="AB831" s="87"/>
      <c r="AC831" s="87"/>
      <c r="AD831" s="87"/>
    </row>
    <row r="832" ht="15.75" customHeight="1">
      <c r="G832" s="85"/>
      <c r="H832" s="85"/>
      <c r="I832" s="85"/>
      <c r="J832" s="85"/>
      <c r="K832" s="85"/>
      <c r="L832" s="85"/>
      <c r="M832" s="86"/>
      <c r="N832" s="86"/>
      <c r="O832" s="86"/>
      <c r="P832" s="86"/>
      <c r="Q832" s="86"/>
      <c r="R832" s="86"/>
      <c r="S832" s="85"/>
      <c r="T832" s="85"/>
      <c r="U832" s="85"/>
      <c r="V832" s="85"/>
      <c r="W832" s="85"/>
      <c r="X832" s="85"/>
      <c r="Y832" s="87"/>
      <c r="Z832" s="87"/>
      <c r="AA832" s="87"/>
      <c r="AB832" s="87"/>
      <c r="AC832" s="87"/>
      <c r="AD832" s="87"/>
    </row>
    <row r="833" ht="15.75" customHeight="1">
      <c r="G833" s="85"/>
      <c r="H833" s="85"/>
      <c r="I833" s="85"/>
      <c r="J833" s="85"/>
      <c r="K833" s="85"/>
      <c r="L833" s="85"/>
      <c r="M833" s="86"/>
      <c r="N833" s="86"/>
      <c r="O833" s="86"/>
      <c r="P833" s="86"/>
      <c r="Q833" s="86"/>
      <c r="R833" s="86"/>
      <c r="S833" s="85"/>
      <c r="T833" s="85"/>
      <c r="U833" s="85"/>
      <c r="V833" s="85"/>
      <c r="W833" s="85"/>
      <c r="X833" s="85"/>
      <c r="Y833" s="87"/>
      <c r="Z833" s="87"/>
      <c r="AA833" s="87"/>
      <c r="AB833" s="87"/>
      <c r="AC833" s="87"/>
      <c r="AD833" s="87"/>
    </row>
    <row r="834" ht="15.75" customHeight="1">
      <c r="G834" s="85"/>
      <c r="H834" s="85"/>
      <c r="I834" s="85"/>
      <c r="J834" s="85"/>
      <c r="K834" s="85"/>
      <c r="L834" s="85"/>
      <c r="M834" s="86"/>
      <c r="N834" s="86"/>
      <c r="O834" s="86"/>
      <c r="P834" s="86"/>
      <c r="Q834" s="86"/>
      <c r="R834" s="86"/>
      <c r="S834" s="85"/>
      <c r="T834" s="85"/>
      <c r="U834" s="85"/>
      <c r="V834" s="85"/>
      <c r="W834" s="85"/>
      <c r="X834" s="85"/>
      <c r="Y834" s="87"/>
      <c r="Z834" s="87"/>
      <c r="AA834" s="87"/>
      <c r="AB834" s="87"/>
      <c r="AC834" s="87"/>
      <c r="AD834" s="87"/>
    </row>
    <row r="835" ht="15.75" customHeight="1">
      <c r="G835" s="85"/>
      <c r="H835" s="85"/>
      <c r="I835" s="85"/>
      <c r="J835" s="85"/>
      <c r="K835" s="85"/>
      <c r="L835" s="85"/>
      <c r="M835" s="86"/>
      <c r="N835" s="86"/>
      <c r="O835" s="86"/>
      <c r="P835" s="86"/>
      <c r="Q835" s="86"/>
      <c r="R835" s="86"/>
      <c r="S835" s="85"/>
      <c r="T835" s="85"/>
      <c r="U835" s="85"/>
      <c r="V835" s="85"/>
      <c r="W835" s="85"/>
      <c r="X835" s="85"/>
      <c r="Y835" s="87"/>
      <c r="Z835" s="87"/>
      <c r="AA835" s="87"/>
      <c r="AB835" s="87"/>
      <c r="AC835" s="87"/>
      <c r="AD835" s="87"/>
    </row>
    <row r="836" ht="15.75" customHeight="1">
      <c r="G836" s="85"/>
      <c r="H836" s="85"/>
      <c r="I836" s="85"/>
      <c r="J836" s="85"/>
      <c r="K836" s="85"/>
      <c r="L836" s="85"/>
      <c r="M836" s="86"/>
      <c r="N836" s="86"/>
      <c r="O836" s="86"/>
      <c r="P836" s="86"/>
      <c r="Q836" s="86"/>
      <c r="R836" s="86"/>
      <c r="S836" s="85"/>
      <c r="T836" s="85"/>
      <c r="U836" s="85"/>
      <c r="V836" s="85"/>
      <c r="W836" s="85"/>
      <c r="X836" s="85"/>
      <c r="Y836" s="87"/>
      <c r="Z836" s="87"/>
      <c r="AA836" s="87"/>
      <c r="AB836" s="87"/>
      <c r="AC836" s="87"/>
      <c r="AD836" s="87"/>
    </row>
    <row r="837" ht="15.75" customHeight="1">
      <c r="G837" s="85"/>
      <c r="H837" s="85"/>
      <c r="I837" s="85"/>
      <c r="J837" s="85"/>
      <c r="K837" s="85"/>
      <c r="L837" s="85"/>
      <c r="M837" s="86"/>
      <c r="N837" s="86"/>
      <c r="O837" s="86"/>
      <c r="P837" s="86"/>
      <c r="Q837" s="86"/>
      <c r="R837" s="86"/>
      <c r="S837" s="85"/>
      <c r="T837" s="85"/>
      <c r="U837" s="85"/>
      <c r="V837" s="85"/>
      <c r="W837" s="85"/>
      <c r="X837" s="85"/>
      <c r="Y837" s="87"/>
      <c r="Z837" s="87"/>
      <c r="AA837" s="87"/>
      <c r="AB837" s="87"/>
      <c r="AC837" s="87"/>
      <c r="AD837" s="87"/>
    </row>
    <row r="838" ht="15.75" customHeight="1">
      <c r="G838" s="85"/>
      <c r="H838" s="85"/>
      <c r="I838" s="85"/>
      <c r="J838" s="85"/>
      <c r="K838" s="85"/>
      <c r="L838" s="85"/>
      <c r="M838" s="86"/>
      <c r="N838" s="86"/>
      <c r="O838" s="86"/>
      <c r="P838" s="86"/>
      <c r="Q838" s="86"/>
      <c r="R838" s="86"/>
      <c r="S838" s="85"/>
      <c r="T838" s="85"/>
      <c r="U838" s="85"/>
      <c r="V838" s="85"/>
      <c r="W838" s="85"/>
      <c r="X838" s="85"/>
      <c r="Y838" s="87"/>
      <c r="Z838" s="87"/>
      <c r="AA838" s="87"/>
      <c r="AB838" s="87"/>
      <c r="AC838" s="87"/>
      <c r="AD838" s="87"/>
    </row>
    <row r="839" ht="15.75" customHeight="1">
      <c r="G839" s="85"/>
      <c r="H839" s="85"/>
      <c r="I839" s="85"/>
      <c r="J839" s="85"/>
      <c r="K839" s="85"/>
      <c r="L839" s="85"/>
      <c r="M839" s="86"/>
      <c r="N839" s="86"/>
      <c r="O839" s="86"/>
      <c r="P839" s="86"/>
      <c r="Q839" s="86"/>
      <c r="R839" s="86"/>
      <c r="S839" s="85"/>
      <c r="T839" s="85"/>
      <c r="U839" s="85"/>
      <c r="V839" s="85"/>
      <c r="W839" s="85"/>
      <c r="X839" s="85"/>
      <c r="Y839" s="87"/>
      <c r="Z839" s="87"/>
      <c r="AA839" s="87"/>
      <c r="AB839" s="87"/>
      <c r="AC839" s="87"/>
      <c r="AD839" s="87"/>
    </row>
    <row r="840" ht="15.75" customHeight="1">
      <c r="G840" s="85"/>
      <c r="H840" s="85"/>
      <c r="I840" s="85"/>
      <c r="J840" s="85"/>
      <c r="K840" s="85"/>
      <c r="L840" s="85"/>
      <c r="M840" s="86"/>
      <c r="N840" s="86"/>
      <c r="O840" s="86"/>
      <c r="P840" s="86"/>
      <c r="Q840" s="86"/>
      <c r="R840" s="86"/>
      <c r="S840" s="85"/>
      <c r="T840" s="85"/>
      <c r="U840" s="85"/>
      <c r="V840" s="85"/>
      <c r="W840" s="85"/>
      <c r="X840" s="85"/>
      <c r="Y840" s="87"/>
      <c r="Z840" s="87"/>
      <c r="AA840" s="87"/>
      <c r="AB840" s="87"/>
      <c r="AC840" s="87"/>
      <c r="AD840" s="87"/>
    </row>
    <row r="841" ht="15.75" customHeight="1">
      <c r="G841" s="85"/>
      <c r="H841" s="85"/>
      <c r="I841" s="85"/>
      <c r="J841" s="85"/>
      <c r="K841" s="85"/>
      <c r="L841" s="85"/>
      <c r="M841" s="86"/>
      <c r="N841" s="86"/>
      <c r="O841" s="86"/>
      <c r="P841" s="86"/>
      <c r="Q841" s="86"/>
      <c r="R841" s="86"/>
      <c r="S841" s="85"/>
      <c r="T841" s="85"/>
      <c r="U841" s="85"/>
      <c r="V841" s="85"/>
      <c r="W841" s="85"/>
      <c r="X841" s="85"/>
      <c r="Y841" s="87"/>
      <c r="Z841" s="87"/>
      <c r="AA841" s="87"/>
      <c r="AB841" s="87"/>
      <c r="AC841" s="87"/>
      <c r="AD841" s="87"/>
    </row>
    <row r="842" ht="15.75" customHeight="1">
      <c r="G842" s="85"/>
      <c r="H842" s="85"/>
      <c r="I842" s="85"/>
      <c r="J842" s="85"/>
      <c r="K842" s="85"/>
      <c r="L842" s="85"/>
      <c r="M842" s="86"/>
      <c r="N842" s="86"/>
      <c r="O842" s="86"/>
      <c r="P842" s="86"/>
      <c r="Q842" s="86"/>
      <c r="R842" s="86"/>
      <c r="S842" s="85"/>
      <c r="T842" s="85"/>
      <c r="U842" s="85"/>
      <c r="V842" s="85"/>
      <c r="W842" s="85"/>
      <c r="X842" s="85"/>
      <c r="Y842" s="87"/>
      <c r="Z842" s="87"/>
      <c r="AA842" s="87"/>
      <c r="AB842" s="87"/>
      <c r="AC842" s="87"/>
      <c r="AD842" s="87"/>
    </row>
    <row r="843" ht="15.75" customHeight="1">
      <c r="G843" s="85"/>
      <c r="H843" s="85"/>
      <c r="I843" s="85"/>
      <c r="J843" s="85"/>
      <c r="K843" s="85"/>
      <c r="L843" s="85"/>
      <c r="M843" s="86"/>
      <c r="N843" s="86"/>
      <c r="O843" s="86"/>
      <c r="P843" s="86"/>
      <c r="Q843" s="86"/>
      <c r="R843" s="86"/>
      <c r="S843" s="85"/>
      <c r="T843" s="85"/>
      <c r="U843" s="85"/>
      <c r="V843" s="85"/>
      <c r="W843" s="85"/>
      <c r="X843" s="85"/>
      <c r="Y843" s="87"/>
      <c r="Z843" s="87"/>
      <c r="AA843" s="87"/>
      <c r="AB843" s="87"/>
      <c r="AC843" s="87"/>
      <c r="AD843" s="87"/>
    </row>
    <row r="844" ht="15.75" customHeight="1">
      <c r="G844" s="85"/>
      <c r="H844" s="85"/>
      <c r="I844" s="85"/>
      <c r="J844" s="85"/>
      <c r="K844" s="85"/>
      <c r="L844" s="85"/>
      <c r="M844" s="86"/>
      <c r="N844" s="86"/>
      <c r="O844" s="86"/>
      <c r="P844" s="86"/>
      <c r="Q844" s="86"/>
      <c r="R844" s="86"/>
      <c r="S844" s="85"/>
      <c r="T844" s="85"/>
      <c r="U844" s="85"/>
      <c r="V844" s="85"/>
      <c r="W844" s="85"/>
      <c r="X844" s="85"/>
      <c r="Y844" s="87"/>
      <c r="Z844" s="87"/>
      <c r="AA844" s="87"/>
      <c r="AB844" s="87"/>
      <c r="AC844" s="87"/>
      <c r="AD844" s="87"/>
    </row>
    <row r="845" ht="15.75" customHeight="1">
      <c r="G845" s="85"/>
      <c r="H845" s="85"/>
      <c r="I845" s="85"/>
      <c r="J845" s="85"/>
      <c r="K845" s="85"/>
      <c r="L845" s="85"/>
      <c r="M845" s="86"/>
      <c r="N845" s="86"/>
      <c r="O845" s="86"/>
      <c r="P845" s="86"/>
      <c r="Q845" s="86"/>
      <c r="R845" s="86"/>
      <c r="S845" s="85"/>
      <c r="T845" s="85"/>
      <c r="U845" s="85"/>
      <c r="V845" s="85"/>
      <c r="W845" s="85"/>
      <c r="X845" s="85"/>
      <c r="Y845" s="87"/>
      <c r="Z845" s="87"/>
      <c r="AA845" s="87"/>
      <c r="AB845" s="87"/>
      <c r="AC845" s="87"/>
      <c r="AD845" s="87"/>
    </row>
    <row r="846" ht="15.75" customHeight="1">
      <c r="G846" s="85"/>
      <c r="H846" s="85"/>
      <c r="I846" s="85"/>
      <c r="J846" s="85"/>
      <c r="K846" s="85"/>
      <c r="L846" s="85"/>
      <c r="M846" s="86"/>
      <c r="N846" s="86"/>
      <c r="O846" s="86"/>
      <c r="P846" s="86"/>
      <c r="Q846" s="86"/>
      <c r="R846" s="86"/>
      <c r="S846" s="85"/>
      <c r="T846" s="85"/>
      <c r="U846" s="85"/>
      <c r="V846" s="85"/>
      <c r="W846" s="85"/>
      <c r="X846" s="85"/>
      <c r="Y846" s="87"/>
      <c r="Z846" s="87"/>
      <c r="AA846" s="87"/>
      <c r="AB846" s="87"/>
      <c r="AC846" s="87"/>
      <c r="AD846" s="87"/>
    </row>
    <row r="847" ht="15.75" customHeight="1">
      <c r="G847" s="85"/>
      <c r="H847" s="85"/>
      <c r="I847" s="85"/>
      <c r="J847" s="85"/>
      <c r="K847" s="85"/>
      <c r="L847" s="85"/>
      <c r="M847" s="86"/>
      <c r="N847" s="86"/>
      <c r="O847" s="86"/>
      <c r="P847" s="86"/>
      <c r="Q847" s="86"/>
      <c r="R847" s="86"/>
      <c r="S847" s="85"/>
      <c r="T847" s="85"/>
      <c r="U847" s="85"/>
      <c r="V847" s="85"/>
      <c r="W847" s="85"/>
      <c r="X847" s="85"/>
      <c r="Y847" s="87"/>
      <c r="Z847" s="87"/>
      <c r="AA847" s="87"/>
      <c r="AB847" s="87"/>
      <c r="AC847" s="87"/>
      <c r="AD847" s="87"/>
    </row>
    <row r="848" ht="15.75" customHeight="1">
      <c r="G848" s="85"/>
      <c r="H848" s="85"/>
      <c r="I848" s="85"/>
      <c r="J848" s="85"/>
      <c r="K848" s="85"/>
      <c r="L848" s="85"/>
      <c r="M848" s="86"/>
      <c r="N848" s="86"/>
      <c r="O848" s="86"/>
      <c r="P848" s="86"/>
      <c r="Q848" s="86"/>
      <c r="R848" s="86"/>
      <c r="S848" s="85"/>
      <c r="T848" s="85"/>
      <c r="U848" s="85"/>
      <c r="V848" s="85"/>
      <c r="W848" s="85"/>
      <c r="X848" s="85"/>
      <c r="Y848" s="87"/>
      <c r="Z848" s="87"/>
      <c r="AA848" s="87"/>
      <c r="AB848" s="87"/>
      <c r="AC848" s="87"/>
      <c r="AD848" s="87"/>
    </row>
    <row r="849" ht="15.75" customHeight="1">
      <c r="G849" s="85"/>
      <c r="H849" s="85"/>
      <c r="I849" s="85"/>
      <c r="J849" s="85"/>
      <c r="K849" s="85"/>
      <c r="L849" s="85"/>
      <c r="M849" s="86"/>
      <c r="N849" s="86"/>
      <c r="O849" s="86"/>
      <c r="P849" s="86"/>
      <c r="Q849" s="86"/>
      <c r="R849" s="86"/>
      <c r="S849" s="85"/>
      <c r="T849" s="85"/>
      <c r="U849" s="85"/>
      <c r="V849" s="85"/>
      <c r="W849" s="85"/>
      <c r="X849" s="85"/>
      <c r="Y849" s="87"/>
      <c r="Z849" s="87"/>
      <c r="AA849" s="87"/>
      <c r="AB849" s="87"/>
      <c r="AC849" s="87"/>
      <c r="AD849" s="87"/>
    </row>
    <row r="850" ht="15.75" customHeight="1">
      <c r="G850" s="85"/>
      <c r="H850" s="85"/>
      <c r="I850" s="85"/>
      <c r="J850" s="85"/>
      <c r="K850" s="85"/>
      <c r="L850" s="85"/>
      <c r="M850" s="86"/>
      <c r="N850" s="86"/>
      <c r="O850" s="86"/>
      <c r="P850" s="86"/>
      <c r="Q850" s="86"/>
      <c r="R850" s="86"/>
      <c r="S850" s="85"/>
      <c r="T850" s="85"/>
      <c r="U850" s="85"/>
      <c r="V850" s="85"/>
      <c r="W850" s="85"/>
      <c r="X850" s="85"/>
      <c r="Y850" s="87"/>
      <c r="Z850" s="87"/>
      <c r="AA850" s="87"/>
      <c r="AB850" s="87"/>
      <c r="AC850" s="87"/>
      <c r="AD850" s="87"/>
    </row>
    <row r="851" ht="15.75" customHeight="1">
      <c r="G851" s="85"/>
      <c r="H851" s="85"/>
      <c r="I851" s="85"/>
      <c r="J851" s="85"/>
      <c r="K851" s="85"/>
      <c r="L851" s="85"/>
      <c r="M851" s="86"/>
      <c r="N851" s="86"/>
      <c r="O851" s="86"/>
      <c r="P851" s="86"/>
      <c r="Q851" s="86"/>
      <c r="R851" s="86"/>
      <c r="S851" s="85"/>
      <c r="T851" s="85"/>
      <c r="U851" s="85"/>
      <c r="V851" s="85"/>
      <c r="W851" s="85"/>
      <c r="X851" s="85"/>
      <c r="Y851" s="87"/>
      <c r="Z851" s="87"/>
      <c r="AA851" s="87"/>
      <c r="AB851" s="87"/>
      <c r="AC851" s="87"/>
      <c r="AD851" s="87"/>
    </row>
    <row r="852" ht="15.75" customHeight="1">
      <c r="G852" s="85"/>
      <c r="H852" s="85"/>
      <c r="I852" s="85"/>
      <c r="J852" s="85"/>
      <c r="K852" s="85"/>
      <c r="L852" s="85"/>
      <c r="M852" s="86"/>
      <c r="N852" s="86"/>
      <c r="O852" s="86"/>
      <c r="P852" s="86"/>
      <c r="Q852" s="86"/>
      <c r="R852" s="86"/>
      <c r="S852" s="85"/>
      <c r="T852" s="85"/>
      <c r="U852" s="85"/>
      <c r="V852" s="85"/>
      <c r="W852" s="85"/>
      <c r="X852" s="85"/>
      <c r="Y852" s="87"/>
      <c r="Z852" s="87"/>
      <c r="AA852" s="87"/>
      <c r="AB852" s="87"/>
      <c r="AC852" s="87"/>
      <c r="AD852" s="87"/>
    </row>
    <row r="853" ht="15.75" customHeight="1">
      <c r="G853" s="85"/>
      <c r="H853" s="85"/>
      <c r="I853" s="85"/>
      <c r="J853" s="85"/>
      <c r="K853" s="85"/>
      <c r="L853" s="85"/>
      <c r="M853" s="86"/>
      <c r="N853" s="86"/>
      <c r="O853" s="86"/>
      <c r="P853" s="86"/>
      <c r="Q853" s="86"/>
      <c r="R853" s="86"/>
      <c r="S853" s="85"/>
      <c r="T853" s="85"/>
      <c r="U853" s="85"/>
      <c r="V853" s="85"/>
      <c r="W853" s="85"/>
      <c r="X853" s="85"/>
      <c r="Y853" s="87"/>
      <c r="Z853" s="87"/>
      <c r="AA853" s="87"/>
      <c r="AB853" s="87"/>
      <c r="AC853" s="87"/>
      <c r="AD853" s="87"/>
    </row>
    <row r="854" ht="15.75" customHeight="1">
      <c r="G854" s="85"/>
      <c r="H854" s="85"/>
      <c r="I854" s="85"/>
      <c r="J854" s="85"/>
      <c r="K854" s="85"/>
      <c r="L854" s="85"/>
      <c r="M854" s="86"/>
      <c r="N854" s="86"/>
      <c r="O854" s="86"/>
      <c r="P854" s="86"/>
      <c r="Q854" s="86"/>
      <c r="R854" s="86"/>
      <c r="S854" s="85"/>
      <c r="T854" s="85"/>
      <c r="U854" s="85"/>
      <c r="V854" s="85"/>
      <c r="W854" s="85"/>
      <c r="X854" s="85"/>
      <c r="Y854" s="87"/>
      <c r="Z854" s="87"/>
      <c r="AA854" s="87"/>
      <c r="AB854" s="87"/>
      <c r="AC854" s="87"/>
      <c r="AD854" s="87"/>
    </row>
    <row r="855" ht="15.75" customHeight="1">
      <c r="G855" s="85"/>
      <c r="H855" s="85"/>
      <c r="I855" s="85"/>
      <c r="J855" s="85"/>
      <c r="K855" s="85"/>
      <c r="L855" s="85"/>
      <c r="M855" s="86"/>
      <c r="N855" s="86"/>
      <c r="O855" s="86"/>
      <c r="P855" s="86"/>
      <c r="Q855" s="86"/>
      <c r="R855" s="86"/>
      <c r="S855" s="85"/>
      <c r="T855" s="85"/>
      <c r="U855" s="85"/>
      <c r="V855" s="85"/>
      <c r="W855" s="85"/>
      <c r="X855" s="85"/>
      <c r="Y855" s="87"/>
      <c r="Z855" s="87"/>
      <c r="AA855" s="87"/>
      <c r="AB855" s="87"/>
      <c r="AC855" s="87"/>
      <c r="AD855" s="87"/>
    </row>
    <row r="856" ht="15.75" customHeight="1">
      <c r="G856" s="85"/>
      <c r="H856" s="85"/>
      <c r="I856" s="85"/>
      <c r="J856" s="85"/>
      <c r="K856" s="85"/>
      <c r="L856" s="85"/>
      <c r="M856" s="86"/>
      <c r="N856" s="86"/>
      <c r="O856" s="86"/>
      <c r="P856" s="86"/>
      <c r="Q856" s="86"/>
      <c r="R856" s="86"/>
      <c r="S856" s="85"/>
      <c r="T856" s="85"/>
      <c r="U856" s="85"/>
      <c r="V856" s="85"/>
      <c r="W856" s="85"/>
      <c r="X856" s="85"/>
      <c r="Y856" s="87"/>
      <c r="Z856" s="87"/>
      <c r="AA856" s="87"/>
      <c r="AB856" s="87"/>
      <c r="AC856" s="87"/>
      <c r="AD856" s="87"/>
    </row>
    <row r="857" ht="15.75" customHeight="1">
      <c r="G857" s="85"/>
      <c r="H857" s="85"/>
      <c r="I857" s="85"/>
      <c r="J857" s="85"/>
      <c r="K857" s="85"/>
      <c r="L857" s="85"/>
      <c r="M857" s="86"/>
      <c r="N857" s="86"/>
      <c r="O857" s="86"/>
      <c r="P857" s="86"/>
      <c r="Q857" s="86"/>
      <c r="R857" s="86"/>
      <c r="S857" s="85"/>
      <c r="T857" s="85"/>
      <c r="U857" s="85"/>
      <c r="V857" s="85"/>
      <c r="W857" s="85"/>
      <c r="X857" s="85"/>
      <c r="Y857" s="87"/>
      <c r="Z857" s="87"/>
      <c r="AA857" s="87"/>
      <c r="AB857" s="87"/>
      <c r="AC857" s="87"/>
      <c r="AD857" s="87"/>
    </row>
    <row r="858" ht="15.75" customHeight="1">
      <c r="G858" s="85"/>
      <c r="H858" s="85"/>
      <c r="I858" s="85"/>
      <c r="J858" s="85"/>
      <c r="K858" s="85"/>
      <c r="L858" s="85"/>
      <c r="M858" s="86"/>
      <c r="N858" s="86"/>
      <c r="O858" s="86"/>
      <c r="P858" s="86"/>
      <c r="Q858" s="86"/>
      <c r="R858" s="86"/>
      <c r="S858" s="85"/>
      <c r="T858" s="85"/>
      <c r="U858" s="85"/>
      <c r="V858" s="85"/>
      <c r="W858" s="85"/>
      <c r="X858" s="85"/>
      <c r="Y858" s="87"/>
      <c r="Z858" s="87"/>
      <c r="AA858" s="87"/>
      <c r="AB858" s="87"/>
      <c r="AC858" s="87"/>
      <c r="AD858" s="87"/>
    </row>
    <row r="859" ht="15.75" customHeight="1">
      <c r="G859" s="85"/>
      <c r="H859" s="85"/>
      <c r="I859" s="85"/>
      <c r="J859" s="85"/>
      <c r="K859" s="85"/>
      <c r="L859" s="85"/>
      <c r="M859" s="86"/>
      <c r="N859" s="86"/>
      <c r="O859" s="86"/>
      <c r="P859" s="86"/>
      <c r="Q859" s="86"/>
      <c r="R859" s="86"/>
      <c r="S859" s="85"/>
      <c r="T859" s="85"/>
      <c r="U859" s="85"/>
      <c r="V859" s="85"/>
      <c r="W859" s="85"/>
      <c r="X859" s="85"/>
      <c r="Y859" s="87"/>
      <c r="Z859" s="87"/>
      <c r="AA859" s="87"/>
      <c r="AB859" s="87"/>
      <c r="AC859" s="87"/>
      <c r="AD859" s="87"/>
    </row>
    <row r="860" ht="15.75" customHeight="1">
      <c r="G860" s="85"/>
      <c r="H860" s="85"/>
      <c r="I860" s="85"/>
      <c r="J860" s="85"/>
      <c r="K860" s="85"/>
      <c r="L860" s="85"/>
      <c r="M860" s="86"/>
      <c r="N860" s="86"/>
      <c r="O860" s="86"/>
      <c r="P860" s="86"/>
      <c r="Q860" s="86"/>
      <c r="R860" s="86"/>
      <c r="S860" s="85"/>
      <c r="T860" s="85"/>
      <c r="U860" s="85"/>
      <c r="V860" s="85"/>
      <c r="W860" s="85"/>
      <c r="X860" s="85"/>
      <c r="Y860" s="87"/>
      <c r="Z860" s="87"/>
      <c r="AA860" s="87"/>
      <c r="AB860" s="87"/>
      <c r="AC860" s="87"/>
      <c r="AD860" s="87"/>
    </row>
    <row r="861" ht="15.75" customHeight="1">
      <c r="G861" s="85"/>
      <c r="H861" s="85"/>
      <c r="I861" s="85"/>
      <c r="J861" s="85"/>
      <c r="K861" s="85"/>
      <c r="L861" s="85"/>
      <c r="M861" s="86"/>
      <c r="N861" s="86"/>
      <c r="O861" s="86"/>
      <c r="P861" s="86"/>
      <c r="Q861" s="86"/>
      <c r="R861" s="86"/>
      <c r="S861" s="85"/>
      <c r="T861" s="85"/>
      <c r="U861" s="85"/>
      <c r="V861" s="85"/>
      <c r="W861" s="85"/>
      <c r="X861" s="85"/>
      <c r="Y861" s="87"/>
      <c r="Z861" s="87"/>
      <c r="AA861" s="87"/>
      <c r="AB861" s="87"/>
      <c r="AC861" s="87"/>
      <c r="AD861" s="87"/>
    </row>
    <row r="862" ht="15.75" customHeight="1">
      <c r="G862" s="85"/>
      <c r="H862" s="85"/>
      <c r="I862" s="85"/>
      <c r="J862" s="85"/>
      <c r="K862" s="85"/>
      <c r="L862" s="85"/>
      <c r="M862" s="86"/>
      <c r="N862" s="86"/>
      <c r="O862" s="86"/>
      <c r="P862" s="86"/>
      <c r="Q862" s="86"/>
      <c r="R862" s="86"/>
      <c r="S862" s="85"/>
      <c r="T862" s="85"/>
      <c r="U862" s="85"/>
      <c r="V862" s="85"/>
      <c r="W862" s="85"/>
      <c r="X862" s="85"/>
      <c r="Y862" s="87"/>
      <c r="Z862" s="87"/>
      <c r="AA862" s="87"/>
      <c r="AB862" s="87"/>
      <c r="AC862" s="87"/>
      <c r="AD862" s="87"/>
    </row>
    <row r="863" ht="15.75" customHeight="1">
      <c r="G863" s="85"/>
      <c r="H863" s="85"/>
      <c r="I863" s="85"/>
      <c r="J863" s="85"/>
      <c r="K863" s="85"/>
      <c r="L863" s="85"/>
      <c r="M863" s="86"/>
      <c r="N863" s="86"/>
      <c r="O863" s="86"/>
      <c r="P863" s="86"/>
      <c r="Q863" s="86"/>
      <c r="R863" s="86"/>
      <c r="S863" s="85"/>
      <c r="T863" s="85"/>
      <c r="U863" s="85"/>
      <c r="V863" s="85"/>
      <c r="W863" s="85"/>
      <c r="X863" s="85"/>
      <c r="Y863" s="87"/>
      <c r="Z863" s="87"/>
      <c r="AA863" s="87"/>
      <c r="AB863" s="87"/>
      <c r="AC863" s="87"/>
      <c r="AD863" s="87"/>
    </row>
    <row r="864" ht="15.75" customHeight="1">
      <c r="G864" s="85"/>
      <c r="H864" s="85"/>
      <c r="I864" s="85"/>
      <c r="J864" s="85"/>
      <c r="K864" s="85"/>
      <c r="L864" s="85"/>
      <c r="M864" s="86"/>
      <c r="N864" s="86"/>
      <c r="O864" s="86"/>
      <c r="P864" s="86"/>
      <c r="Q864" s="86"/>
      <c r="R864" s="86"/>
      <c r="S864" s="85"/>
      <c r="T864" s="85"/>
      <c r="U864" s="85"/>
      <c r="V864" s="85"/>
      <c r="W864" s="85"/>
      <c r="X864" s="85"/>
      <c r="Y864" s="87"/>
      <c r="Z864" s="87"/>
      <c r="AA864" s="87"/>
      <c r="AB864" s="87"/>
      <c r="AC864" s="87"/>
      <c r="AD864" s="87"/>
    </row>
    <row r="865" ht="15.75" customHeight="1">
      <c r="G865" s="85"/>
      <c r="H865" s="85"/>
      <c r="I865" s="85"/>
      <c r="J865" s="85"/>
      <c r="K865" s="85"/>
      <c r="L865" s="85"/>
      <c r="M865" s="86"/>
      <c r="N865" s="86"/>
      <c r="O865" s="86"/>
      <c r="P865" s="86"/>
      <c r="Q865" s="86"/>
      <c r="R865" s="86"/>
      <c r="S865" s="85"/>
      <c r="T865" s="85"/>
      <c r="U865" s="85"/>
      <c r="V865" s="85"/>
      <c r="W865" s="85"/>
      <c r="X865" s="85"/>
      <c r="Y865" s="87"/>
      <c r="Z865" s="87"/>
      <c r="AA865" s="87"/>
      <c r="AB865" s="87"/>
      <c r="AC865" s="87"/>
      <c r="AD865" s="87"/>
    </row>
    <row r="866" ht="15.75" customHeight="1">
      <c r="G866" s="85"/>
      <c r="H866" s="85"/>
      <c r="I866" s="85"/>
      <c r="J866" s="85"/>
      <c r="K866" s="85"/>
      <c r="L866" s="85"/>
      <c r="M866" s="86"/>
      <c r="N866" s="86"/>
      <c r="O866" s="86"/>
      <c r="P866" s="86"/>
      <c r="Q866" s="86"/>
      <c r="R866" s="86"/>
      <c r="S866" s="85"/>
      <c r="T866" s="85"/>
      <c r="U866" s="85"/>
      <c r="V866" s="85"/>
      <c r="W866" s="85"/>
      <c r="X866" s="85"/>
      <c r="Y866" s="87"/>
      <c r="Z866" s="87"/>
      <c r="AA866" s="87"/>
      <c r="AB866" s="87"/>
      <c r="AC866" s="87"/>
      <c r="AD866" s="87"/>
    </row>
    <row r="867" ht="15.75" customHeight="1">
      <c r="G867" s="85"/>
      <c r="H867" s="85"/>
      <c r="I867" s="85"/>
      <c r="J867" s="85"/>
      <c r="K867" s="85"/>
      <c r="L867" s="85"/>
      <c r="M867" s="86"/>
      <c r="N867" s="86"/>
      <c r="O867" s="86"/>
      <c r="P867" s="86"/>
      <c r="Q867" s="86"/>
      <c r="R867" s="86"/>
      <c r="S867" s="85"/>
      <c r="T867" s="85"/>
      <c r="U867" s="85"/>
      <c r="V867" s="85"/>
      <c r="W867" s="85"/>
      <c r="X867" s="85"/>
      <c r="Y867" s="87"/>
      <c r="Z867" s="87"/>
      <c r="AA867" s="87"/>
      <c r="AB867" s="87"/>
      <c r="AC867" s="87"/>
      <c r="AD867" s="87"/>
    </row>
    <row r="868" ht="15.75" customHeight="1">
      <c r="G868" s="85"/>
      <c r="H868" s="85"/>
      <c r="I868" s="85"/>
      <c r="J868" s="85"/>
      <c r="K868" s="85"/>
      <c r="L868" s="85"/>
      <c r="M868" s="86"/>
      <c r="N868" s="86"/>
      <c r="O868" s="86"/>
      <c r="P868" s="86"/>
      <c r="Q868" s="86"/>
      <c r="R868" s="86"/>
      <c r="S868" s="85"/>
      <c r="T868" s="85"/>
      <c r="U868" s="85"/>
      <c r="V868" s="85"/>
      <c r="W868" s="85"/>
      <c r="X868" s="85"/>
      <c r="Y868" s="87"/>
      <c r="Z868" s="87"/>
      <c r="AA868" s="87"/>
      <c r="AB868" s="87"/>
      <c r="AC868" s="87"/>
      <c r="AD868" s="87"/>
    </row>
    <row r="869" ht="15.75" customHeight="1">
      <c r="G869" s="85"/>
      <c r="H869" s="85"/>
      <c r="I869" s="85"/>
      <c r="J869" s="85"/>
      <c r="K869" s="85"/>
      <c r="L869" s="85"/>
      <c r="M869" s="86"/>
      <c r="N869" s="86"/>
      <c r="O869" s="86"/>
      <c r="P869" s="86"/>
      <c r="Q869" s="86"/>
      <c r="R869" s="86"/>
      <c r="S869" s="85"/>
      <c r="T869" s="85"/>
      <c r="U869" s="85"/>
      <c r="V869" s="85"/>
      <c r="W869" s="85"/>
      <c r="X869" s="85"/>
      <c r="Y869" s="87"/>
      <c r="Z869" s="87"/>
      <c r="AA869" s="87"/>
      <c r="AB869" s="87"/>
      <c r="AC869" s="87"/>
      <c r="AD869" s="87"/>
    </row>
    <row r="870" ht="15.75" customHeight="1">
      <c r="G870" s="85"/>
      <c r="H870" s="85"/>
      <c r="I870" s="85"/>
      <c r="J870" s="85"/>
      <c r="K870" s="85"/>
      <c r="L870" s="85"/>
      <c r="M870" s="86"/>
      <c r="N870" s="86"/>
      <c r="O870" s="86"/>
      <c r="P870" s="86"/>
      <c r="Q870" s="86"/>
      <c r="R870" s="86"/>
      <c r="S870" s="85"/>
      <c r="T870" s="85"/>
      <c r="U870" s="85"/>
      <c r="V870" s="85"/>
      <c r="W870" s="85"/>
      <c r="X870" s="85"/>
      <c r="Y870" s="87"/>
      <c r="Z870" s="87"/>
      <c r="AA870" s="87"/>
      <c r="AB870" s="87"/>
      <c r="AC870" s="87"/>
      <c r="AD870" s="87"/>
    </row>
    <row r="871" ht="15.75" customHeight="1">
      <c r="G871" s="85"/>
      <c r="H871" s="85"/>
      <c r="I871" s="85"/>
      <c r="J871" s="85"/>
      <c r="K871" s="85"/>
      <c r="L871" s="85"/>
      <c r="M871" s="86"/>
      <c r="N871" s="86"/>
      <c r="O871" s="86"/>
      <c r="P871" s="86"/>
      <c r="Q871" s="86"/>
      <c r="R871" s="86"/>
      <c r="S871" s="85"/>
      <c r="T871" s="85"/>
      <c r="U871" s="85"/>
      <c r="V871" s="85"/>
      <c r="W871" s="85"/>
      <c r="X871" s="85"/>
      <c r="Y871" s="87"/>
      <c r="Z871" s="87"/>
      <c r="AA871" s="87"/>
      <c r="AB871" s="87"/>
      <c r="AC871" s="87"/>
      <c r="AD871" s="87"/>
    </row>
    <row r="872" ht="15.75" customHeight="1">
      <c r="G872" s="85"/>
      <c r="H872" s="85"/>
      <c r="I872" s="85"/>
      <c r="J872" s="85"/>
      <c r="K872" s="85"/>
      <c r="L872" s="85"/>
      <c r="M872" s="86"/>
      <c r="N872" s="86"/>
      <c r="O872" s="86"/>
      <c r="P872" s="86"/>
      <c r="Q872" s="86"/>
      <c r="R872" s="86"/>
      <c r="S872" s="85"/>
      <c r="T872" s="85"/>
      <c r="U872" s="85"/>
      <c r="V872" s="85"/>
      <c r="W872" s="85"/>
      <c r="X872" s="85"/>
      <c r="Y872" s="87"/>
      <c r="Z872" s="87"/>
      <c r="AA872" s="87"/>
      <c r="AB872" s="87"/>
      <c r="AC872" s="87"/>
      <c r="AD872" s="87"/>
    </row>
    <row r="873" ht="15.75" customHeight="1">
      <c r="G873" s="85"/>
      <c r="H873" s="85"/>
      <c r="I873" s="85"/>
      <c r="J873" s="85"/>
      <c r="K873" s="85"/>
      <c r="L873" s="85"/>
      <c r="M873" s="86"/>
      <c r="N873" s="86"/>
      <c r="O873" s="86"/>
      <c r="P873" s="86"/>
      <c r="Q873" s="86"/>
      <c r="R873" s="86"/>
      <c r="S873" s="85"/>
      <c r="T873" s="85"/>
      <c r="U873" s="85"/>
      <c r="V873" s="85"/>
      <c r="W873" s="85"/>
      <c r="X873" s="85"/>
      <c r="Y873" s="87"/>
      <c r="Z873" s="87"/>
      <c r="AA873" s="87"/>
      <c r="AB873" s="87"/>
      <c r="AC873" s="87"/>
      <c r="AD873" s="87"/>
    </row>
    <row r="874" ht="15.75" customHeight="1">
      <c r="G874" s="85"/>
      <c r="H874" s="85"/>
      <c r="I874" s="85"/>
      <c r="J874" s="85"/>
      <c r="K874" s="85"/>
      <c r="L874" s="85"/>
      <c r="M874" s="86"/>
      <c r="N874" s="86"/>
      <c r="O874" s="86"/>
      <c r="P874" s="86"/>
      <c r="Q874" s="86"/>
      <c r="R874" s="86"/>
      <c r="S874" s="85"/>
      <c r="T874" s="85"/>
      <c r="U874" s="85"/>
      <c r="V874" s="85"/>
      <c r="W874" s="85"/>
      <c r="X874" s="85"/>
      <c r="Y874" s="87"/>
      <c r="Z874" s="87"/>
      <c r="AA874" s="87"/>
      <c r="AB874" s="87"/>
      <c r="AC874" s="87"/>
      <c r="AD874" s="87"/>
    </row>
    <row r="875" ht="15.75" customHeight="1">
      <c r="G875" s="85"/>
      <c r="H875" s="85"/>
      <c r="I875" s="85"/>
      <c r="J875" s="85"/>
      <c r="K875" s="85"/>
      <c r="L875" s="85"/>
      <c r="M875" s="86"/>
      <c r="N875" s="86"/>
      <c r="O875" s="86"/>
      <c r="P875" s="86"/>
      <c r="Q875" s="86"/>
      <c r="R875" s="86"/>
      <c r="S875" s="85"/>
      <c r="T875" s="85"/>
      <c r="U875" s="85"/>
      <c r="V875" s="85"/>
      <c r="W875" s="85"/>
      <c r="X875" s="85"/>
      <c r="Y875" s="87"/>
      <c r="Z875" s="87"/>
      <c r="AA875" s="87"/>
      <c r="AB875" s="87"/>
      <c r="AC875" s="87"/>
      <c r="AD875" s="87"/>
    </row>
    <row r="876" ht="15.75" customHeight="1">
      <c r="G876" s="85"/>
      <c r="H876" s="85"/>
      <c r="I876" s="85"/>
      <c r="J876" s="85"/>
      <c r="K876" s="85"/>
      <c r="L876" s="85"/>
      <c r="M876" s="86"/>
      <c r="N876" s="86"/>
      <c r="O876" s="86"/>
      <c r="P876" s="86"/>
      <c r="Q876" s="86"/>
      <c r="R876" s="86"/>
      <c r="S876" s="85"/>
      <c r="T876" s="85"/>
      <c r="U876" s="85"/>
      <c r="V876" s="85"/>
      <c r="W876" s="85"/>
      <c r="X876" s="85"/>
      <c r="Y876" s="87"/>
      <c r="Z876" s="87"/>
      <c r="AA876" s="87"/>
      <c r="AB876" s="87"/>
      <c r="AC876" s="87"/>
      <c r="AD876" s="87"/>
    </row>
    <row r="877" ht="15.75" customHeight="1">
      <c r="G877" s="85"/>
      <c r="H877" s="85"/>
      <c r="I877" s="85"/>
      <c r="J877" s="85"/>
      <c r="K877" s="85"/>
      <c r="L877" s="85"/>
      <c r="M877" s="86"/>
      <c r="N877" s="86"/>
      <c r="O877" s="86"/>
      <c r="P877" s="86"/>
      <c r="Q877" s="86"/>
      <c r="R877" s="86"/>
      <c r="S877" s="85"/>
      <c r="T877" s="85"/>
      <c r="U877" s="85"/>
      <c r="V877" s="85"/>
      <c r="W877" s="85"/>
      <c r="X877" s="85"/>
      <c r="Y877" s="87"/>
      <c r="Z877" s="87"/>
      <c r="AA877" s="87"/>
      <c r="AB877" s="87"/>
      <c r="AC877" s="87"/>
      <c r="AD877" s="87"/>
    </row>
    <row r="878" ht="15.75" customHeight="1">
      <c r="G878" s="85"/>
      <c r="H878" s="85"/>
      <c r="I878" s="85"/>
      <c r="J878" s="85"/>
      <c r="K878" s="85"/>
      <c r="L878" s="85"/>
      <c r="M878" s="86"/>
      <c r="N878" s="86"/>
      <c r="O878" s="86"/>
      <c r="P878" s="86"/>
      <c r="Q878" s="86"/>
      <c r="R878" s="86"/>
      <c r="S878" s="85"/>
      <c r="T878" s="85"/>
      <c r="U878" s="85"/>
      <c r="V878" s="85"/>
      <c r="W878" s="85"/>
      <c r="X878" s="85"/>
      <c r="Y878" s="87"/>
      <c r="Z878" s="87"/>
      <c r="AA878" s="87"/>
      <c r="AB878" s="87"/>
      <c r="AC878" s="87"/>
      <c r="AD878" s="87"/>
    </row>
    <row r="879" ht="15.75" customHeight="1">
      <c r="G879" s="85"/>
      <c r="H879" s="85"/>
      <c r="I879" s="85"/>
      <c r="J879" s="85"/>
      <c r="K879" s="85"/>
      <c r="L879" s="85"/>
      <c r="M879" s="86"/>
      <c r="N879" s="86"/>
      <c r="O879" s="86"/>
      <c r="P879" s="86"/>
      <c r="Q879" s="86"/>
      <c r="R879" s="86"/>
      <c r="S879" s="85"/>
      <c r="T879" s="85"/>
      <c r="U879" s="85"/>
      <c r="V879" s="85"/>
      <c r="W879" s="85"/>
      <c r="X879" s="85"/>
      <c r="Y879" s="87"/>
      <c r="Z879" s="87"/>
      <c r="AA879" s="87"/>
      <c r="AB879" s="87"/>
      <c r="AC879" s="87"/>
      <c r="AD879" s="87"/>
    </row>
    <row r="880" ht="15.75" customHeight="1">
      <c r="G880" s="85"/>
      <c r="H880" s="85"/>
      <c r="I880" s="85"/>
      <c r="J880" s="85"/>
      <c r="K880" s="85"/>
      <c r="L880" s="85"/>
      <c r="M880" s="86"/>
      <c r="N880" s="86"/>
      <c r="O880" s="86"/>
      <c r="P880" s="86"/>
      <c r="Q880" s="86"/>
      <c r="R880" s="86"/>
      <c r="S880" s="85"/>
      <c r="T880" s="85"/>
      <c r="U880" s="85"/>
      <c r="V880" s="85"/>
      <c r="W880" s="85"/>
      <c r="X880" s="85"/>
      <c r="Y880" s="87"/>
      <c r="Z880" s="87"/>
      <c r="AA880" s="87"/>
      <c r="AB880" s="87"/>
      <c r="AC880" s="87"/>
      <c r="AD880" s="87"/>
    </row>
    <row r="881" ht="15.75" customHeight="1">
      <c r="G881" s="85"/>
      <c r="H881" s="85"/>
      <c r="I881" s="85"/>
      <c r="J881" s="85"/>
      <c r="K881" s="85"/>
      <c r="L881" s="85"/>
      <c r="M881" s="86"/>
      <c r="N881" s="86"/>
      <c r="O881" s="86"/>
      <c r="P881" s="86"/>
      <c r="Q881" s="86"/>
      <c r="R881" s="86"/>
      <c r="S881" s="85"/>
      <c r="T881" s="85"/>
      <c r="U881" s="85"/>
      <c r="V881" s="85"/>
      <c r="W881" s="85"/>
      <c r="X881" s="85"/>
      <c r="Y881" s="87"/>
      <c r="Z881" s="87"/>
      <c r="AA881" s="87"/>
      <c r="AB881" s="87"/>
      <c r="AC881" s="87"/>
      <c r="AD881" s="87"/>
    </row>
    <row r="882" ht="15.75" customHeight="1">
      <c r="G882" s="85"/>
      <c r="H882" s="85"/>
      <c r="I882" s="85"/>
      <c r="J882" s="85"/>
      <c r="K882" s="85"/>
      <c r="L882" s="85"/>
      <c r="M882" s="86"/>
      <c r="N882" s="86"/>
      <c r="O882" s="86"/>
      <c r="P882" s="86"/>
      <c r="Q882" s="86"/>
      <c r="R882" s="86"/>
      <c r="S882" s="85"/>
      <c r="T882" s="85"/>
      <c r="U882" s="85"/>
      <c r="V882" s="85"/>
      <c r="W882" s="85"/>
      <c r="X882" s="85"/>
      <c r="Y882" s="87"/>
      <c r="Z882" s="87"/>
      <c r="AA882" s="87"/>
      <c r="AB882" s="87"/>
      <c r="AC882" s="87"/>
      <c r="AD882" s="87"/>
    </row>
    <row r="883" ht="15.75" customHeight="1">
      <c r="G883" s="85"/>
      <c r="H883" s="85"/>
      <c r="I883" s="85"/>
      <c r="J883" s="85"/>
      <c r="K883" s="85"/>
      <c r="L883" s="85"/>
      <c r="M883" s="86"/>
      <c r="N883" s="86"/>
      <c r="O883" s="86"/>
      <c r="P883" s="86"/>
      <c r="Q883" s="86"/>
      <c r="R883" s="86"/>
      <c r="S883" s="85"/>
      <c r="T883" s="85"/>
      <c r="U883" s="85"/>
      <c r="V883" s="85"/>
      <c r="W883" s="85"/>
      <c r="X883" s="85"/>
      <c r="Y883" s="87"/>
      <c r="Z883" s="87"/>
      <c r="AA883" s="87"/>
      <c r="AB883" s="87"/>
      <c r="AC883" s="87"/>
      <c r="AD883" s="87"/>
    </row>
    <row r="884" ht="15.75" customHeight="1">
      <c r="G884" s="85"/>
      <c r="H884" s="85"/>
      <c r="I884" s="85"/>
      <c r="J884" s="85"/>
      <c r="K884" s="85"/>
      <c r="L884" s="85"/>
      <c r="M884" s="86"/>
      <c r="N884" s="86"/>
      <c r="O884" s="86"/>
      <c r="P884" s="86"/>
      <c r="Q884" s="86"/>
      <c r="R884" s="86"/>
      <c r="S884" s="85"/>
      <c r="T884" s="85"/>
      <c r="U884" s="85"/>
      <c r="V884" s="85"/>
      <c r="W884" s="85"/>
      <c r="X884" s="85"/>
      <c r="Y884" s="87"/>
      <c r="Z884" s="87"/>
      <c r="AA884" s="87"/>
      <c r="AB884" s="87"/>
      <c r="AC884" s="87"/>
      <c r="AD884" s="87"/>
    </row>
    <row r="885" ht="15.75" customHeight="1">
      <c r="G885" s="85"/>
      <c r="H885" s="85"/>
      <c r="I885" s="85"/>
      <c r="J885" s="85"/>
      <c r="K885" s="85"/>
      <c r="L885" s="85"/>
      <c r="M885" s="86"/>
      <c r="N885" s="86"/>
      <c r="O885" s="86"/>
      <c r="P885" s="86"/>
      <c r="Q885" s="86"/>
      <c r="R885" s="86"/>
      <c r="S885" s="85"/>
      <c r="T885" s="85"/>
      <c r="U885" s="85"/>
      <c r="V885" s="85"/>
      <c r="W885" s="85"/>
      <c r="X885" s="85"/>
      <c r="Y885" s="87"/>
      <c r="Z885" s="87"/>
      <c r="AA885" s="87"/>
      <c r="AB885" s="87"/>
      <c r="AC885" s="87"/>
      <c r="AD885" s="87"/>
    </row>
    <row r="886" ht="15.75" customHeight="1">
      <c r="G886" s="85"/>
      <c r="H886" s="85"/>
      <c r="I886" s="85"/>
      <c r="J886" s="85"/>
      <c r="K886" s="85"/>
      <c r="L886" s="85"/>
      <c r="M886" s="86"/>
      <c r="N886" s="86"/>
      <c r="O886" s="86"/>
      <c r="P886" s="86"/>
      <c r="Q886" s="86"/>
      <c r="R886" s="86"/>
      <c r="S886" s="85"/>
      <c r="T886" s="85"/>
      <c r="U886" s="85"/>
      <c r="V886" s="85"/>
      <c r="W886" s="85"/>
      <c r="X886" s="85"/>
      <c r="Y886" s="87"/>
      <c r="Z886" s="87"/>
      <c r="AA886" s="87"/>
      <c r="AB886" s="87"/>
      <c r="AC886" s="87"/>
      <c r="AD886" s="87"/>
    </row>
    <row r="887" ht="15.75" customHeight="1">
      <c r="G887" s="85"/>
      <c r="H887" s="85"/>
      <c r="I887" s="85"/>
      <c r="J887" s="85"/>
      <c r="K887" s="85"/>
      <c r="L887" s="85"/>
      <c r="M887" s="86"/>
      <c r="N887" s="86"/>
      <c r="O887" s="86"/>
      <c r="P887" s="86"/>
      <c r="Q887" s="86"/>
      <c r="R887" s="86"/>
      <c r="S887" s="85"/>
      <c r="T887" s="85"/>
      <c r="U887" s="85"/>
      <c r="V887" s="85"/>
      <c r="W887" s="85"/>
      <c r="X887" s="85"/>
      <c r="Y887" s="87"/>
      <c r="Z887" s="87"/>
      <c r="AA887" s="87"/>
      <c r="AB887" s="87"/>
      <c r="AC887" s="87"/>
      <c r="AD887" s="87"/>
    </row>
    <row r="888" ht="15.75" customHeight="1">
      <c r="G888" s="85"/>
      <c r="H888" s="85"/>
      <c r="I888" s="85"/>
      <c r="J888" s="85"/>
      <c r="K888" s="85"/>
      <c r="L888" s="85"/>
      <c r="M888" s="86"/>
      <c r="N888" s="86"/>
      <c r="O888" s="86"/>
      <c r="P888" s="86"/>
      <c r="Q888" s="86"/>
      <c r="R888" s="86"/>
      <c r="S888" s="85"/>
      <c r="T888" s="85"/>
      <c r="U888" s="85"/>
      <c r="V888" s="85"/>
      <c r="W888" s="85"/>
      <c r="X888" s="85"/>
      <c r="Y888" s="87"/>
      <c r="Z888" s="87"/>
      <c r="AA888" s="87"/>
      <c r="AB888" s="87"/>
      <c r="AC888" s="87"/>
      <c r="AD888" s="87"/>
    </row>
    <row r="889" ht="15.75" customHeight="1">
      <c r="G889" s="85"/>
      <c r="H889" s="85"/>
      <c r="I889" s="85"/>
      <c r="J889" s="85"/>
      <c r="K889" s="85"/>
      <c r="L889" s="85"/>
      <c r="M889" s="86"/>
      <c r="N889" s="86"/>
      <c r="O889" s="86"/>
      <c r="P889" s="86"/>
      <c r="Q889" s="86"/>
      <c r="R889" s="86"/>
      <c r="S889" s="85"/>
      <c r="T889" s="85"/>
      <c r="U889" s="85"/>
      <c r="V889" s="85"/>
      <c r="W889" s="85"/>
      <c r="X889" s="85"/>
      <c r="Y889" s="87"/>
      <c r="Z889" s="87"/>
      <c r="AA889" s="87"/>
      <c r="AB889" s="87"/>
      <c r="AC889" s="87"/>
      <c r="AD889" s="87"/>
    </row>
    <row r="890" ht="15.75" customHeight="1">
      <c r="G890" s="85"/>
      <c r="H890" s="85"/>
      <c r="I890" s="85"/>
      <c r="J890" s="85"/>
      <c r="K890" s="85"/>
      <c r="L890" s="85"/>
      <c r="M890" s="86"/>
      <c r="N890" s="86"/>
      <c r="O890" s="86"/>
      <c r="P890" s="86"/>
      <c r="Q890" s="86"/>
      <c r="R890" s="86"/>
      <c r="S890" s="85"/>
      <c r="T890" s="85"/>
      <c r="U890" s="85"/>
      <c r="V890" s="85"/>
      <c r="W890" s="85"/>
      <c r="X890" s="85"/>
      <c r="Y890" s="87"/>
      <c r="Z890" s="87"/>
      <c r="AA890" s="87"/>
      <c r="AB890" s="87"/>
      <c r="AC890" s="87"/>
      <c r="AD890" s="87"/>
    </row>
    <row r="891" ht="15.75" customHeight="1">
      <c r="G891" s="85"/>
      <c r="H891" s="85"/>
      <c r="I891" s="85"/>
      <c r="J891" s="85"/>
      <c r="K891" s="85"/>
      <c r="L891" s="85"/>
      <c r="M891" s="86"/>
      <c r="N891" s="86"/>
      <c r="O891" s="86"/>
      <c r="P891" s="86"/>
      <c r="Q891" s="86"/>
      <c r="R891" s="86"/>
      <c r="S891" s="85"/>
      <c r="T891" s="85"/>
      <c r="U891" s="85"/>
      <c r="V891" s="85"/>
      <c r="W891" s="85"/>
      <c r="X891" s="85"/>
      <c r="Y891" s="87"/>
      <c r="Z891" s="87"/>
      <c r="AA891" s="87"/>
      <c r="AB891" s="87"/>
      <c r="AC891" s="87"/>
      <c r="AD891" s="87"/>
    </row>
    <row r="892" ht="15.75" customHeight="1">
      <c r="G892" s="85"/>
      <c r="H892" s="85"/>
      <c r="I892" s="85"/>
      <c r="J892" s="85"/>
      <c r="K892" s="85"/>
      <c r="L892" s="85"/>
      <c r="M892" s="86"/>
      <c r="N892" s="86"/>
      <c r="O892" s="86"/>
      <c r="P892" s="86"/>
      <c r="Q892" s="86"/>
      <c r="R892" s="86"/>
      <c r="S892" s="85"/>
      <c r="T892" s="85"/>
      <c r="U892" s="85"/>
      <c r="V892" s="85"/>
      <c r="W892" s="85"/>
      <c r="X892" s="85"/>
      <c r="Y892" s="87"/>
      <c r="Z892" s="87"/>
      <c r="AA892" s="87"/>
      <c r="AB892" s="87"/>
      <c r="AC892" s="87"/>
      <c r="AD892" s="87"/>
    </row>
    <row r="893" ht="15.75" customHeight="1">
      <c r="G893" s="85"/>
      <c r="H893" s="85"/>
      <c r="I893" s="85"/>
      <c r="J893" s="85"/>
      <c r="K893" s="85"/>
      <c r="L893" s="85"/>
      <c r="M893" s="86"/>
      <c r="N893" s="86"/>
      <c r="O893" s="86"/>
      <c r="P893" s="86"/>
      <c r="Q893" s="86"/>
      <c r="R893" s="86"/>
      <c r="S893" s="85"/>
      <c r="T893" s="85"/>
      <c r="U893" s="85"/>
      <c r="V893" s="85"/>
      <c r="W893" s="85"/>
      <c r="X893" s="85"/>
      <c r="Y893" s="87"/>
      <c r="Z893" s="87"/>
      <c r="AA893" s="87"/>
      <c r="AB893" s="87"/>
      <c r="AC893" s="87"/>
      <c r="AD893" s="87"/>
    </row>
    <row r="894" ht="15.75" customHeight="1">
      <c r="G894" s="85"/>
      <c r="H894" s="85"/>
      <c r="I894" s="85"/>
      <c r="J894" s="85"/>
      <c r="K894" s="85"/>
      <c r="L894" s="85"/>
      <c r="M894" s="86"/>
      <c r="N894" s="86"/>
      <c r="O894" s="86"/>
      <c r="P894" s="86"/>
      <c r="Q894" s="86"/>
      <c r="R894" s="86"/>
      <c r="S894" s="85"/>
      <c r="T894" s="85"/>
      <c r="U894" s="85"/>
      <c r="V894" s="85"/>
      <c r="W894" s="85"/>
      <c r="X894" s="85"/>
      <c r="Y894" s="87"/>
      <c r="Z894" s="87"/>
      <c r="AA894" s="87"/>
      <c r="AB894" s="87"/>
      <c r="AC894" s="87"/>
      <c r="AD894" s="87"/>
    </row>
    <row r="895" ht="15.75" customHeight="1">
      <c r="G895" s="85"/>
      <c r="H895" s="85"/>
      <c r="I895" s="85"/>
      <c r="J895" s="85"/>
      <c r="K895" s="85"/>
      <c r="L895" s="85"/>
      <c r="M895" s="86"/>
      <c r="N895" s="86"/>
      <c r="O895" s="86"/>
      <c r="P895" s="86"/>
      <c r="Q895" s="86"/>
      <c r="R895" s="86"/>
      <c r="S895" s="85"/>
      <c r="T895" s="85"/>
      <c r="U895" s="85"/>
      <c r="V895" s="85"/>
      <c r="W895" s="85"/>
      <c r="X895" s="85"/>
      <c r="Y895" s="87"/>
      <c r="Z895" s="87"/>
      <c r="AA895" s="87"/>
      <c r="AB895" s="87"/>
      <c r="AC895" s="87"/>
      <c r="AD895" s="87"/>
    </row>
    <row r="896" ht="15.75" customHeight="1">
      <c r="G896" s="85"/>
      <c r="H896" s="85"/>
      <c r="I896" s="85"/>
      <c r="J896" s="85"/>
      <c r="K896" s="85"/>
      <c r="L896" s="85"/>
      <c r="M896" s="86"/>
      <c r="N896" s="86"/>
      <c r="O896" s="86"/>
      <c r="P896" s="86"/>
      <c r="Q896" s="86"/>
      <c r="R896" s="86"/>
      <c r="S896" s="85"/>
      <c r="T896" s="85"/>
      <c r="U896" s="85"/>
      <c r="V896" s="85"/>
      <c r="W896" s="85"/>
      <c r="X896" s="85"/>
      <c r="Y896" s="87"/>
      <c r="Z896" s="87"/>
      <c r="AA896" s="87"/>
      <c r="AB896" s="87"/>
      <c r="AC896" s="87"/>
      <c r="AD896" s="87"/>
    </row>
    <row r="897" ht="15.75" customHeight="1">
      <c r="G897" s="85"/>
      <c r="H897" s="85"/>
      <c r="I897" s="85"/>
      <c r="J897" s="85"/>
      <c r="K897" s="85"/>
      <c r="L897" s="85"/>
      <c r="M897" s="86"/>
      <c r="N897" s="86"/>
      <c r="O897" s="86"/>
      <c r="P897" s="86"/>
      <c r="Q897" s="86"/>
      <c r="R897" s="86"/>
      <c r="S897" s="85"/>
      <c r="T897" s="85"/>
      <c r="U897" s="85"/>
      <c r="V897" s="85"/>
      <c r="W897" s="85"/>
      <c r="X897" s="85"/>
      <c r="Y897" s="87"/>
      <c r="Z897" s="87"/>
      <c r="AA897" s="87"/>
      <c r="AB897" s="87"/>
      <c r="AC897" s="87"/>
      <c r="AD897" s="87"/>
    </row>
    <row r="898" ht="15.75" customHeight="1">
      <c r="G898" s="85"/>
      <c r="H898" s="85"/>
      <c r="I898" s="85"/>
      <c r="J898" s="85"/>
      <c r="K898" s="85"/>
      <c r="L898" s="85"/>
      <c r="M898" s="86"/>
      <c r="N898" s="86"/>
      <c r="O898" s="86"/>
      <c r="P898" s="86"/>
      <c r="Q898" s="86"/>
      <c r="R898" s="86"/>
      <c r="S898" s="85"/>
      <c r="T898" s="85"/>
      <c r="U898" s="85"/>
      <c r="V898" s="85"/>
      <c r="W898" s="85"/>
      <c r="X898" s="85"/>
      <c r="Y898" s="87"/>
      <c r="Z898" s="87"/>
      <c r="AA898" s="87"/>
      <c r="AB898" s="87"/>
      <c r="AC898" s="87"/>
      <c r="AD898" s="87"/>
    </row>
    <row r="899" ht="15.75" customHeight="1">
      <c r="G899" s="85"/>
      <c r="H899" s="85"/>
      <c r="I899" s="85"/>
      <c r="J899" s="85"/>
      <c r="K899" s="85"/>
      <c r="L899" s="85"/>
      <c r="M899" s="86"/>
      <c r="N899" s="86"/>
      <c r="O899" s="86"/>
      <c r="P899" s="86"/>
      <c r="Q899" s="86"/>
      <c r="R899" s="86"/>
      <c r="S899" s="85"/>
      <c r="T899" s="85"/>
      <c r="U899" s="85"/>
      <c r="V899" s="85"/>
      <c r="W899" s="85"/>
      <c r="X899" s="85"/>
      <c r="Y899" s="87"/>
      <c r="Z899" s="87"/>
      <c r="AA899" s="87"/>
      <c r="AB899" s="87"/>
      <c r="AC899" s="87"/>
      <c r="AD899" s="87"/>
    </row>
    <row r="900" ht="15.75" customHeight="1">
      <c r="G900" s="85"/>
      <c r="H900" s="85"/>
      <c r="I900" s="85"/>
      <c r="J900" s="85"/>
      <c r="K900" s="85"/>
      <c r="L900" s="85"/>
      <c r="M900" s="86"/>
      <c r="N900" s="86"/>
      <c r="O900" s="86"/>
      <c r="P900" s="86"/>
      <c r="Q900" s="86"/>
      <c r="R900" s="86"/>
      <c r="S900" s="85"/>
      <c r="T900" s="85"/>
      <c r="U900" s="85"/>
      <c r="V900" s="85"/>
      <c r="W900" s="85"/>
      <c r="X900" s="85"/>
      <c r="Y900" s="87"/>
      <c r="Z900" s="87"/>
      <c r="AA900" s="87"/>
      <c r="AB900" s="87"/>
      <c r="AC900" s="87"/>
      <c r="AD900" s="87"/>
    </row>
    <row r="901" ht="15.75" customHeight="1">
      <c r="G901" s="85"/>
      <c r="H901" s="85"/>
      <c r="I901" s="85"/>
      <c r="J901" s="85"/>
      <c r="K901" s="85"/>
      <c r="L901" s="85"/>
      <c r="M901" s="86"/>
      <c r="N901" s="86"/>
      <c r="O901" s="86"/>
      <c r="P901" s="86"/>
      <c r="Q901" s="86"/>
      <c r="R901" s="86"/>
      <c r="S901" s="85"/>
      <c r="T901" s="85"/>
      <c r="U901" s="85"/>
      <c r="V901" s="85"/>
      <c r="W901" s="85"/>
      <c r="X901" s="85"/>
      <c r="Y901" s="87"/>
      <c r="Z901" s="87"/>
      <c r="AA901" s="87"/>
      <c r="AB901" s="87"/>
      <c r="AC901" s="87"/>
      <c r="AD901" s="87"/>
    </row>
    <row r="902" ht="15.75" customHeight="1">
      <c r="G902" s="85"/>
      <c r="H902" s="85"/>
      <c r="I902" s="85"/>
      <c r="J902" s="85"/>
      <c r="K902" s="85"/>
      <c r="L902" s="85"/>
      <c r="M902" s="86"/>
      <c r="N902" s="86"/>
      <c r="O902" s="86"/>
      <c r="P902" s="86"/>
      <c r="Q902" s="86"/>
      <c r="R902" s="86"/>
      <c r="S902" s="85"/>
      <c r="T902" s="85"/>
      <c r="U902" s="85"/>
      <c r="V902" s="85"/>
      <c r="W902" s="85"/>
      <c r="X902" s="85"/>
      <c r="Y902" s="87"/>
      <c r="Z902" s="87"/>
      <c r="AA902" s="87"/>
      <c r="AB902" s="87"/>
      <c r="AC902" s="87"/>
      <c r="AD902" s="87"/>
    </row>
    <row r="903" ht="15.75" customHeight="1">
      <c r="G903" s="85"/>
      <c r="H903" s="85"/>
      <c r="I903" s="85"/>
      <c r="J903" s="85"/>
      <c r="K903" s="85"/>
      <c r="L903" s="85"/>
      <c r="M903" s="86"/>
      <c r="N903" s="86"/>
      <c r="O903" s="86"/>
      <c r="P903" s="86"/>
      <c r="Q903" s="86"/>
      <c r="R903" s="86"/>
      <c r="S903" s="85"/>
      <c r="T903" s="85"/>
      <c r="U903" s="85"/>
      <c r="V903" s="85"/>
      <c r="W903" s="85"/>
      <c r="X903" s="85"/>
      <c r="Y903" s="87"/>
      <c r="Z903" s="87"/>
      <c r="AA903" s="87"/>
      <c r="AB903" s="87"/>
      <c r="AC903" s="87"/>
      <c r="AD903" s="87"/>
    </row>
    <row r="904" ht="15.75" customHeight="1">
      <c r="G904" s="85"/>
      <c r="H904" s="85"/>
      <c r="I904" s="85"/>
      <c r="J904" s="85"/>
      <c r="K904" s="85"/>
      <c r="L904" s="85"/>
      <c r="M904" s="86"/>
      <c r="N904" s="86"/>
      <c r="O904" s="86"/>
      <c r="P904" s="86"/>
      <c r="Q904" s="86"/>
      <c r="R904" s="86"/>
      <c r="S904" s="85"/>
      <c r="T904" s="85"/>
      <c r="U904" s="85"/>
      <c r="V904" s="85"/>
      <c r="W904" s="85"/>
      <c r="X904" s="85"/>
      <c r="Y904" s="87"/>
      <c r="Z904" s="87"/>
      <c r="AA904" s="87"/>
      <c r="AB904" s="87"/>
      <c r="AC904" s="87"/>
      <c r="AD904" s="87"/>
    </row>
    <row r="905" ht="15.75" customHeight="1">
      <c r="G905" s="85"/>
      <c r="H905" s="85"/>
      <c r="I905" s="85"/>
      <c r="J905" s="85"/>
      <c r="K905" s="85"/>
      <c r="L905" s="85"/>
      <c r="M905" s="86"/>
      <c r="N905" s="86"/>
      <c r="O905" s="86"/>
      <c r="P905" s="86"/>
      <c r="Q905" s="86"/>
      <c r="R905" s="86"/>
      <c r="S905" s="85"/>
      <c r="T905" s="85"/>
      <c r="U905" s="85"/>
      <c r="V905" s="85"/>
      <c r="W905" s="85"/>
      <c r="X905" s="85"/>
      <c r="Y905" s="87"/>
      <c r="Z905" s="87"/>
      <c r="AA905" s="87"/>
      <c r="AB905" s="87"/>
      <c r="AC905" s="87"/>
      <c r="AD905" s="87"/>
    </row>
    <row r="906" ht="15.75" customHeight="1">
      <c r="G906" s="85"/>
      <c r="H906" s="85"/>
      <c r="I906" s="85"/>
      <c r="J906" s="85"/>
      <c r="K906" s="85"/>
      <c r="L906" s="85"/>
      <c r="M906" s="86"/>
      <c r="N906" s="86"/>
      <c r="O906" s="86"/>
      <c r="P906" s="86"/>
      <c r="Q906" s="86"/>
      <c r="R906" s="86"/>
      <c r="S906" s="85"/>
      <c r="T906" s="85"/>
      <c r="U906" s="85"/>
      <c r="V906" s="85"/>
      <c r="W906" s="85"/>
      <c r="X906" s="85"/>
      <c r="Y906" s="87"/>
      <c r="Z906" s="87"/>
      <c r="AA906" s="87"/>
      <c r="AB906" s="87"/>
      <c r="AC906" s="87"/>
      <c r="AD906" s="87"/>
    </row>
    <row r="907" ht="15.75" customHeight="1">
      <c r="G907" s="85"/>
      <c r="H907" s="85"/>
      <c r="I907" s="85"/>
      <c r="J907" s="85"/>
      <c r="K907" s="85"/>
      <c r="L907" s="85"/>
      <c r="M907" s="86"/>
      <c r="N907" s="86"/>
      <c r="O907" s="86"/>
      <c r="P907" s="86"/>
      <c r="Q907" s="86"/>
      <c r="R907" s="86"/>
      <c r="S907" s="85"/>
      <c r="T907" s="85"/>
      <c r="U907" s="85"/>
      <c r="V907" s="85"/>
      <c r="W907" s="85"/>
      <c r="X907" s="85"/>
      <c r="Y907" s="87"/>
      <c r="Z907" s="87"/>
      <c r="AA907" s="87"/>
      <c r="AB907" s="87"/>
      <c r="AC907" s="87"/>
      <c r="AD907" s="87"/>
    </row>
    <row r="908" ht="15.75" customHeight="1">
      <c r="G908" s="85"/>
      <c r="H908" s="85"/>
      <c r="I908" s="85"/>
      <c r="J908" s="85"/>
      <c r="K908" s="85"/>
      <c r="L908" s="85"/>
      <c r="M908" s="86"/>
      <c r="N908" s="86"/>
      <c r="O908" s="86"/>
      <c r="P908" s="86"/>
      <c r="Q908" s="86"/>
      <c r="R908" s="86"/>
      <c r="S908" s="85"/>
      <c r="T908" s="85"/>
      <c r="U908" s="85"/>
      <c r="V908" s="85"/>
      <c r="W908" s="85"/>
      <c r="X908" s="85"/>
      <c r="Y908" s="87"/>
      <c r="Z908" s="87"/>
      <c r="AA908" s="87"/>
      <c r="AB908" s="87"/>
      <c r="AC908" s="87"/>
      <c r="AD908" s="87"/>
    </row>
    <row r="909" ht="15.75" customHeight="1">
      <c r="G909" s="85"/>
      <c r="H909" s="85"/>
      <c r="I909" s="85"/>
      <c r="J909" s="85"/>
      <c r="K909" s="85"/>
      <c r="L909" s="85"/>
      <c r="M909" s="86"/>
      <c r="N909" s="86"/>
      <c r="O909" s="86"/>
      <c r="P909" s="86"/>
      <c r="Q909" s="86"/>
      <c r="R909" s="86"/>
      <c r="S909" s="85"/>
      <c r="T909" s="85"/>
      <c r="U909" s="85"/>
      <c r="V909" s="85"/>
      <c r="W909" s="85"/>
      <c r="X909" s="85"/>
      <c r="Y909" s="87"/>
      <c r="Z909" s="87"/>
      <c r="AA909" s="87"/>
      <c r="AB909" s="87"/>
      <c r="AC909" s="87"/>
      <c r="AD909" s="87"/>
    </row>
    <row r="910" ht="15.75" customHeight="1">
      <c r="G910" s="85"/>
      <c r="H910" s="85"/>
      <c r="I910" s="85"/>
      <c r="J910" s="85"/>
      <c r="K910" s="85"/>
      <c r="L910" s="85"/>
      <c r="M910" s="86"/>
      <c r="N910" s="86"/>
      <c r="O910" s="86"/>
      <c r="P910" s="86"/>
      <c r="Q910" s="86"/>
      <c r="R910" s="86"/>
      <c r="S910" s="85"/>
      <c r="T910" s="85"/>
      <c r="U910" s="85"/>
      <c r="V910" s="85"/>
      <c r="W910" s="85"/>
      <c r="X910" s="85"/>
      <c r="Y910" s="87"/>
      <c r="Z910" s="87"/>
      <c r="AA910" s="87"/>
      <c r="AB910" s="87"/>
      <c r="AC910" s="87"/>
      <c r="AD910" s="87"/>
    </row>
    <row r="911" ht="15.75" customHeight="1">
      <c r="G911" s="85"/>
      <c r="H911" s="85"/>
      <c r="I911" s="85"/>
      <c r="J911" s="85"/>
      <c r="K911" s="85"/>
      <c r="L911" s="85"/>
      <c r="M911" s="86"/>
      <c r="N911" s="86"/>
      <c r="O911" s="86"/>
      <c r="P911" s="86"/>
      <c r="Q911" s="86"/>
      <c r="R911" s="86"/>
      <c r="S911" s="85"/>
      <c r="T911" s="85"/>
      <c r="U911" s="85"/>
      <c r="V911" s="85"/>
      <c r="W911" s="85"/>
      <c r="X911" s="85"/>
      <c r="Y911" s="87"/>
      <c r="Z911" s="87"/>
      <c r="AA911" s="87"/>
      <c r="AB911" s="87"/>
      <c r="AC911" s="87"/>
      <c r="AD911" s="87"/>
    </row>
    <row r="912" ht="15.75" customHeight="1">
      <c r="G912" s="85"/>
      <c r="H912" s="85"/>
      <c r="I912" s="85"/>
      <c r="J912" s="85"/>
      <c r="K912" s="85"/>
      <c r="L912" s="85"/>
      <c r="M912" s="86"/>
      <c r="N912" s="86"/>
      <c r="O912" s="86"/>
      <c r="P912" s="86"/>
      <c r="Q912" s="86"/>
      <c r="R912" s="86"/>
      <c r="S912" s="85"/>
      <c r="T912" s="85"/>
      <c r="U912" s="85"/>
      <c r="V912" s="85"/>
      <c r="W912" s="85"/>
      <c r="X912" s="85"/>
      <c r="Y912" s="87"/>
      <c r="Z912" s="87"/>
      <c r="AA912" s="87"/>
      <c r="AB912" s="87"/>
      <c r="AC912" s="87"/>
      <c r="AD912" s="87"/>
    </row>
    <row r="913" ht="15.75" customHeight="1">
      <c r="G913" s="85"/>
      <c r="H913" s="85"/>
      <c r="I913" s="85"/>
      <c r="J913" s="85"/>
      <c r="K913" s="85"/>
      <c r="L913" s="85"/>
      <c r="M913" s="86"/>
      <c r="N913" s="86"/>
      <c r="O913" s="86"/>
      <c r="P913" s="86"/>
      <c r="Q913" s="86"/>
      <c r="R913" s="86"/>
      <c r="S913" s="85"/>
      <c r="T913" s="85"/>
      <c r="U913" s="85"/>
      <c r="V913" s="85"/>
      <c r="W913" s="85"/>
      <c r="X913" s="85"/>
      <c r="Y913" s="87"/>
      <c r="Z913" s="87"/>
      <c r="AA913" s="87"/>
      <c r="AB913" s="87"/>
      <c r="AC913" s="87"/>
      <c r="AD913" s="87"/>
    </row>
    <row r="914" ht="15.75" customHeight="1">
      <c r="G914" s="85"/>
      <c r="H914" s="85"/>
      <c r="I914" s="85"/>
      <c r="J914" s="85"/>
      <c r="K914" s="85"/>
      <c r="L914" s="85"/>
      <c r="M914" s="86"/>
      <c r="N914" s="86"/>
      <c r="O914" s="86"/>
      <c r="P914" s="86"/>
      <c r="Q914" s="86"/>
      <c r="R914" s="86"/>
      <c r="S914" s="85"/>
      <c r="T914" s="85"/>
      <c r="U914" s="85"/>
      <c r="V914" s="85"/>
      <c r="W914" s="85"/>
      <c r="X914" s="85"/>
      <c r="Y914" s="87"/>
      <c r="Z914" s="87"/>
      <c r="AA914" s="87"/>
      <c r="AB914" s="87"/>
      <c r="AC914" s="87"/>
      <c r="AD914" s="87"/>
    </row>
    <row r="915" ht="15.75" customHeight="1">
      <c r="G915" s="85"/>
      <c r="H915" s="85"/>
      <c r="I915" s="85"/>
      <c r="J915" s="85"/>
      <c r="K915" s="85"/>
      <c r="L915" s="85"/>
      <c r="M915" s="86"/>
      <c r="N915" s="86"/>
      <c r="O915" s="86"/>
      <c r="P915" s="86"/>
      <c r="Q915" s="86"/>
      <c r="R915" s="86"/>
      <c r="S915" s="85"/>
      <c r="T915" s="85"/>
      <c r="U915" s="85"/>
      <c r="V915" s="85"/>
      <c r="W915" s="85"/>
      <c r="X915" s="85"/>
      <c r="Y915" s="87"/>
      <c r="Z915" s="87"/>
      <c r="AA915" s="87"/>
      <c r="AB915" s="87"/>
      <c r="AC915" s="87"/>
      <c r="AD915" s="87"/>
    </row>
    <row r="916" ht="15.75" customHeight="1">
      <c r="G916" s="85"/>
      <c r="H916" s="85"/>
      <c r="I916" s="85"/>
      <c r="J916" s="85"/>
      <c r="K916" s="85"/>
      <c r="L916" s="85"/>
      <c r="M916" s="86"/>
      <c r="N916" s="86"/>
      <c r="O916" s="86"/>
      <c r="P916" s="86"/>
      <c r="Q916" s="86"/>
      <c r="R916" s="86"/>
      <c r="S916" s="85"/>
      <c r="T916" s="85"/>
      <c r="U916" s="85"/>
      <c r="V916" s="85"/>
      <c r="W916" s="85"/>
      <c r="X916" s="85"/>
      <c r="Y916" s="87"/>
      <c r="Z916" s="87"/>
      <c r="AA916" s="87"/>
      <c r="AB916" s="87"/>
      <c r="AC916" s="87"/>
      <c r="AD916" s="87"/>
    </row>
    <row r="917" ht="15.75" customHeight="1">
      <c r="G917" s="85"/>
      <c r="H917" s="85"/>
      <c r="I917" s="85"/>
      <c r="J917" s="85"/>
      <c r="K917" s="85"/>
      <c r="L917" s="85"/>
      <c r="M917" s="86"/>
      <c r="N917" s="86"/>
      <c r="O917" s="86"/>
      <c r="P917" s="86"/>
      <c r="Q917" s="86"/>
      <c r="R917" s="86"/>
      <c r="S917" s="85"/>
      <c r="T917" s="85"/>
      <c r="U917" s="85"/>
      <c r="V917" s="85"/>
      <c r="W917" s="85"/>
      <c r="X917" s="85"/>
      <c r="Y917" s="87"/>
      <c r="Z917" s="87"/>
      <c r="AA917" s="87"/>
      <c r="AB917" s="87"/>
      <c r="AC917" s="87"/>
      <c r="AD917" s="87"/>
    </row>
    <row r="918" ht="15.75" customHeight="1">
      <c r="G918" s="85"/>
      <c r="H918" s="85"/>
      <c r="I918" s="85"/>
      <c r="J918" s="85"/>
      <c r="K918" s="85"/>
      <c r="L918" s="85"/>
      <c r="M918" s="86"/>
      <c r="N918" s="86"/>
      <c r="O918" s="86"/>
      <c r="P918" s="86"/>
      <c r="Q918" s="86"/>
      <c r="R918" s="86"/>
      <c r="S918" s="85"/>
      <c r="T918" s="85"/>
      <c r="U918" s="85"/>
      <c r="V918" s="85"/>
      <c r="W918" s="85"/>
      <c r="X918" s="85"/>
      <c r="Y918" s="87"/>
      <c r="Z918" s="87"/>
      <c r="AA918" s="87"/>
      <c r="AB918" s="87"/>
      <c r="AC918" s="87"/>
      <c r="AD918" s="87"/>
    </row>
    <row r="919" ht="15.75" customHeight="1">
      <c r="G919" s="85"/>
      <c r="H919" s="85"/>
      <c r="I919" s="85"/>
      <c r="J919" s="85"/>
      <c r="K919" s="85"/>
      <c r="L919" s="85"/>
      <c r="M919" s="86"/>
      <c r="N919" s="86"/>
      <c r="O919" s="86"/>
      <c r="P919" s="86"/>
      <c r="Q919" s="86"/>
      <c r="R919" s="86"/>
      <c r="S919" s="85"/>
      <c r="T919" s="85"/>
      <c r="U919" s="85"/>
      <c r="V919" s="85"/>
      <c r="W919" s="85"/>
      <c r="X919" s="85"/>
      <c r="Y919" s="87"/>
      <c r="Z919" s="87"/>
      <c r="AA919" s="87"/>
      <c r="AB919" s="87"/>
      <c r="AC919" s="87"/>
      <c r="AD919" s="87"/>
    </row>
    <row r="920" ht="15.75" customHeight="1">
      <c r="G920" s="85"/>
      <c r="H920" s="85"/>
      <c r="I920" s="85"/>
      <c r="J920" s="85"/>
      <c r="K920" s="85"/>
      <c r="L920" s="85"/>
      <c r="M920" s="86"/>
      <c r="N920" s="86"/>
      <c r="O920" s="86"/>
      <c r="P920" s="86"/>
      <c r="Q920" s="86"/>
      <c r="R920" s="86"/>
      <c r="S920" s="85"/>
      <c r="T920" s="85"/>
      <c r="U920" s="85"/>
      <c r="V920" s="85"/>
      <c r="W920" s="85"/>
      <c r="X920" s="85"/>
      <c r="Y920" s="87"/>
      <c r="Z920" s="87"/>
      <c r="AA920" s="87"/>
      <c r="AB920" s="87"/>
      <c r="AC920" s="87"/>
      <c r="AD920" s="87"/>
    </row>
    <row r="921" ht="15.75" customHeight="1">
      <c r="G921" s="85"/>
      <c r="H921" s="85"/>
      <c r="I921" s="85"/>
      <c r="J921" s="85"/>
      <c r="K921" s="85"/>
      <c r="L921" s="85"/>
      <c r="M921" s="86"/>
      <c r="N921" s="86"/>
      <c r="O921" s="86"/>
      <c r="P921" s="86"/>
      <c r="Q921" s="86"/>
      <c r="R921" s="86"/>
      <c r="S921" s="85"/>
      <c r="T921" s="85"/>
      <c r="U921" s="85"/>
      <c r="V921" s="85"/>
      <c r="W921" s="85"/>
      <c r="X921" s="85"/>
      <c r="Y921" s="87"/>
      <c r="Z921" s="87"/>
      <c r="AA921" s="87"/>
      <c r="AB921" s="87"/>
      <c r="AC921" s="87"/>
      <c r="AD921" s="87"/>
    </row>
    <row r="922" ht="15.75" customHeight="1">
      <c r="G922" s="85"/>
      <c r="H922" s="85"/>
      <c r="I922" s="85"/>
      <c r="J922" s="85"/>
      <c r="K922" s="85"/>
      <c r="L922" s="85"/>
      <c r="M922" s="86"/>
      <c r="N922" s="86"/>
      <c r="O922" s="86"/>
      <c r="P922" s="86"/>
      <c r="Q922" s="86"/>
      <c r="R922" s="86"/>
      <c r="S922" s="85"/>
      <c r="T922" s="85"/>
      <c r="U922" s="85"/>
      <c r="V922" s="85"/>
      <c r="W922" s="85"/>
      <c r="X922" s="85"/>
      <c r="Y922" s="87"/>
      <c r="Z922" s="87"/>
      <c r="AA922" s="87"/>
      <c r="AB922" s="87"/>
      <c r="AC922" s="87"/>
      <c r="AD922" s="87"/>
    </row>
    <row r="923" ht="15.75" customHeight="1">
      <c r="G923" s="85"/>
      <c r="H923" s="85"/>
      <c r="I923" s="85"/>
      <c r="J923" s="85"/>
      <c r="K923" s="85"/>
      <c r="L923" s="85"/>
      <c r="M923" s="86"/>
      <c r="N923" s="86"/>
      <c r="O923" s="86"/>
      <c r="P923" s="86"/>
      <c r="Q923" s="86"/>
      <c r="R923" s="86"/>
      <c r="S923" s="85"/>
      <c r="T923" s="85"/>
      <c r="U923" s="85"/>
      <c r="V923" s="85"/>
      <c r="W923" s="85"/>
      <c r="X923" s="85"/>
      <c r="Y923" s="87"/>
      <c r="Z923" s="87"/>
      <c r="AA923" s="87"/>
      <c r="AB923" s="87"/>
      <c r="AC923" s="87"/>
      <c r="AD923" s="87"/>
    </row>
    <row r="924" ht="15.75" customHeight="1">
      <c r="G924" s="85"/>
      <c r="H924" s="85"/>
      <c r="I924" s="85"/>
      <c r="J924" s="85"/>
      <c r="K924" s="85"/>
      <c r="L924" s="85"/>
      <c r="M924" s="86"/>
      <c r="N924" s="86"/>
      <c r="O924" s="86"/>
      <c r="P924" s="86"/>
      <c r="Q924" s="86"/>
      <c r="R924" s="86"/>
      <c r="S924" s="85"/>
      <c r="T924" s="85"/>
      <c r="U924" s="85"/>
      <c r="V924" s="85"/>
      <c r="W924" s="85"/>
      <c r="X924" s="85"/>
      <c r="Y924" s="87"/>
      <c r="Z924" s="87"/>
      <c r="AA924" s="87"/>
      <c r="AB924" s="87"/>
      <c r="AC924" s="87"/>
      <c r="AD924" s="87"/>
    </row>
    <row r="925" ht="15.75" customHeight="1">
      <c r="G925" s="85"/>
      <c r="H925" s="85"/>
      <c r="I925" s="85"/>
      <c r="J925" s="85"/>
      <c r="K925" s="85"/>
      <c r="L925" s="85"/>
      <c r="M925" s="86"/>
      <c r="N925" s="86"/>
      <c r="O925" s="86"/>
      <c r="P925" s="86"/>
      <c r="Q925" s="86"/>
      <c r="R925" s="86"/>
      <c r="S925" s="85"/>
      <c r="T925" s="85"/>
      <c r="U925" s="85"/>
      <c r="V925" s="85"/>
      <c r="W925" s="85"/>
      <c r="X925" s="85"/>
      <c r="Y925" s="87"/>
      <c r="Z925" s="87"/>
      <c r="AA925" s="87"/>
      <c r="AB925" s="87"/>
      <c r="AC925" s="87"/>
      <c r="AD925" s="87"/>
    </row>
    <row r="926" ht="15.75" customHeight="1">
      <c r="G926" s="85"/>
      <c r="H926" s="85"/>
      <c r="I926" s="85"/>
      <c r="J926" s="85"/>
      <c r="K926" s="85"/>
      <c r="L926" s="85"/>
      <c r="M926" s="86"/>
      <c r="N926" s="86"/>
      <c r="O926" s="86"/>
      <c r="P926" s="86"/>
      <c r="Q926" s="86"/>
      <c r="R926" s="86"/>
      <c r="S926" s="85"/>
      <c r="T926" s="85"/>
      <c r="U926" s="85"/>
      <c r="V926" s="85"/>
      <c r="W926" s="85"/>
      <c r="X926" s="85"/>
      <c r="Y926" s="87"/>
      <c r="Z926" s="87"/>
      <c r="AA926" s="87"/>
      <c r="AB926" s="87"/>
      <c r="AC926" s="87"/>
      <c r="AD926" s="87"/>
    </row>
    <row r="927" ht="15.75" customHeight="1">
      <c r="G927" s="85"/>
      <c r="H927" s="85"/>
      <c r="I927" s="85"/>
      <c r="J927" s="85"/>
      <c r="K927" s="85"/>
      <c r="L927" s="85"/>
      <c r="M927" s="86"/>
      <c r="N927" s="86"/>
      <c r="O927" s="86"/>
      <c r="P927" s="86"/>
      <c r="Q927" s="86"/>
      <c r="R927" s="86"/>
      <c r="S927" s="85"/>
      <c r="T927" s="85"/>
      <c r="U927" s="85"/>
      <c r="V927" s="85"/>
      <c r="W927" s="85"/>
      <c r="X927" s="85"/>
      <c r="Y927" s="87"/>
      <c r="Z927" s="87"/>
      <c r="AA927" s="87"/>
      <c r="AB927" s="87"/>
      <c r="AC927" s="87"/>
      <c r="AD927" s="87"/>
    </row>
    <row r="928" ht="15.75" customHeight="1">
      <c r="G928" s="85"/>
      <c r="H928" s="85"/>
      <c r="I928" s="85"/>
      <c r="J928" s="85"/>
      <c r="K928" s="85"/>
      <c r="L928" s="85"/>
      <c r="M928" s="86"/>
      <c r="N928" s="86"/>
      <c r="O928" s="86"/>
      <c r="P928" s="86"/>
      <c r="Q928" s="86"/>
      <c r="R928" s="86"/>
      <c r="S928" s="85"/>
      <c r="T928" s="85"/>
      <c r="U928" s="85"/>
      <c r="V928" s="85"/>
      <c r="W928" s="85"/>
      <c r="X928" s="85"/>
      <c r="Y928" s="87"/>
      <c r="Z928" s="87"/>
      <c r="AA928" s="87"/>
      <c r="AB928" s="87"/>
      <c r="AC928" s="87"/>
      <c r="AD928" s="87"/>
    </row>
    <row r="929" ht="15.75" customHeight="1">
      <c r="G929" s="85"/>
      <c r="H929" s="85"/>
      <c r="I929" s="85"/>
      <c r="J929" s="85"/>
      <c r="K929" s="85"/>
      <c r="L929" s="85"/>
      <c r="M929" s="86"/>
      <c r="N929" s="86"/>
      <c r="O929" s="86"/>
      <c r="P929" s="86"/>
      <c r="Q929" s="86"/>
      <c r="R929" s="86"/>
      <c r="S929" s="85"/>
      <c r="T929" s="85"/>
      <c r="U929" s="85"/>
      <c r="V929" s="85"/>
      <c r="W929" s="85"/>
      <c r="X929" s="85"/>
      <c r="Y929" s="87"/>
      <c r="Z929" s="87"/>
      <c r="AA929" s="87"/>
      <c r="AB929" s="87"/>
      <c r="AC929" s="87"/>
      <c r="AD929" s="87"/>
    </row>
    <row r="930" ht="15.75" customHeight="1">
      <c r="G930" s="85"/>
      <c r="H930" s="85"/>
      <c r="I930" s="85"/>
      <c r="J930" s="85"/>
      <c r="K930" s="85"/>
      <c r="L930" s="85"/>
      <c r="M930" s="86"/>
      <c r="N930" s="86"/>
      <c r="O930" s="86"/>
      <c r="P930" s="86"/>
      <c r="Q930" s="86"/>
      <c r="R930" s="86"/>
      <c r="S930" s="85"/>
      <c r="T930" s="85"/>
      <c r="U930" s="85"/>
      <c r="V930" s="85"/>
      <c r="W930" s="85"/>
      <c r="X930" s="85"/>
      <c r="Y930" s="87"/>
      <c r="Z930" s="87"/>
      <c r="AA930" s="87"/>
      <c r="AB930" s="87"/>
      <c r="AC930" s="87"/>
      <c r="AD930" s="87"/>
    </row>
    <row r="931" ht="15.75" customHeight="1">
      <c r="G931" s="85"/>
      <c r="H931" s="85"/>
      <c r="I931" s="85"/>
      <c r="J931" s="85"/>
      <c r="K931" s="85"/>
      <c r="L931" s="85"/>
      <c r="M931" s="86"/>
      <c r="N931" s="86"/>
      <c r="O931" s="86"/>
      <c r="P931" s="86"/>
      <c r="Q931" s="86"/>
      <c r="R931" s="86"/>
      <c r="S931" s="85"/>
      <c r="T931" s="85"/>
      <c r="U931" s="85"/>
      <c r="V931" s="85"/>
      <c r="W931" s="85"/>
      <c r="X931" s="85"/>
      <c r="Y931" s="87"/>
      <c r="Z931" s="87"/>
      <c r="AA931" s="87"/>
      <c r="AB931" s="87"/>
      <c r="AC931" s="87"/>
      <c r="AD931" s="87"/>
    </row>
    <row r="932" ht="15.75" customHeight="1">
      <c r="G932" s="85"/>
      <c r="H932" s="85"/>
      <c r="I932" s="85"/>
      <c r="J932" s="85"/>
      <c r="K932" s="85"/>
      <c r="L932" s="85"/>
      <c r="M932" s="86"/>
      <c r="N932" s="86"/>
      <c r="O932" s="86"/>
      <c r="P932" s="86"/>
      <c r="Q932" s="86"/>
      <c r="R932" s="86"/>
      <c r="S932" s="85"/>
      <c r="T932" s="85"/>
      <c r="U932" s="85"/>
      <c r="V932" s="85"/>
      <c r="W932" s="85"/>
      <c r="X932" s="85"/>
      <c r="Y932" s="87"/>
      <c r="Z932" s="87"/>
      <c r="AA932" s="87"/>
      <c r="AB932" s="87"/>
      <c r="AC932" s="87"/>
      <c r="AD932" s="87"/>
    </row>
    <row r="933" ht="15.75" customHeight="1">
      <c r="G933" s="85"/>
      <c r="H933" s="85"/>
      <c r="I933" s="85"/>
      <c r="J933" s="85"/>
      <c r="K933" s="85"/>
      <c r="L933" s="85"/>
      <c r="M933" s="86"/>
      <c r="N933" s="86"/>
      <c r="O933" s="86"/>
      <c r="P933" s="86"/>
      <c r="Q933" s="86"/>
      <c r="R933" s="86"/>
      <c r="S933" s="85"/>
      <c r="T933" s="85"/>
      <c r="U933" s="85"/>
      <c r="V933" s="85"/>
      <c r="W933" s="85"/>
      <c r="X933" s="85"/>
      <c r="Y933" s="87"/>
      <c r="Z933" s="87"/>
      <c r="AA933" s="87"/>
      <c r="AB933" s="87"/>
      <c r="AC933" s="87"/>
      <c r="AD933" s="87"/>
    </row>
    <row r="934" ht="15.75" customHeight="1">
      <c r="G934" s="85"/>
      <c r="H934" s="85"/>
      <c r="I934" s="85"/>
      <c r="J934" s="85"/>
      <c r="K934" s="85"/>
      <c r="L934" s="85"/>
      <c r="M934" s="86"/>
      <c r="N934" s="86"/>
      <c r="O934" s="86"/>
      <c r="P934" s="86"/>
      <c r="Q934" s="86"/>
      <c r="R934" s="86"/>
      <c r="S934" s="85"/>
      <c r="T934" s="85"/>
      <c r="U934" s="85"/>
      <c r="V934" s="85"/>
      <c r="W934" s="85"/>
      <c r="X934" s="85"/>
      <c r="Y934" s="87"/>
      <c r="Z934" s="87"/>
      <c r="AA934" s="87"/>
      <c r="AB934" s="87"/>
      <c r="AC934" s="87"/>
      <c r="AD934" s="87"/>
    </row>
    <row r="935" ht="15.75" customHeight="1">
      <c r="G935" s="85"/>
      <c r="H935" s="85"/>
      <c r="I935" s="85"/>
      <c r="J935" s="85"/>
      <c r="K935" s="85"/>
      <c r="L935" s="85"/>
      <c r="M935" s="86"/>
      <c r="N935" s="86"/>
      <c r="O935" s="86"/>
      <c r="P935" s="86"/>
      <c r="Q935" s="86"/>
      <c r="R935" s="86"/>
      <c r="S935" s="85"/>
      <c r="T935" s="85"/>
      <c r="U935" s="85"/>
      <c r="V935" s="85"/>
      <c r="W935" s="85"/>
      <c r="X935" s="85"/>
      <c r="Y935" s="87"/>
      <c r="Z935" s="87"/>
      <c r="AA935" s="87"/>
      <c r="AB935" s="87"/>
      <c r="AC935" s="87"/>
      <c r="AD935" s="87"/>
    </row>
    <row r="936" ht="15.75" customHeight="1">
      <c r="G936" s="85"/>
      <c r="H936" s="85"/>
      <c r="I936" s="85"/>
      <c r="J936" s="85"/>
      <c r="K936" s="85"/>
      <c r="L936" s="85"/>
      <c r="M936" s="86"/>
      <c r="N936" s="86"/>
      <c r="O936" s="86"/>
      <c r="P936" s="86"/>
      <c r="Q936" s="86"/>
      <c r="R936" s="86"/>
      <c r="S936" s="85"/>
      <c r="T936" s="85"/>
      <c r="U936" s="85"/>
      <c r="V936" s="85"/>
      <c r="W936" s="85"/>
      <c r="X936" s="85"/>
      <c r="Y936" s="87"/>
      <c r="Z936" s="87"/>
      <c r="AA936" s="87"/>
      <c r="AB936" s="87"/>
      <c r="AC936" s="87"/>
      <c r="AD936" s="87"/>
    </row>
    <row r="937" ht="15.75" customHeight="1">
      <c r="G937" s="85"/>
      <c r="H937" s="85"/>
      <c r="I937" s="85"/>
      <c r="J937" s="85"/>
      <c r="K937" s="85"/>
      <c r="L937" s="85"/>
      <c r="M937" s="86"/>
      <c r="N937" s="86"/>
      <c r="O937" s="86"/>
      <c r="P937" s="86"/>
      <c r="Q937" s="86"/>
      <c r="R937" s="86"/>
      <c r="S937" s="85"/>
      <c r="T937" s="85"/>
      <c r="U937" s="85"/>
      <c r="V937" s="85"/>
      <c r="W937" s="85"/>
      <c r="X937" s="85"/>
      <c r="Y937" s="87"/>
      <c r="Z937" s="87"/>
      <c r="AA937" s="87"/>
      <c r="AB937" s="87"/>
      <c r="AC937" s="87"/>
      <c r="AD937" s="87"/>
    </row>
    <row r="938" ht="15.75" customHeight="1">
      <c r="G938" s="85"/>
      <c r="H938" s="85"/>
      <c r="I938" s="85"/>
      <c r="J938" s="85"/>
      <c r="K938" s="85"/>
      <c r="L938" s="85"/>
      <c r="M938" s="86"/>
      <c r="N938" s="86"/>
      <c r="O938" s="86"/>
      <c r="P938" s="86"/>
      <c r="Q938" s="86"/>
      <c r="R938" s="86"/>
      <c r="S938" s="85"/>
      <c r="T938" s="85"/>
      <c r="U938" s="85"/>
      <c r="V938" s="85"/>
      <c r="W938" s="85"/>
      <c r="X938" s="85"/>
      <c r="Y938" s="87"/>
      <c r="Z938" s="87"/>
      <c r="AA938" s="87"/>
      <c r="AB938" s="87"/>
      <c r="AC938" s="87"/>
      <c r="AD938" s="87"/>
    </row>
    <row r="939" ht="15.75" customHeight="1">
      <c r="G939" s="85"/>
      <c r="H939" s="85"/>
      <c r="I939" s="85"/>
      <c r="J939" s="85"/>
      <c r="K939" s="85"/>
      <c r="L939" s="85"/>
      <c r="M939" s="86"/>
      <c r="N939" s="86"/>
      <c r="O939" s="86"/>
      <c r="P939" s="86"/>
      <c r="Q939" s="86"/>
      <c r="R939" s="86"/>
      <c r="S939" s="85"/>
      <c r="T939" s="85"/>
      <c r="U939" s="85"/>
      <c r="V939" s="85"/>
      <c r="W939" s="85"/>
      <c r="X939" s="85"/>
      <c r="Y939" s="87"/>
      <c r="Z939" s="87"/>
      <c r="AA939" s="87"/>
      <c r="AB939" s="87"/>
      <c r="AC939" s="87"/>
      <c r="AD939" s="87"/>
    </row>
    <row r="940" ht="15.75" customHeight="1">
      <c r="G940" s="85"/>
      <c r="H940" s="85"/>
      <c r="I940" s="85"/>
      <c r="J940" s="85"/>
      <c r="K940" s="85"/>
      <c r="L940" s="85"/>
      <c r="M940" s="86"/>
      <c r="N940" s="86"/>
      <c r="O940" s="86"/>
      <c r="P940" s="86"/>
      <c r="Q940" s="86"/>
      <c r="R940" s="86"/>
      <c r="S940" s="85"/>
      <c r="T940" s="85"/>
      <c r="U940" s="85"/>
      <c r="V940" s="85"/>
      <c r="W940" s="85"/>
      <c r="X940" s="85"/>
      <c r="Y940" s="87"/>
      <c r="Z940" s="87"/>
      <c r="AA940" s="87"/>
      <c r="AB940" s="87"/>
      <c r="AC940" s="87"/>
      <c r="AD940" s="87"/>
    </row>
    <row r="941" ht="15.75" customHeight="1">
      <c r="G941" s="85"/>
      <c r="H941" s="85"/>
      <c r="I941" s="85"/>
      <c r="J941" s="85"/>
      <c r="K941" s="85"/>
      <c r="L941" s="85"/>
      <c r="M941" s="86"/>
      <c r="N941" s="86"/>
      <c r="O941" s="86"/>
      <c r="P941" s="86"/>
      <c r="Q941" s="86"/>
      <c r="R941" s="86"/>
      <c r="S941" s="85"/>
      <c r="T941" s="85"/>
      <c r="U941" s="85"/>
      <c r="V941" s="85"/>
      <c r="W941" s="85"/>
      <c r="X941" s="85"/>
      <c r="Y941" s="87"/>
      <c r="Z941" s="87"/>
      <c r="AA941" s="87"/>
      <c r="AB941" s="87"/>
      <c r="AC941" s="87"/>
      <c r="AD941" s="87"/>
    </row>
    <row r="942" ht="15.75" customHeight="1">
      <c r="G942" s="85"/>
      <c r="H942" s="85"/>
      <c r="I942" s="85"/>
      <c r="J942" s="85"/>
      <c r="K942" s="85"/>
      <c r="L942" s="85"/>
      <c r="M942" s="86"/>
      <c r="N942" s="86"/>
      <c r="O942" s="86"/>
      <c r="P942" s="86"/>
      <c r="Q942" s="86"/>
      <c r="R942" s="86"/>
      <c r="S942" s="85"/>
      <c r="T942" s="85"/>
      <c r="U942" s="85"/>
      <c r="V942" s="85"/>
      <c r="W942" s="85"/>
      <c r="X942" s="85"/>
      <c r="Y942" s="87"/>
      <c r="Z942" s="87"/>
      <c r="AA942" s="87"/>
      <c r="AB942" s="87"/>
      <c r="AC942" s="87"/>
      <c r="AD942" s="87"/>
    </row>
    <row r="943" ht="15.75" customHeight="1">
      <c r="G943" s="85"/>
      <c r="H943" s="85"/>
      <c r="I943" s="85"/>
      <c r="J943" s="85"/>
      <c r="K943" s="85"/>
      <c r="L943" s="85"/>
      <c r="M943" s="86"/>
      <c r="N943" s="86"/>
      <c r="O943" s="86"/>
      <c r="P943" s="86"/>
      <c r="Q943" s="86"/>
      <c r="R943" s="86"/>
      <c r="S943" s="85"/>
      <c r="T943" s="85"/>
      <c r="U943" s="85"/>
      <c r="V943" s="85"/>
      <c r="W943" s="85"/>
      <c r="X943" s="85"/>
      <c r="Y943" s="87"/>
      <c r="Z943" s="87"/>
      <c r="AA943" s="87"/>
      <c r="AB943" s="87"/>
      <c r="AC943" s="87"/>
      <c r="AD943" s="87"/>
    </row>
    <row r="944" ht="15.75" customHeight="1">
      <c r="G944" s="85"/>
      <c r="H944" s="85"/>
      <c r="I944" s="85"/>
      <c r="J944" s="85"/>
      <c r="K944" s="85"/>
      <c r="L944" s="85"/>
      <c r="M944" s="86"/>
      <c r="N944" s="86"/>
      <c r="O944" s="86"/>
      <c r="P944" s="86"/>
      <c r="Q944" s="86"/>
      <c r="R944" s="86"/>
      <c r="S944" s="85"/>
      <c r="T944" s="85"/>
      <c r="U944" s="85"/>
      <c r="V944" s="85"/>
      <c r="W944" s="85"/>
      <c r="X944" s="85"/>
      <c r="Y944" s="87"/>
      <c r="Z944" s="87"/>
      <c r="AA944" s="87"/>
      <c r="AB944" s="87"/>
      <c r="AC944" s="87"/>
      <c r="AD944" s="87"/>
    </row>
    <row r="945" ht="15.75" customHeight="1">
      <c r="G945" s="85"/>
      <c r="H945" s="85"/>
      <c r="I945" s="85"/>
      <c r="J945" s="85"/>
      <c r="K945" s="85"/>
      <c r="L945" s="85"/>
      <c r="M945" s="86"/>
      <c r="N945" s="86"/>
      <c r="O945" s="86"/>
      <c r="P945" s="86"/>
      <c r="Q945" s="86"/>
      <c r="R945" s="86"/>
      <c r="S945" s="85"/>
      <c r="T945" s="85"/>
      <c r="U945" s="85"/>
      <c r="V945" s="85"/>
      <c r="W945" s="85"/>
      <c r="X945" s="85"/>
      <c r="Y945" s="87"/>
      <c r="Z945" s="87"/>
      <c r="AA945" s="87"/>
      <c r="AB945" s="87"/>
      <c r="AC945" s="87"/>
      <c r="AD945" s="87"/>
    </row>
    <row r="946" ht="15.75" customHeight="1">
      <c r="G946" s="85"/>
      <c r="H946" s="85"/>
      <c r="I946" s="85"/>
      <c r="J946" s="85"/>
      <c r="K946" s="85"/>
      <c r="L946" s="85"/>
      <c r="M946" s="86"/>
      <c r="N946" s="86"/>
      <c r="O946" s="86"/>
      <c r="P946" s="86"/>
      <c r="Q946" s="86"/>
      <c r="R946" s="86"/>
      <c r="S946" s="85"/>
      <c r="T946" s="85"/>
      <c r="U946" s="85"/>
      <c r="V946" s="85"/>
      <c r="W946" s="85"/>
      <c r="X946" s="85"/>
      <c r="Y946" s="87"/>
      <c r="Z946" s="87"/>
      <c r="AA946" s="87"/>
      <c r="AB946" s="87"/>
      <c r="AC946" s="87"/>
      <c r="AD946" s="87"/>
    </row>
    <row r="947" ht="15.75" customHeight="1">
      <c r="G947" s="85"/>
      <c r="H947" s="85"/>
      <c r="I947" s="85"/>
      <c r="J947" s="85"/>
      <c r="K947" s="85"/>
      <c r="L947" s="85"/>
      <c r="M947" s="86"/>
      <c r="N947" s="86"/>
      <c r="O947" s="86"/>
      <c r="P947" s="86"/>
      <c r="Q947" s="86"/>
      <c r="R947" s="86"/>
      <c r="S947" s="85"/>
      <c r="T947" s="85"/>
      <c r="U947" s="85"/>
      <c r="V947" s="85"/>
      <c r="W947" s="85"/>
      <c r="X947" s="85"/>
      <c r="Y947" s="87"/>
      <c r="Z947" s="87"/>
      <c r="AA947" s="87"/>
      <c r="AB947" s="87"/>
      <c r="AC947" s="87"/>
      <c r="AD947" s="87"/>
    </row>
    <row r="948" ht="15.75" customHeight="1">
      <c r="G948" s="85"/>
      <c r="H948" s="85"/>
      <c r="I948" s="85"/>
      <c r="J948" s="85"/>
      <c r="K948" s="85"/>
      <c r="L948" s="85"/>
      <c r="M948" s="86"/>
      <c r="N948" s="86"/>
      <c r="O948" s="86"/>
      <c r="P948" s="86"/>
      <c r="Q948" s="86"/>
      <c r="R948" s="86"/>
      <c r="S948" s="85"/>
      <c r="T948" s="85"/>
      <c r="U948" s="85"/>
      <c r="V948" s="85"/>
      <c r="W948" s="85"/>
      <c r="X948" s="85"/>
      <c r="Y948" s="87"/>
      <c r="Z948" s="87"/>
      <c r="AA948" s="87"/>
      <c r="AB948" s="87"/>
      <c r="AC948" s="87"/>
      <c r="AD948" s="87"/>
    </row>
    <row r="949" ht="15.75" customHeight="1">
      <c r="G949" s="85"/>
      <c r="H949" s="85"/>
      <c r="I949" s="85"/>
      <c r="J949" s="85"/>
      <c r="K949" s="85"/>
      <c r="L949" s="85"/>
      <c r="M949" s="86"/>
      <c r="N949" s="86"/>
      <c r="O949" s="86"/>
      <c r="P949" s="86"/>
      <c r="Q949" s="86"/>
      <c r="R949" s="86"/>
      <c r="S949" s="85"/>
      <c r="T949" s="85"/>
      <c r="U949" s="85"/>
      <c r="V949" s="85"/>
      <c r="W949" s="85"/>
      <c r="X949" s="85"/>
      <c r="Y949" s="87"/>
      <c r="Z949" s="87"/>
      <c r="AA949" s="87"/>
      <c r="AB949" s="87"/>
      <c r="AC949" s="87"/>
      <c r="AD949" s="87"/>
    </row>
    <row r="950" ht="15.75" customHeight="1">
      <c r="G950" s="85"/>
      <c r="H950" s="85"/>
      <c r="I950" s="85"/>
      <c r="J950" s="85"/>
      <c r="K950" s="85"/>
      <c r="L950" s="85"/>
      <c r="M950" s="86"/>
      <c r="N950" s="86"/>
      <c r="O950" s="86"/>
      <c r="P950" s="86"/>
      <c r="Q950" s="86"/>
      <c r="R950" s="86"/>
      <c r="S950" s="85"/>
      <c r="T950" s="85"/>
      <c r="U950" s="85"/>
      <c r="V950" s="85"/>
      <c r="W950" s="85"/>
      <c r="X950" s="85"/>
      <c r="Y950" s="87"/>
      <c r="Z950" s="87"/>
      <c r="AA950" s="87"/>
      <c r="AB950" s="87"/>
      <c r="AC950" s="87"/>
      <c r="AD950" s="87"/>
    </row>
    <row r="951" ht="15.75" customHeight="1">
      <c r="G951" s="85"/>
      <c r="H951" s="85"/>
      <c r="I951" s="85"/>
      <c r="J951" s="85"/>
      <c r="K951" s="85"/>
      <c r="L951" s="85"/>
      <c r="M951" s="86"/>
      <c r="N951" s="86"/>
      <c r="O951" s="86"/>
      <c r="P951" s="86"/>
      <c r="Q951" s="86"/>
      <c r="R951" s="86"/>
      <c r="S951" s="85"/>
      <c r="T951" s="85"/>
      <c r="U951" s="85"/>
      <c r="V951" s="85"/>
      <c r="W951" s="85"/>
      <c r="X951" s="85"/>
      <c r="Y951" s="87"/>
      <c r="Z951" s="87"/>
      <c r="AA951" s="87"/>
      <c r="AB951" s="87"/>
      <c r="AC951" s="87"/>
      <c r="AD951" s="87"/>
    </row>
    <row r="952" ht="15.75" customHeight="1">
      <c r="G952" s="85"/>
      <c r="H952" s="85"/>
      <c r="I952" s="85"/>
      <c r="J952" s="85"/>
      <c r="K952" s="85"/>
      <c r="L952" s="85"/>
      <c r="M952" s="86"/>
      <c r="N952" s="86"/>
      <c r="O952" s="86"/>
      <c r="P952" s="86"/>
      <c r="Q952" s="86"/>
      <c r="R952" s="86"/>
      <c r="S952" s="85"/>
      <c r="T952" s="85"/>
      <c r="U952" s="85"/>
      <c r="V952" s="85"/>
      <c r="W952" s="85"/>
      <c r="X952" s="85"/>
      <c r="Y952" s="87"/>
      <c r="Z952" s="87"/>
      <c r="AA952" s="87"/>
      <c r="AB952" s="87"/>
      <c r="AC952" s="87"/>
      <c r="AD952" s="87"/>
    </row>
    <row r="953" ht="15.75" customHeight="1">
      <c r="G953" s="85"/>
      <c r="H953" s="85"/>
      <c r="I953" s="85"/>
      <c r="J953" s="85"/>
      <c r="K953" s="85"/>
      <c r="L953" s="85"/>
      <c r="M953" s="86"/>
      <c r="N953" s="86"/>
      <c r="O953" s="86"/>
      <c r="P953" s="86"/>
      <c r="Q953" s="86"/>
      <c r="R953" s="86"/>
      <c r="S953" s="85"/>
      <c r="T953" s="85"/>
      <c r="U953" s="85"/>
      <c r="V953" s="85"/>
      <c r="W953" s="85"/>
      <c r="X953" s="85"/>
      <c r="Y953" s="87"/>
      <c r="Z953" s="87"/>
      <c r="AA953" s="87"/>
      <c r="AB953" s="87"/>
      <c r="AC953" s="87"/>
      <c r="AD953" s="87"/>
    </row>
    <row r="954" ht="15.75" customHeight="1">
      <c r="G954" s="85"/>
      <c r="H954" s="85"/>
      <c r="I954" s="85"/>
      <c r="J954" s="85"/>
      <c r="K954" s="85"/>
      <c r="L954" s="85"/>
      <c r="M954" s="86"/>
      <c r="N954" s="86"/>
      <c r="O954" s="86"/>
      <c r="P954" s="86"/>
      <c r="Q954" s="86"/>
      <c r="R954" s="86"/>
      <c r="S954" s="85"/>
      <c r="T954" s="85"/>
      <c r="U954" s="85"/>
      <c r="V954" s="85"/>
      <c r="W954" s="85"/>
      <c r="X954" s="85"/>
      <c r="Y954" s="87"/>
      <c r="Z954" s="87"/>
      <c r="AA954" s="87"/>
      <c r="AB954" s="87"/>
      <c r="AC954" s="87"/>
      <c r="AD954" s="87"/>
    </row>
    <row r="955" ht="15.75" customHeight="1">
      <c r="G955" s="85"/>
      <c r="H955" s="85"/>
      <c r="I955" s="85"/>
      <c r="J955" s="85"/>
      <c r="K955" s="85"/>
      <c r="L955" s="85"/>
      <c r="M955" s="86"/>
      <c r="N955" s="86"/>
      <c r="O955" s="86"/>
      <c r="P955" s="86"/>
      <c r="Q955" s="86"/>
      <c r="R955" s="86"/>
      <c r="S955" s="85"/>
      <c r="T955" s="85"/>
      <c r="U955" s="85"/>
      <c r="V955" s="85"/>
      <c r="W955" s="85"/>
      <c r="X955" s="85"/>
      <c r="Y955" s="87"/>
      <c r="Z955" s="87"/>
      <c r="AA955" s="87"/>
      <c r="AB955" s="87"/>
      <c r="AC955" s="87"/>
      <c r="AD955" s="87"/>
    </row>
    <row r="956" ht="15.75" customHeight="1">
      <c r="G956" s="85"/>
      <c r="H956" s="85"/>
      <c r="I956" s="85"/>
      <c r="J956" s="85"/>
      <c r="K956" s="85"/>
      <c r="L956" s="85"/>
      <c r="M956" s="86"/>
      <c r="N956" s="86"/>
      <c r="O956" s="86"/>
      <c r="P956" s="86"/>
      <c r="Q956" s="86"/>
      <c r="R956" s="86"/>
      <c r="S956" s="85"/>
      <c r="T956" s="85"/>
      <c r="U956" s="85"/>
      <c r="V956" s="85"/>
      <c r="W956" s="85"/>
      <c r="X956" s="85"/>
      <c r="Y956" s="87"/>
      <c r="Z956" s="87"/>
      <c r="AA956" s="87"/>
      <c r="AB956" s="87"/>
      <c r="AC956" s="87"/>
      <c r="AD956" s="87"/>
    </row>
    <row r="957" ht="15.75" customHeight="1">
      <c r="G957" s="85"/>
      <c r="H957" s="85"/>
      <c r="I957" s="85"/>
      <c r="J957" s="85"/>
      <c r="K957" s="85"/>
      <c r="L957" s="85"/>
      <c r="M957" s="86"/>
      <c r="N957" s="86"/>
      <c r="O957" s="86"/>
      <c r="P957" s="86"/>
      <c r="Q957" s="86"/>
      <c r="R957" s="86"/>
      <c r="S957" s="85"/>
      <c r="T957" s="85"/>
      <c r="U957" s="85"/>
      <c r="V957" s="85"/>
      <c r="W957" s="85"/>
      <c r="X957" s="85"/>
      <c r="Y957" s="87"/>
      <c r="Z957" s="87"/>
      <c r="AA957" s="87"/>
      <c r="AB957" s="87"/>
      <c r="AC957" s="87"/>
      <c r="AD957" s="87"/>
    </row>
    <row r="958" ht="15.75" customHeight="1">
      <c r="G958" s="85"/>
      <c r="H958" s="85"/>
      <c r="I958" s="85"/>
      <c r="J958" s="85"/>
      <c r="K958" s="85"/>
      <c r="L958" s="85"/>
      <c r="M958" s="86"/>
      <c r="N958" s="86"/>
      <c r="O958" s="86"/>
      <c r="P958" s="86"/>
      <c r="Q958" s="86"/>
      <c r="R958" s="86"/>
      <c r="S958" s="85"/>
      <c r="T958" s="85"/>
      <c r="U958" s="85"/>
      <c r="V958" s="85"/>
      <c r="W958" s="85"/>
      <c r="X958" s="85"/>
      <c r="Y958" s="87"/>
      <c r="Z958" s="87"/>
      <c r="AA958" s="87"/>
      <c r="AB958" s="87"/>
      <c r="AC958" s="87"/>
      <c r="AD958" s="87"/>
    </row>
    <row r="959" ht="15.75" customHeight="1">
      <c r="G959" s="85"/>
      <c r="H959" s="85"/>
      <c r="I959" s="85"/>
      <c r="J959" s="85"/>
      <c r="K959" s="85"/>
      <c r="L959" s="85"/>
      <c r="M959" s="86"/>
      <c r="N959" s="86"/>
      <c r="O959" s="86"/>
      <c r="P959" s="86"/>
      <c r="Q959" s="86"/>
      <c r="R959" s="86"/>
      <c r="S959" s="85"/>
      <c r="T959" s="85"/>
      <c r="U959" s="85"/>
      <c r="V959" s="85"/>
      <c r="W959" s="85"/>
      <c r="X959" s="85"/>
      <c r="Y959" s="87"/>
      <c r="Z959" s="87"/>
      <c r="AA959" s="87"/>
      <c r="AB959" s="87"/>
      <c r="AC959" s="87"/>
      <c r="AD959" s="87"/>
    </row>
    <row r="960" ht="15.75" customHeight="1">
      <c r="G960" s="85"/>
      <c r="H960" s="85"/>
      <c r="I960" s="85"/>
      <c r="J960" s="85"/>
      <c r="K960" s="85"/>
      <c r="L960" s="85"/>
      <c r="M960" s="86"/>
      <c r="N960" s="86"/>
      <c r="O960" s="86"/>
      <c r="P960" s="86"/>
      <c r="Q960" s="86"/>
      <c r="R960" s="86"/>
      <c r="S960" s="85"/>
      <c r="T960" s="85"/>
      <c r="U960" s="85"/>
      <c r="V960" s="85"/>
      <c r="W960" s="85"/>
      <c r="X960" s="85"/>
      <c r="Y960" s="87"/>
      <c r="Z960" s="87"/>
      <c r="AA960" s="87"/>
      <c r="AB960" s="87"/>
      <c r="AC960" s="87"/>
      <c r="AD960" s="87"/>
    </row>
    <row r="961" ht="15.75" customHeight="1">
      <c r="G961" s="85"/>
      <c r="H961" s="85"/>
      <c r="I961" s="85"/>
      <c r="J961" s="85"/>
      <c r="K961" s="85"/>
      <c r="L961" s="85"/>
      <c r="M961" s="86"/>
      <c r="N961" s="86"/>
      <c r="O961" s="86"/>
      <c r="P961" s="86"/>
      <c r="Q961" s="86"/>
      <c r="R961" s="86"/>
      <c r="S961" s="85"/>
      <c r="T961" s="85"/>
      <c r="U961" s="85"/>
      <c r="V961" s="85"/>
      <c r="W961" s="85"/>
      <c r="X961" s="85"/>
      <c r="Y961" s="87"/>
      <c r="Z961" s="87"/>
      <c r="AA961" s="87"/>
      <c r="AB961" s="87"/>
      <c r="AC961" s="87"/>
      <c r="AD961" s="87"/>
    </row>
    <row r="962" ht="15.75" customHeight="1">
      <c r="G962" s="85"/>
      <c r="H962" s="85"/>
      <c r="I962" s="85"/>
      <c r="J962" s="85"/>
      <c r="K962" s="85"/>
      <c r="L962" s="85"/>
      <c r="M962" s="86"/>
      <c r="N962" s="86"/>
      <c r="O962" s="86"/>
      <c r="P962" s="86"/>
      <c r="Q962" s="86"/>
      <c r="R962" s="86"/>
      <c r="S962" s="85"/>
      <c r="T962" s="85"/>
      <c r="U962" s="85"/>
      <c r="V962" s="85"/>
      <c r="W962" s="85"/>
      <c r="X962" s="85"/>
      <c r="Y962" s="87"/>
      <c r="Z962" s="87"/>
      <c r="AA962" s="87"/>
      <c r="AB962" s="87"/>
      <c r="AC962" s="87"/>
      <c r="AD962" s="87"/>
    </row>
    <row r="963" ht="15.75" customHeight="1">
      <c r="G963" s="85"/>
      <c r="H963" s="85"/>
      <c r="I963" s="85"/>
      <c r="J963" s="85"/>
      <c r="K963" s="85"/>
      <c r="L963" s="85"/>
      <c r="M963" s="86"/>
      <c r="N963" s="86"/>
      <c r="O963" s="86"/>
      <c r="P963" s="86"/>
      <c r="Q963" s="86"/>
      <c r="R963" s="86"/>
      <c r="S963" s="85"/>
      <c r="T963" s="85"/>
      <c r="U963" s="85"/>
      <c r="V963" s="85"/>
      <c r="W963" s="85"/>
      <c r="X963" s="85"/>
      <c r="Y963" s="87"/>
      <c r="Z963" s="87"/>
      <c r="AA963" s="87"/>
      <c r="AB963" s="87"/>
      <c r="AC963" s="87"/>
      <c r="AD963" s="87"/>
    </row>
    <row r="964" ht="15.75" customHeight="1">
      <c r="G964" s="85"/>
      <c r="H964" s="85"/>
      <c r="I964" s="85"/>
      <c r="J964" s="85"/>
      <c r="K964" s="85"/>
      <c r="L964" s="85"/>
      <c r="M964" s="86"/>
      <c r="N964" s="86"/>
      <c r="O964" s="86"/>
      <c r="P964" s="86"/>
      <c r="Q964" s="86"/>
      <c r="R964" s="86"/>
      <c r="S964" s="85"/>
      <c r="T964" s="85"/>
      <c r="U964" s="85"/>
      <c r="V964" s="85"/>
      <c r="W964" s="85"/>
      <c r="X964" s="85"/>
      <c r="Y964" s="87"/>
      <c r="Z964" s="87"/>
      <c r="AA964" s="87"/>
      <c r="AB964" s="87"/>
      <c r="AC964" s="87"/>
      <c r="AD964" s="87"/>
    </row>
    <row r="965" ht="15.75" customHeight="1">
      <c r="G965" s="85"/>
      <c r="H965" s="85"/>
      <c r="I965" s="85"/>
      <c r="J965" s="85"/>
      <c r="K965" s="85"/>
      <c r="L965" s="85"/>
      <c r="M965" s="86"/>
      <c r="N965" s="86"/>
      <c r="O965" s="86"/>
      <c r="P965" s="86"/>
      <c r="Q965" s="86"/>
      <c r="R965" s="86"/>
      <c r="S965" s="85"/>
      <c r="T965" s="85"/>
      <c r="U965" s="85"/>
      <c r="V965" s="85"/>
      <c r="W965" s="85"/>
      <c r="X965" s="85"/>
      <c r="Y965" s="87"/>
      <c r="Z965" s="87"/>
      <c r="AA965" s="87"/>
      <c r="AB965" s="87"/>
      <c r="AC965" s="87"/>
      <c r="AD965" s="87"/>
    </row>
    <row r="966" ht="15.75" customHeight="1">
      <c r="G966" s="85"/>
      <c r="H966" s="85"/>
      <c r="I966" s="85"/>
      <c r="J966" s="85"/>
      <c r="K966" s="85"/>
      <c r="L966" s="85"/>
      <c r="M966" s="86"/>
      <c r="N966" s="86"/>
      <c r="O966" s="86"/>
      <c r="P966" s="86"/>
      <c r="Q966" s="86"/>
      <c r="R966" s="86"/>
      <c r="S966" s="85"/>
      <c r="T966" s="85"/>
      <c r="U966" s="85"/>
      <c r="V966" s="85"/>
      <c r="W966" s="85"/>
      <c r="X966" s="85"/>
      <c r="Y966" s="87"/>
      <c r="Z966" s="87"/>
      <c r="AA966" s="87"/>
      <c r="AB966" s="87"/>
      <c r="AC966" s="87"/>
      <c r="AD966" s="87"/>
    </row>
    <row r="967" ht="15.75" customHeight="1">
      <c r="G967" s="85"/>
      <c r="H967" s="85"/>
      <c r="I967" s="85"/>
      <c r="J967" s="85"/>
      <c r="K967" s="85"/>
      <c r="L967" s="85"/>
      <c r="M967" s="86"/>
      <c r="N967" s="86"/>
      <c r="O967" s="86"/>
      <c r="P967" s="86"/>
      <c r="Q967" s="86"/>
      <c r="R967" s="86"/>
      <c r="S967" s="85"/>
      <c r="T967" s="85"/>
      <c r="U967" s="85"/>
      <c r="V967" s="85"/>
      <c r="W967" s="85"/>
      <c r="X967" s="85"/>
      <c r="Y967" s="87"/>
      <c r="Z967" s="87"/>
      <c r="AA967" s="87"/>
      <c r="AB967" s="87"/>
      <c r="AC967" s="87"/>
      <c r="AD967" s="87"/>
    </row>
    <row r="968" ht="15.75" customHeight="1">
      <c r="G968" s="85"/>
      <c r="H968" s="85"/>
      <c r="I968" s="85"/>
      <c r="J968" s="85"/>
      <c r="K968" s="85"/>
      <c r="L968" s="85"/>
      <c r="M968" s="86"/>
      <c r="N968" s="86"/>
      <c r="O968" s="86"/>
      <c r="P968" s="86"/>
      <c r="Q968" s="86"/>
      <c r="R968" s="86"/>
      <c r="S968" s="85"/>
      <c r="T968" s="85"/>
      <c r="U968" s="85"/>
      <c r="V968" s="85"/>
      <c r="W968" s="85"/>
      <c r="X968" s="85"/>
      <c r="Y968" s="87"/>
      <c r="Z968" s="87"/>
      <c r="AA968" s="87"/>
      <c r="AB968" s="87"/>
      <c r="AC968" s="87"/>
      <c r="AD968" s="87"/>
    </row>
    <row r="969" ht="15.75" customHeight="1">
      <c r="G969" s="85"/>
      <c r="H969" s="85"/>
      <c r="I969" s="85"/>
      <c r="J969" s="85"/>
      <c r="K969" s="85"/>
      <c r="L969" s="85"/>
      <c r="M969" s="86"/>
      <c r="N969" s="86"/>
      <c r="O969" s="86"/>
      <c r="P969" s="86"/>
      <c r="Q969" s="86"/>
      <c r="R969" s="86"/>
      <c r="S969" s="85"/>
      <c r="T969" s="85"/>
      <c r="U969" s="85"/>
      <c r="V969" s="85"/>
      <c r="W969" s="85"/>
      <c r="X969" s="85"/>
      <c r="Y969" s="87"/>
      <c r="Z969" s="87"/>
      <c r="AA969" s="87"/>
      <c r="AB969" s="87"/>
      <c r="AC969" s="87"/>
      <c r="AD969" s="87"/>
    </row>
    <row r="970" ht="15.75" customHeight="1">
      <c r="G970" s="85"/>
      <c r="H970" s="85"/>
      <c r="I970" s="85"/>
      <c r="J970" s="85"/>
      <c r="K970" s="85"/>
      <c r="L970" s="85"/>
      <c r="M970" s="86"/>
      <c r="N970" s="86"/>
      <c r="O970" s="86"/>
      <c r="P970" s="86"/>
      <c r="Q970" s="86"/>
      <c r="R970" s="86"/>
      <c r="S970" s="85"/>
      <c r="T970" s="85"/>
      <c r="U970" s="85"/>
      <c r="V970" s="85"/>
      <c r="W970" s="85"/>
      <c r="X970" s="85"/>
      <c r="Y970" s="87"/>
      <c r="Z970" s="87"/>
      <c r="AA970" s="87"/>
      <c r="AB970" s="87"/>
      <c r="AC970" s="87"/>
      <c r="AD970" s="87"/>
    </row>
    <row r="971" ht="15.75" customHeight="1">
      <c r="G971" s="85"/>
      <c r="H971" s="85"/>
      <c r="I971" s="85"/>
      <c r="J971" s="85"/>
      <c r="K971" s="85"/>
      <c r="L971" s="85"/>
      <c r="M971" s="86"/>
      <c r="N971" s="86"/>
      <c r="O971" s="86"/>
      <c r="P971" s="86"/>
      <c r="Q971" s="86"/>
      <c r="R971" s="86"/>
      <c r="S971" s="85"/>
      <c r="T971" s="85"/>
      <c r="U971" s="85"/>
      <c r="V971" s="85"/>
      <c r="W971" s="85"/>
      <c r="X971" s="85"/>
      <c r="Y971" s="87"/>
      <c r="Z971" s="87"/>
      <c r="AA971" s="87"/>
      <c r="AB971" s="87"/>
      <c r="AC971" s="87"/>
      <c r="AD971" s="87"/>
    </row>
    <row r="972" ht="15.75" customHeight="1">
      <c r="G972" s="85"/>
      <c r="H972" s="85"/>
      <c r="I972" s="85"/>
      <c r="J972" s="85"/>
      <c r="K972" s="85"/>
      <c r="L972" s="85"/>
      <c r="M972" s="86"/>
      <c r="N972" s="86"/>
      <c r="O972" s="86"/>
      <c r="P972" s="86"/>
      <c r="Q972" s="86"/>
      <c r="R972" s="86"/>
      <c r="S972" s="85"/>
      <c r="T972" s="85"/>
      <c r="U972" s="85"/>
      <c r="V972" s="85"/>
      <c r="W972" s="85"/>
      <c r="X972" s="85"/>
      <c r="Y972" s="87"/>
      <c r="Z972" s="87"/>
      <c r="AA972" s="87"/>
      <c r="AB972" s="87"/>
      <c r="AC972" s="87"/>
      <c r="AD972" s="87"/>
    </row>
    <row r="973" ht="15.75" customHeight="1">
      <c r="G973" s="85"/>
      <c r="H973" s="85"/>
      <c r="I973" s="85"/>
      <c r="J973" s="85"/>
      <c r="K973" s="85"/>
      <c r="L973" s="85"/>
      <c r="M973" s="86"/>
      <c r="N973" s="86"/>
      <c r="O973" s="86"/>
      <c r="P973" s="86"/>
      <c r="Q973" s="86"/>
      <c r="R973" s="86"/>
      <c r="S973" s="85"/>
      <c r="T973" s="85"/>
      <c r="U973" s="85"/>
      <c r="V973" s="85"/>
      <c r="W973" s="85"/>
      <c r="X973" s="85"/>
      <c r="Y973" s="87"/>
      <c r="Z973" s="87"/>
      <c r="AA973" s="87"/>
      <c r="AB973" s="87"/>
      <c r="AC973" s="87"/>
      <c r="AD973" s="87"/>
    </row>
    <row r="974" ht="15.75" customHeight="1">
      <c r="G974" s="85"/>
      <c r="H974" s="85"/>
      <c r="I974" s="85"/>
      <c r="J974" s="85"/>
      <c r="K974" s="85"/>
      <c r="L974" s="85"/>
      <c r="M974" s="86"/>
      <c r="N974" s="86"/>
      <c r="O974" s="86"/>
      <c r="P974" s="86"/>
      <c r="Q974" s="86"/>
      <c r="R974" s="86"/>
      <c r="S974" s="85"/>
      <c r="T974" s="85"/>
      <c r="U974" s="85"/>
      <c r="V974" s="85"/>
      <c r="W974" s="85"/>
      <c r="X974" s="85"/>
      <c r="Y974" s="87"/>
      <c r="Z974" s="87"/>
      <c r="AA974" s="87"/>
      <c r="AB974" s="87"/>
      <c r="AC974" s="87"/>
      <c r="AD974" s="87"/>
    </row>
    <row r="975" ht="15.75" customHeight="1">
      <c r="G975" s="85"/>
      <c r="H975" s="85"/>
      <c r="I975" s="85"/>
      <c r="J975" s="85"/>
      <c r="K975" s="85"/>
      <c r="L975" s="85"/>
      <c r="M975" s="86"/>
      <c r="N975" s="86"/>
      <c r="O975" s="86"/>
      <c r="P975" s="86"/>
      <c r="Q975" s="86"/>
      <c r="R975" s="86"/>
      <c r="S975" s="85"/>
      <c r="T975" s="85"/>
      <c r="U975" s="85"/>
      <c r="V975" s="85"/>
      <c r="W975" s="85"/>
      <c r="X975" s="85"/>
      <c r="Y975" s="87"/>
      <c r="Z975" s="87"/>
      <c r="AA975" s="87"/>
      <c r="AB975" s="87"/>
      <c r="AC975" s="87"/>
      <c r="AD975" s="87"/>
    </row>
    <row r="976" ht="15.75" customHeight="1">
      <c r="G976" s="85"/>
      <c r="H976" s="85"/>
      <c r="I976" s="85"/>
      <c r="J976" s="85"/>
      <c r="K976" s="85"/>
      <c r="L976" s="85"/>
      <c r="M976" s="86"/>
      <c r="N976" s="86"/>
      <c r="O976" s="86"/>
      <c r="P976" s="86"/>
      <c r="Q976" s="86"/>
      <c r="R976" s="86"/>
      <c r="S976" s="85"/>
      <c r="T976" s="85"/>
      <c r="U976" s="85"/>
      <c r="V976" s="85"/>
      <c r="W976" s="85"/>
      <c r="X976" s="85"/>
      <c r="Y976" s="87"/>
      <c r="Z976" s="87"/>
      <c r="AA976" s="87"/>
      <c r="AB976" s="87"/>
      <c r="AC976" s="87"/>
      <c r="AD976" s="87"/>
    </row>
    <row r="977" ht="15.75" customHeight="1">
      <c r="G977" s="85"/>
      <c r="H977" s="85"/>
      <c r="I977" s="85"/>
      <c r="J977" s="85"/>
      <c r="K977" s="85"/>
      <c r="L977" s="85"/>
      <c r="M977" s="86"/>
      <c r="N977" s="86"/>
      <c r="O977" s="86"/>
      <c r="P977" s="86"/>
      <c r="Q977" s="86"/>
      <c r="R977" s="86"/>
      <c r="S977" s="85"/>
      <c r="T977" s="85"/>
      <c r="U977" s="85"/>
      <c r="V977" s="85"/>
      <c r="W977" s="85"/>
      <c r="X977" s="85"/>
      <c r="Y977" s="87"/>
      <c r="Z977" s="87"/>
      <c r="AA977" s="87"/>
      <c r="AB977" s="87"/>
      <c r="AC977" s="87"/>
      <c r="AD977" s="87"/>
    </row>
    <row r="978" ht="15.75" customHeight="1">
      <c r="G978" s="85"/>
      <c r="H978" s="85"/>
      <c r="I978" s="85"/>
      <c r="J978" s="85"/>
      <c r="K978" s="85"/>
      <c r="L978" s="85"/>
      <c r="M978" s="86"/>
      <c r="N978" s="86"/>
      <c r="O978" s="86"/>
      <c r="P978" s="86"/>
      <c r="Q978" s="86"/>
      <c r="R978" s="86"/>
      <c r="S978" s="85"/>
      <c r="T978" s="85"/>
      <c r="U978" s="85"/>
      <c r="V978" s="85"/>
      <c r="W978" s="85"/>
      <c r="X978" s="85"/>
      <c r="Y978" s="87"/>
      <c r="Z978" s="87"/>
      <c r="AA978" s="87"/>
      <c r="AB978" s="87"/>
      <c r="AC978" s="87"/>
      <c r="AD978" s="87"/>
    </row>
    <row r="979" ht="15.75" customHeight="1">
      <c r="G979" s="85"/>
      <c r="H979" s="85"/>
      <c r="I979" s="85"/>
      <c r="J979" s="85"/>
      <c r="K979" s="85"/>
      <c r="L979" s="85"/>
      <c r="M979" s="86"/>
      <c r="N979" s="86"/>
      <c r="O979" s="86"/>
      <c r="P979" s="86"/>
      <c r="Q979" s="86"/>
      <c r="R979" s="86"/>
      <c r="S979" s="85"/>
      <c r="T979" s="85"/>
      <c r="U979" s="85"/>
      <c r="V979" s="85"/>
      <c r="W979" s="85"/>
      <c r="X979" s="85"/>
      <c r="Y979" s="87"/>
      <c r="Z979" s="87"/>
      <c r="AA979" s="87"/>
      <c r="AB979" s="87"/>
      <c r="AC979" s="87"/>
      <c r="AD979" s="87"/>
    </row>
    <row r="980" ht="15.75" customHeight="1">
      <c r="G980" s="85"/>
      <c r="H980" s="85"/>
      <c r="I980" s="85"/>
      <c r="J980" s="85"/>
      <c r="K980" s="85"/>
      <c r="L980" s="85"/>
      <c r="M980" s="86"/>
      <c r="N980" s="86"/>
      <c r="O980" s="86"/>
      <c r="P980" s="86"/>
      <c r="Q980" s="86"/>
      <c r="R980" s="86"/>
      <c r="S980" s="85"/>
      <c r="T980" s="85"/>
      <c r="U980" s="85"/>
      <c r="V980" s="85"/>
      <c r="W980" s="85"/>
      <c r="X980" s="85"/>
      <c r="Y980" s="87"/>
      <c r="Z980" s="87"/>
      <c r="AA980" s="87"/>
      <c r="AB980" s="87"/>
      <c r="AC980" s="87"/>
      <c r="AD980" s="87"/>
    </row>
    <row r="981" ht="15.75" customHeight="1">
      <c r="G981" s="85"/>
      <c r="H981" s="85"/>
      <c r="I981" s="85"/>
      <c r="J981" s="85"/>
      <c r="K981" s="85"/>
      <c r="L981" s="85"/>
      <c r="M981" s="86"/>
      <c r="N981" s="86"/>
      <c r="O981" s="86"/>
      <c r="P981" s="86"/>
      <c r="Q981" s="86"/>
      <c r="R981" s="86"/>
      <c r="S981" s="85"/>
      <c r="T981" s="85"/>
      <c r="U981" s="85"/>
      <c r="V981" s="85"/>
      <c r="W981" s="85"/>
      <c r="X981" s="85"/>
      <c r="Y981" s="87"/>
      <c r="Z981" s="87"/>
      <c r="AA981" s="87"/>
      <c r="AB981" s="87"/>
      <c r="AC981" s="87"/>
      <c r="AD981" s="87"/>
    </row>
    <row r="982" ht="15.75" customHeight="1">
      <c r="G982" s="85"/>
      <c r="H982" s="85"/>
      <c r="I982" s="85"/>
      <c r="J982" s="85"/>
      <c r="K982" s="85"/>
      <c r="L982" s="85"/>
      <c r="M982" s="86"/>
      <c r="N982" s="86"/>
      <c r="O982" s="86"/>
      <c r="P982" s="86"/>
      <c r="Q982" s="86"/>
      <c r="R982" s="86"/>
      <c r="S982" s="85"/>
      <c r="T982" s="85"/>
      <c r="U982" s="85"/>
      <c r="V982" s="85"/>
      <c r="W982" s="85"/>
      <c r="X982" s="85"/>
      <c r="Y982" s="87"/>
      <c r="Z982" s="87"/>
      <c r="AA982" s="87"/>
      <c r="AB982" s="87"/>
      <c r="AC982" s="87"/>
      <c r="AD982" s="87"/>
    </row>
    <row r="983" ht="15.75" customHeight="1">
      <c r="G983" s="85"/>
      <c r="H983" s="85"/>
      <c r="I983" s="85"/>
      <c r="J983" s="85"/>
      <c r="K983" s="85"/>
      <c r="L983" s="85"/>
      <c r="M983" s="86"/>
      <c r="N983" s="86"/>
      <c r="O983" s="86"/>
      <c r="P983" s="86"/>
      <c r="Q983" s="86"/>
      <c r="R983" s="86"/>
      <c r="S983" s="85"/>
      <c r="T983" s="85"/>
      <c r="U983" s="85"/>
      <c r="V983" s="85"/>
      <c r="W983" s="85"/>
      <c r="X983" s="85"/>
      <c r="Y983" s="87"/>
      <c r="Z983" s="87"/>
      <c r="AA983" s="87"/>
      <c r="AB983" s="87"/>
      <c r="AC983" s="87"/>
      <c r="AD983" s="87"/>
    </row>
    <row r="984" ht="15.75" customHeight="1">
      <c r="G984" s="85"/>
      <c r="H984" s="85"/>
      <c r="I984" s="85"/>
      <c r="J984" s="85"/>
      <c r="K984" s="85"/>
      <c r="L984" s="85"/>
      <c r="M984" s="86"/>
      <c r="N984" s="86"/>
      <c r="O984" s="86"/>
      <c r="P984" s="86"/>
      <c r="Q984" s="86"/>
      <c r="R984" s="86"/>
      <c r="S984" s="85"/>
      <c r="T984" s="85"/>
      <c r="U984" s="85"/>
      <c r="V984" s="85"/>
      <c r="W984" s="85"/>
      <c r="X984" s="85"/>
      <c r="Y984" s="87"/>
      <c r="Z984" s="87"/>
      <c r="AA984" s="87"/>
      <c r="AB984" s="87"/>
      <c r="AC984" s="87"/>
      <c r="AD984" s="87"/>
    </row>
    <row r="985" ht="15.75" customHeight="1">
      <c r="G985" s="85"/>
      <c r="H985" s="85"/>
      <c r="I985" s="85"/>
      <c r="J985" s="85"/>
      <c r="K985" s="85"/>
      <c r="L985" s="85"/>
      <c r="M985" s="86"/>
      <c r="N985" s="86"/>
      <c r="O985" s="86"/>
      <c r="P985" s="86"/>
      <c r="Q985" s="86"/>
      <c r="R985" s="86"/>
      <c r="S985" s="85"/>
      <c r="T985" s="85"/>
      <c r="U985" s="85"/>
      <c r="V985" s="85"/>
      <c r="W985" s="85"/>
      <c r="X985" s="85"/>
      <c r="Y985" s="87"/>
      <c r="Z985" s="87"/>
      <c r="AA985" s="87"/>
      <c r="AB985" s="87"/>
      <c r="AC985" s="87"/>
      <c r="AD985" s="87"/>
    </row>
    <row r="986" ht="15.75" customHeight="1">
      <c r="G986" s="85"/>
      <c r="H986" s="85"/>
      <c r="I986" s="85"/>
      <c r="J986" s="85"/>
      <c r="K986" s="85"/>
      <c r="L986" s="85"/>
      <c r="M986" s="86"/>
      <c r="N986" s="86"/>
      <c r="O986" s="86"/>
      <c r="P986" s="86"/>
      <c r="Q986" s="86"/>
      <c r="R986" s="86"/>
      <c r="S986" s="85"/>
      <c r="T986" s="85"/>
      <c r="U986" s="85"/>
      <c r="V986" s="85"/>
      <c r="W986" s="85"/>
      <c r="X986" s="85"/>
      <c r="Y986" s="87"/>
      <c r="Z986" s="87"/>
      <c r="AA986" s="87"/>
      <c r="AB986" s="87"/>
      <c r="AC986" s="87"/>
      <c r="AD986" s="87"/>
    </row>
    <row r="987" ht="15.75" customHeight="1">
      <c r="G987" s="85"/>
      <c r="H987" s="85"/>
      <c r="I987" s="85"/>
      <c r="J987" s="85"/>
      <c r="K987" s="85"/>
      <c r="L987" s="85"/>
      <c r="M987" s="86"/>
      <c r="N987" s="86"/>
      <c r="O987" s="86"/>
      <c r="P987" s="86"/>
      <c r="Q987" s="86"/>
      <c r="R987" s="86"/>
      <c r="S987" s="85"/>
      <c r="T987" s="85"/>
      <c r="U987" s="85"/>
      <c r="V987" s="85"/>
      <c r="W987" s="85"/>
      <c r="X987" s="85"/>
      <c r="Y987" s="87"/>
      <c r="Z987" s="87"/>
      <c r="AA987" s="87"/>
      <c r="AB987" s="87"/>
      <c r="AC987" s="87"/>
      <c r="AD987" s="87"/>
    </row>
    <row r="988" ht="15.75" customHeight="1">
      <c r="G988" s="85"/>
      <c r="H988" s="85"/>
      <c r="I988" s="85"/>
      <c r="J988" s="85"/>
      <c r="K988" s="85"/>
      <c r="L988" s="85"/>
      <c r="M988" s="86"/>
      <c r="N988" s="86"/>
      <c r="O988" s="86"/>
      <c r="P988" s="86"/>
      <c r="Q988" s="86"/>
      <c r="R988" s="86"/>
      <c r="S988" s="85"/>
      <c r="T988" s="85"/>
      <c r="U988" s="85"/>
      <c r="V988" s="85"/>
      <c r="W988" s="85"/>
      <c r="X988" s="85"/>
      <c r="Y988" s="87"/>
      <c r="Z988" s="87"/>
      <c r="AA988" s="87"/>
      <c r="AB988" s="87"/>
      <c r="AC988" s="87"/>
      <c r="AD988" s="87"/>
    </row>
    <row r="989" ht="15.75" customHeight="1">
      <c r="G989" s="85"/>
      <c r="H989" s="85"/>
      <c r="I989" s="85"/>
      <c r="J989" s="85"/>
      <c r="K989" s="85"/>
      <c r="L989" s="85"/>
      <c r="M989" s="86"/>
      <c r="N989" s="86"/>
      <c r="O989" s="86"/>
      <c r="P989" s="86"/>
      <c r="Q989" s="86"/>
      <c r="R989" s="86"/>
      <c r="S989" s="85"/>
      <c r="T989" s="85"/>
      <c r="U989" s="85"/>
      <c r="V989" s="85"/>
      <c r="W989" s="85"/>
      <c r="X989" s="85"/>
      <c r="Y989" s="87"/>
      <c r="Z989" s="87"/>
      <c r="AA989" s="87"/>
      <c r="AB989" s="87"/>
      <c r="AC989" s="87"/>
      <c r="AD989" s="87"/>
    </row>
    <row r="990" ht="15.75" customHeight="1">
      <c r="G990" s="85"/>
      <c r="H990" s="85"/>
      <c r="I990" s="85"/>
      <c r="J990" s="85"/>
      <c r="K990" s="85"/>
      <c r="L990" s="85"/>
      <c r="M990" s="86"/>
      <c r="N990" s="86"/>
      <c r="O990" s="86"/>
      <c r="P990" s="86"/>
      <c r="Q990" s="86"/>
      <c r="R990" s="86"/>
      <c r="S990" s="85"/>
      <c r="T990" s="85"/>
      <c r="U990" s="85"/>
      <c r="V990" s="85"/>
      <c r="W990" s="85"/>
      <c r="X990" s="85"/>
      <c r="Y990" s="87"/>
      <c r="Z990" s="87"/>
      <c r="AA990" s="87"/>
      <c r="AB990" s="87"/>
      <c r="AC990" s="87"/>
      <c r="AD990" s="87"/>
    </row>
    <row r="991" ht="15.75" customHeight="1">
      <c r="G991" s="85"/>
      <c r="H991" s="85"/>
      <c r="I991" s="85"/>
      <c r="J991" s="85"/>
      <c r="K991" s="85"/>
      <c r="L991" s="85"/>
      <c r="M991" s="86"/>
      <c r="N991" s="86"/>
      <c r="O991" s="86"/>
      <c r="P991" s="86"/>
      <c r="Q991" s="86"/>
      <c r="R991" s="86"/>
      <c r="S991" s="85"/>
      <c r="T991" s="85"/>
      <c r="U991" s="85"/>
      <c r="V991" s="85"/>
      <c r="W991" s="85"/>
      <c r="X991" s="85"/>
      <c r="Y991" s="87"/>
      <c r="Z991" s="87"/>
      <c r="AA991" s="87"/>
      <c r="AB991" s="87"/>
      <c r="AC991" s="87"/>
      <c r="AD991" s="87"/>
    </row>
    <row r="992" ht="15.75" customHeight="1">
      <c r="G992" s="85"/>
      <c r="H992" s="85"/>
      <c r="I992" s="85"/>
      <c r="J992" s="85"/>
      <c r="K992" s="85"/>
      <c r="L992" s="85"/>
      <c r="M992" s="86"/>
      <c r="N992" s="86"/>
      <c r="O992" s="86"/>
      <c r="P992" s="86"/>
      <c r="Q992" s="86"/>
      <c r="R992" s="86"/>
      <c r="S992" s="85"/>
      <c r="T992" s="85"/>
      <c r="U992" s="85"/>
      <c r="V992" s="85"/>
      <c r="W992" s="85"/>
      <c r="X992" s="85"/>
      <c r="Y992" s="87"/>
      <c r="Z992" s="87"/>
      <c r="AA992" s="87"/>
      <c r="AB992" s="87"/>
      <c r="AC992" s="87"/>
      <c r="AD992" s="87"/>
    </row>
    <row r="993" ht="15.75" customHeight="1">
      <c r="G993" s="85"/>
      <c r="H993" s="85"/>
      <c r="I993" s="85"/>
      <c r="J993" s="85"/>
      <c r="K993" s="85"/>
      <c r="L993" s="85"/>
      <c r="M993" s="86"/>
      <c r="N993" s="86"/>
      <c r="O993" s="86"/>
      <c r="P993" s="86"/>
      <c r="Q993" s="86"/>
      <c r="R993" s="86"/>
      <c r="S993" s="85"/>
      <c r="T993" s="85"/>
      <c r="U993" s="85"/>
      <c r="V993" s="85"/>
      <c r="W993" s="85"/>
      <c r="X993" s="85"/>
      <c r="Y993" s="87"/>
      <c r="Z993" s="87"/>
      <c r="AA993" s="87"/>
      <c r="AB993" s="87"/>
      <c r="AC993" s="87"/>
      <c r="AD993" s="87"/>
    </row>
    <row r="994" ht="15.75" customHeight="1">
      <c r="G994" s="85"/>
      <c r="H994" s="85"/>
      <c r="I994" s="85"/>
      <c r="J994" s="85"/>
      <c r="K994" s="85"/>
      <c r="L994" s="85"/>
      <c r="M994" s="86"/>
      <c r="N994" s="86"/>
      <c r="O994" s="86"/>
      <c r="P994" s="86"/>
      <c r="Q994" s="86"/>
      <c r="R994" s="86"/>
      <c r="S994" s="85"/>
      <c r="T994" s="85"/>
      <c r="U994" s="85"/>
      <c r="V994" s="85"/>
      <c r="W994" s="85"/>
      <c r="X994" s="85"/>
      <c r="Y994" s="87"/>
      <c r="Z994" s="87"/>
      <c r="AA994" s="87"/>
      <c r="AB994" s="87"/>
      <c r="AC994" s="87"/>
      <c r="AD994" s="87"/>
    </row>
    <row r="995" ht="15.75" customHeight="1">
      <c r="G995" s="85"/>
      <c r="H995" s="85"/>
      <c r="I995" s="85"/>
      <c r="J995" s="85"/>
      <c r="K995" s="85"/>
      <c r="L995" s="85"/>
      <c r="M995" s="86"/>
      <c r="N995" s="86"/>
      <c r="O995" s="86"/>
      <c r="P995" s="86"/>
      <c r="Q995" s="86"/>
      <c r="R995" s="86"/>
      <c r="S995" s="85"/>
      <c r="T995" s="85"/>
      <c r="U995" s="85"/>
      <c r="V995" s="85"/>
      <c r="W995" s="85"/>
      <c r="X995" s="85"/>
      <c r="Y995" s="87"/>
      <c r="Z995" s="87"/>
      <c r="AA995" s="87"/>
      <c r="AB995" s="87"/>
      <c r="AC995" s="87"/>
      <c r="AD995" s="87"/>
    </row>
    <row r="996" ht="15.75" customHeight="1">
      <c r="G996" s="85"/>
      <c r="H996" s="85"/>
      <c r="I996" s="85"/>
      <c r="J996" s="85"/>
      <c r="K996" s="85"/>
      <c r="L996" s="85"/>
      <c r="M996" s="86"/>
      <c r="N996" s="86"/>
      <c r="O996" s="86"/>
      <c r="P996" s="86"/>
      <c r="Q996" s="86"/>
      <c r="R996" s="86"/>
      <c r="S996" s="85"/>
      <c r="T996" s="85"/>
      <c r="U996" s="85"/>
      <c r="V996" s="85"/>
      <c r="W996" s="85"/>
      <c r="X996" s="85"/>
      <c r="Y996" s="87"/>
      <c r="Z996" s="87"/>
      <c r="AA996" s="87"/>
      <c r="AB996" s="87"/>
      <c r="AC996" s="87"/>
      <c r="AD996" s="87"/>
    </row>
    <row r="997" ht="15.75" customHeight="1">
      <c r="G997" s="85"/>
      <c r="H997" s="85"/>
      <c r="I997" s="85"/>
      <c r="J997" s="85"/>
      <c r="K997" s="85"/>
      <c r="L997" s="85"/>
      <c r="M997" s="86"/>
      <c r="N997" s="86"/>
      <c r="O997" s="86"/>
      <c r="P997" s="86"/>
      <c r="Q997" s="86"/>
      <c r="R997" s="86"/>
      <c r="S997" s="85"/>
      <c r="T997" s="85"/>
      <c r="U997" s="85"/>
      <c r="V997" s="85"/>
      <c r="W997" s="85"/>
      <c r="X997" s="85"/>
      <c r="Y997" s="87"/>
      <c r="Z997" s="87"/>
      <c r="AA997" s="87"/>
      <c r="AB997" s="87"/>
      <c r="AC997" s="87"/>
      <c r="AD997" s="87"/>
    </row>
    <row r="998" ht="15.75" customHeight="1">
      <c r="G998" s="85"/>
      <c r="H998" s="85"/>
      <c r="I998" s="85"/>
      <c r="J998" s="85"/>
      <c r="K998" s="85"/>
      <c r="L998" s="85"/>
      <c r="M998" s="86"/>
      <c r="N998" s="86"/>
      <c r="O998" s="86"/>
      <c r="P998" s="86"/>
      <c r="Q998" s="86"/>
      <c r="R998" s="86"/>
      <c r="S998" s="85"/>
      <c r="T998" s="85"/>
      <c r="U998" s="85"/>
      <c r="V998" s="85"/>
      <c r="W998" s="85"/>
      <c r="X998" s="85"/>
      <c r="Y998" s="87"/>
      <c r="Z998" s="87"/>
      <c r="AA998" s="87"/>
      <c r="AB998" s="87"/>
      <c r="AC998" s="87"/>
      <c r="AD998" s="87"/>
    </row>
    <row r="999" ht="15.75" customHeight="1">
      <c r="G999" s="85"/>
      <c r="H999" s="85"/>
      <c r="I999" s="85"/>
      <c r="J999" s="85"/>
      <c r="K999" s="85"/>
      <c r="L999" s="85"/>
      <c r="M999" s="86"/>
      <c r="N999" s="86"/>
      <c r="O999" s="86"/>
      <c r="P999" s="86"/>
      <c r="Q999" s="86"/>
      <c r="R999" s="86"/>
      <c r="S999" s="85"/>
      <c r="T999" s="85"/>
      <c r="U999" s="85"/>
      <c r="V999" s="85"/>
      <c r="W999" s="85"/>
      <c r="X999" s="85"/>
      <c r="Y999" s="87"/>
      <c r="Z999" s="87"/>
      <c r="AA999" s="87"/>
      <c r="AB999" s="87"/>
      <c r="AC999" s="87"/>
      <c r="AD999" s="87"/>
    </row>
    <row r="1000" ht="15.75" customHeight="1">
      <c r="G1000" s="85"/>
      <c r="H1000" s="85"/>
      <c r="I1000" s="85"/>
      <c r="J1000" s="85"/>
      <c r="K1000" s="85"/>
      <c r="L1000" s="85"/>
      <c r="M1000" s="86"/>
      <c r="N1000" s="86"/>
      <c r="O1000" s="86"/>
      <c r="P1000" s="86"/>
      <c r="Q1000" s="86"/>
      <c r="R1000" s="86"/>
      <c r="S1000" s="85"/>
      <c r="T1000" s="85"/>
      <c r="U1000" s="85"/>
      <c r="V1000" s="85"/>
      <c r="W1000" s="85"/>
      <c r="X1000" s="85"/>
      <c r="Y1000" s="87"/>
      <c r="Z1000" s="87"/>
      <c r="AA1000" s="87"/>
      <c r="AB1000" s="87"/>
      <c r="AC1000" s="87"/>
      <c r="AD1000" s="87"/>
    </row>
    <row r="1001" ht="15.75" customHeight="1">
      <c r="G1001" s="85"/>
      <c r="H1001" s="85"/>
      <c r="I1001" s="85"/>
      <c r="J1001" s="85"/>
      <c r="K1001" s="85"/>
      <c r="L1001" s="85"/>
      <c r="M1001" s="86"/>
      <c r="N1001" s="86"/>
      <c r="O1001" s="86"/>
      <c r="P1001" s="86"/>
      <c r="Q1001" s="86"/>
      <c r="R1001" s="86"/>
      <c r="S1001" s="85"/>
      <c r="T1001" s="85"/>
      <c r="U1001" s="85"/>
      <c r="V1001" s="85"/>
      <c r="W1001" s="85"/>
      <c r="X1001" s="85"/>
      <c r="Y1001" s="87"/>
      <c r="Z1001" s="87"/>
      <c r="AA1001" s="87"/>
      <c r="AB1001" s="87"/>
      <c r="AC1001" s="87"/>
      <c r="AD1001" s="87"/>
    </row>
    <row r="1002" ht="15.75" customHeight="1">
      <c r="G1002" s="85"/>
      <c r="H1002" s="85"/>
      <c r="I1002" s="85"/>
      <c r="J1002" s="85"/>
      <c r="K1002" s="85"/>
      <c r="L1002" s="85"/>
      <c r="M1002" s="86"/>
      <c r="N1002" s="86"/>
      <c r="O1002" s="86"/>
      <c r="P1002" s="86"/>
      <c r="Q1002" s="86"/>
      <c r="R1002" s="86"/>
      <c r="S1002" s="85"/>
      <c r="T1002" s="85"/>
      <c r="U1002" s="85"/>
      <c r="V1002" s="85"/>
      <c r="W1002" s="85"/>
      <c r="X1002" s="85"/>
      <c r="Y1002" s="87"/>
      <c r="Z1002" s="87"/>
      <c r="AA1002" s="87"/>
      <c r="AB1002" s="87"/>
      <c r="AC1002" s="87"/>
      <c r="AD1002" s="87"/>
    </row>
  </sheetData>
  <dataValidations>
    <dataValidation type="list" allowBlank="1" sqref="G2:G52 M2:M52 S2:S52 Y2:Y52">
      <formula1>"Found,Carried but zero stock,Couldn't find by search,Not carried,Not checked"</formula1>
    </dataValidation>
    <dataValidation type="list" allowBlank="1" sqref="AK2:AK52">
      <formula1>"Daily,Weekly,Monthly"</formula1>
    </dataValidation>
    <dataValidation type="list" allowBlank="1" sqref="AH2:AI52">
      <formula1>"Yes,No"</formula1>
    </dataValidation>
  </dataValidations>
  <hyperlinks>
    <hyperlink r:id="rId1" ref="K2"/>
    <hyperlink r:id="rId2" ref="Q2"/>
    <hyperlink r:id="rId3" ref="W2"/>
    <hyperlink r:id="rId4" ref="AC2"/>
    <hyperlink r:id="rId5" ref="K3"/>
    <hyperlink r:id="rId6" ref="Q3"/>
    <hyperlink r:id="rId7" ref="W3"/>
    <hyperlink r:id="rId8" ref="AC3"/>
    <hyperlink r:id="rId9" ref="K4"/>
    <hyperlink r:id="rId10" ref="Q4"/>
    <hyperlink r:id="rId11" ref="W4"/>
    <hyperlink r:id="rId12" ref="AC4"/>
    <hyperlink r:id="rId13" ref="K5"/>
    <hyperlink r:id="rId14" ref="Q5"/>
    <hyperlink r:id="rId15" ref="W5"/>
    <hyperlink r:id="rId16" ref="AC5"/>
    <hyperlink r:id="rId17" ref="K6"/>
    <hyperlink r:id="rId18" ref="Q6"/>
    <hyperlink r:id="rId19" ref="W6"/>
    <hyperlink r:id="rId20" ref="AC6"/>
    <hyperlink r:id="rId21" ref="K7"/>
    <hyperlink r:id="rId22" ref="Q7"/>
    <hyperlink r:id="rId23" ref="W7"/>
    <hyperlink r:id="rId24" ref="AC7"/>
    <hyperlink r:id="rId25" ref="K8"/>
    <hyperlink r:id="rId26" ref="Q8"/>
    <hyperlink r:id="rId27" ref="W8"/>
    <hyperlink r:id="rId28" ref="AC8"/>
    <hyperlink r:id="rId29" ref="K11"/>
    <hyperlink r:id="rId30" ref="Q11"/>
    <hyperlink r:id="rId31" ref="W11"/>
    <hyperlink r:id="rId32" ref="AC11"/>
    <hyperlink r:id="rId33" ref="K12"/>
    <hyperlink r:id="rId34" ref="Q12"/>
    <hyperlink r:id="rId35" ref="W12"/>
    <hyperlink r:id="rId36" ref="AC12"/>
    <hyperlink r:id="rId37" ref="K14"/>
    <hyperlink r:id="rId38" ref="Q14"/>
    <hyperlink r:id="rId39" ref="W14"/>
    <hyperlink r:id="rId40" ref="AC14"/>
    <hyperlink r:id="rId41" ref="K15"/>
    <hyperlink r:id="rId42" ref="Q15"/>
    <hyperlink r:id="rId43" ref="W15"/>
    <hyperlink r:id="rId44" ref="AC15"/>
    <hyperlink r:id="rId45" ref="K16"/>
    <hyperlink r:id="rId46" ref="Q16"/>
    <hyperlink r:id="rId47" ref="W16"/>
    <hyperlink r:id="rId48" ref="AC16"/>
    <hyperlink r:id="rId49" ref="K18"/>
    <hyperlink r:id="rId50" ref="Q18"/>
    <hyperlink r:id="rId51" ref="W18"/>
    <hyperlink r:id="rId52" ref="AC18"/>
    <hyperlink r:id="rId53" ref="K19"/>
    <hyperlink r:id="rId54" ref="Q19"/>
    <hyperlink r:id="rId55" ref="W19"/>
    <hyperlink r:id="rId56" ref="AC19"/>
    <hyperlink r:id="rId57" ref="K20"/>
    <hyperlink r:id="rId58" ref="Q20"/>
    <hyperlink r:id="rId59" ref="W20"/>
    <hyperlink r:id="rId60" ref="AC20"/>
    <hyperlink r:id="rId61" ref="K21"/>
    <hyperlink r:id="rId62" ref="Q21"/>
    <hyperlink r:id="rId63" ref="W21"/>
    <hyperlink r:id="rId64" ref="AC21"/>
    <hyperlink r:id="rId65" ref="K22"/>
    <hyperlink r:id="rId66" ref="Q22"/>
    <hyperlink r:id="rId67" ref="W22"/>
    <hyperlink r:id="rId68" ref="AC22"/>
    <hyperlink r:id="rId69" ref="K23"/>
    <hyperlink r:id="rId70" ref="Q23"/>
    <hyperlink r:id="rId71" ref="W23"/>
    <hyperlink r:id="rId72" ref="AC23"/>
    <hyperlink r:id="rId73" ref="K24"/>
    <hyperlink r:id="rId74" ref="Q24"/>
    <hyperlink r:id="rId75" ref="W24"/>
    <hyperlink r:id="rId76" ref="AC24"/>
    <hyperlink r:id="rId77" ref="K25"/>
    <hyperlink r:id="rId78" ref="Q25"/>
    <hyperlink r:id="rId79" ref="W25"/>
    <hyperlink r:id="rId80" ref="AC25"/>
    <hyperlink r:id="rId81" ref="K26"/>
    <hyperlink r:id="rId82" ref="Q26"/>
    <hyperlink r:id="rId83" ref="W26"/>
    <hyperlink r:id="rId84" ref="AC26"/>
  </hyperlinks>
  <printOptions/>
  <pageMargins bottom="1.0" footer="0.0" header="0.0" left="0.75" right="0.75" top="1.0"/>
  <pageSetup orientation="landscape"/>
  <drawing r:id="rId8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5.0"/>
    <col customWidth="1" min="2" max="2" width="9.0"/>
    <col customWidth="1" min="3" max="3" width="24.0"/>
    <col customWidth="1" min="4" max="4" width="40.0"/>
    <col customWidth="1" min="5" max="5" width="34.0"/>
    <col customWidth="1" min="6" max="6" width="7.0"/>
    <col customWidth="1" min="7" max="7" width="16.0"/>
    <col customWidth="1" min="8" max="8" width="10.0"/>
    <col customWidth="1" min="9" max="9" width="8.0"/>
    <col customWidth="1" min="10" max="10" width="34.0"/>
    <col customWidth="1" min="11" max="11" width="30.0"/>
    <col customWidth="1" min="12" max="12" width="8.0"/>
    <col customWidth="1" min="13" max="13" width="16.0"/>
    <col customWidth="1" min="14" max="14" width="10.0"/>
    <col customWidth="1" min="15" max="15" width="8.0"/>
    <col customWidth="1" min="16" max="16" width="34.0"/>
    <col customWidth="1" min="17" max="17" width="30.0"/>
    <col customWidth="1" min="18" max="18" width="8.0"/>
    <col customWidth="1" min="19" max="19" width="16.0"/>
    <col customWidth="1" min="20" max="20" width="10.0"/>
    <col customWidth="1" min="21" max="21" width="8.0"/>
    <col customWidth="1" min="22" max="22" width="34.0"/>
    <col customWidth="1" min="23" max="23" width="30.0"/>
    <col customWidth="1" min="24" max="48" width="25.71"/>
    <col customWidth="1" min="49" max="50" width="33.14"/>
    <col customWidth="1" min="51" max="51" width="31.29"/>
    <col customWidth="1" min="52" max="52" width="26.0"/>
    <col customWidth="1" min="53" max="53" width="16.0"/>
    <col customWidth="1" min="54" max="54" width="14.0"/>
    <col customWidth="1" min="55" max="55" width="26.0"/>
    <col customWidth="1" min="56" max="56" width="20.0"/>
    <col customWidth="1" min="57" max="57" width="40.0"/>
  </cols>
  <sheetData>
    <row r="1" ht="75.0" customHeight="1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3" t="s">
        <v>22</v>
      </c>
      <c r="H1" s="13" t="s">
        <v>23</v>
      </c>
      <c r="I1" s="13" t="s">
        <v>24</v>
      </c>
      <c r="J1" s="13" t="s">
        <v>25</v>
      </c>
      <c r="K1" s="13" t="s">
        <v>26</v>
      </c>
      <c r="L1" s="13" t="s">
        <v>27</v>
      </c>
      <c r="M1" s="13" t="s">
        <v>28</v>
      </c>
      <c r="N1" s="13" t="s">
        <v>29</v>
      </c>
      <c r="O1" s="13" t="s">
        <v>30</v>
      </c>
      <c r="P1" s="13" t="s">
        <v>31</v>
      </c>
      <c r="Q1" s="13" t="s">
        <v>32</v>
      </c>
      <c r="R1" s="13" t="s">
        <v>33</v>
      </c>
      <c r="S1" s="13" t="s">
        <v>34</v>
      </c>
      <c r="T1" s="13" t="s">
        <v>35</v>
      </c>
      <c r="U1" s="13" t="s">
        <v>36</v>
      </c>
      <c r="V1" s="13" t="s">
        <v>37</v>
      </c>
      <c r="W1" s="13" t="s">
        <v>38</v>
      </c>
      <c r="X1" s="13" t="s">
        <v>39</v>
      </c>
      <c r="Y1" s="18" t="s">
        <v>40</v>
      </c>
      <c r="Z1" s="18" t="s">
        <v>41</v>
      </c>
      <c r="AA1" s="18" t="s">
        <v>42</v>
      </c>
      <c r="AB1" s="18" t="s">
        <v>43</v>
      </c>
      <c r="AC1" s="18" t="s">
        <v>44</v>
      </c>
      <c r="AD1" s="18" t="s">
        <v>45</v>
      </c>
      <c r="AE1" s="18" t="s">
        <v>46</v>
      </c>
      <c r="AF1" s="18" t="s">
        <v>47</v>
      </c>
      <c r="AG1" s="18" t="s">
        <v>48</v>
      </c>
      <c r="AH1" s="18" t="s">
        <v>49</v>
      </c>
      <c r="AI1" s="18" t="s">
        <v>50</v>
      </c>
      <c r="AJ1" s="18" t="s">
        <v>51</v>
      </c>
      <c r="AK1" s="18" t="s">
        <v>52</v>
      </c>
      <c r="AL1" s="18" t="s">
        <v>53</v>
      </c>
      <c r="AM1" s="18" t="s">
        <v>54</v>
      </c>
      <c r="AN1" s="18" t="s">
        <v>55</v>
      </c>
      <c r="AO1" s="18" t="s">
        <v>56</v>
      </c>
      <c r="AP1" s="18" t="s">
        <v>57</v>
      </c>
      <c r="AQ1" s="13" t="s">
        <v>61</v>
      </c>
      <c r="AR1" s="13" t="s">
        <v>63</v>
      </c>
      <c r="AS1" s="13" t="s">
        <v>65</v>
      </c>
      <c r="AT1" s="13" t="s">
        <v>66</v>
      </c>
      <c r="AU1" s="13" t="s">
        <v>67</v>
      </c>
      <c r="AV1" s="13" t="s">
        <v>69</v>
      </c>
      <c r="AW1" s="23" t="s">
        <v>70</v>
      </c>
      <c r="AX1" s="23" t="s">
        <v>71</v>
      </c>
      <c r="AY1" s="13" t="s">
        <v>72</v>
      </c>
      <c r="AZ1" s="18" t="s">
        <v>73</v>
      </c>
      <c r="BA1" s="18" t="s">
        <v>74</v>
      </c>
      <c r="BB1" s="18" t="s">
        <v>75</v>
      </c>
      <c r="BC1" s="18" t="s">
        <v>76</v>
      </c>
      <c r="BD1" s="18" t="s">
        <v>77</v>
      </c>
      <c r="BE1" s="18" t="s">
        <v>78</v>
      </c>
    </row>
    <row r="2">
      <c r="A2" s="31">
        <v>1.0</v>
      </c>
      <c r="B2" s="31">
        <v>1.0</v>
      </c>
      <c r="C2" s="31" t="s">
        <v>80</v>
      </c>
      <c r="D2" s="31" t="s">
        <v>81</v>
      </c>
      <c r="E2" s="31" t="s">
        <v>82</v>
      </c>
      <c r="F2" s="31">
        <v>1.0</v>
      </c>
      <c r="G2" s="33" t="s">
        <v>83</v>
      </c>
      <c r="H2" s="33">
        <v>6249.4</v>
      </c>
      <c r="I2" s="33" t="s">
        <v>84</v>
      </c>
      <c r="J2" s="33" t="s">
        <v>85</v>
      </c>
      <c r="K2" s="39" t="s">
        <v>87</v>
      </c>
      <c r="L2" s="33"/>
      <c r="M2" s="33" t="s">
        <v>86</v>
      </c>
      <c r="N2" s="31"/>
      <c r="O2" s="31"/>
      <c r="P2" s="31"/>
      <c r="Q2" s="33" t="s">
        <v>91</v>
      </c>
      <c r="R2" s="33"/>
      <c r="S2" s="40" t="s">
        <v>83</v>
      </c>
      <c r="T2" s="33">
        <v>6010.0</v>
      </c>
      <c r="U2" s="33" t="s">
        <v>84</v>
      </c>
      <c r="V2" s="33" t="s">
        <v>92</v>
      </c>
      <c r="W2" s="40" t="s">
        <v>93</v>
      </c>
      <c r="X2" s="33">
        <v>1.0</v>
      </c>
      <c r="Y2" s="33" t="s">
        <v>86</v>
      </c>
      <c r="Z2" s="33"/>
      <c r="AA2" s="33"/>
      <c r="AB2" s="33"/>
      <c r="AC2" s="33" t="s">
        <v>94</v>
      </c>
      <c r="AD2" s="33">
        <v>2.0</v>
      </c>
      <c r="AE2" s="33" t="s">
        <v>86</v>
      </c>
      <c r="AF2" s="33"/>
      <c r="AG2" s="33"/>
      <c r="AH2" s="33"/>
      <c r="AI2" s="33" t="s">
        <v>95</v>
      </c>
      <c r="AJ2" s="33">
        <v>2.0</v>
      </c>
      <c r="AK2" s="33" t="s">
        <v>86</v>
      </c>
      <c r="AL2" s="33"/>
      <c r="AM2" s="33"/>
      <c r="AN2" s="33"/>
      <c r="AO2" s="33" t="s">
        <v>96</v>
      </c>
      <c r="AP2" s="33">
        <v>2.0</v>
      </c>
      <c r="AQ2" s="33" t="s">
        <v>86</v>
      </c>
      <c r="AR2" s="33"/>
      <c r="AS2" s="33"/>
      <c r="AT2" s="33"/>
      <c r="AU2" s="33" t="s">
        <v>98</v>
      </c>
      <c r="AV2" s="33">
        <v>2.0</v>
      </c>
      <c r="AW2" s="31" t="str">
        <f t="shared" ref="AW2:AW26" si="1">IF(OR(COUNT(H2,N2,T2,Z2,AF2,AL2,AR2)&gt;0,G2="Found",M2="Found",S2="Found",Y2="Found",AE2="Found",AK2="Found",AQ2="Found",G2="Carried but zero stock",M2="Carried but zero stock",S2="Carried but zero stock",Y2="Carried but zero stock",AE2="Carried but zero stock",AK2="Carried but zero stock",AQ2="Carried but zero stock"),"Yes","No")</f>
        <v>Yes</v>
      </c>
      <c r="AX2" s="33" t="s">
        <v>104</v>
      </c>
      <c r="AY2" s="31"/>
      <c r="AZ2" s="31"/>
      <c r="BA2" s="31"/>
      <c r="BB2" s="31"/>
      <c r="BC2" s="18" t="str">
        <f t="shared" ref="BC2:BC4" si="2">IF(AW2="Yes","Found at our houses",IF(COUNTIF(G2,"Carried but zero stock")+COUNTIF(M2,"Carried but zero stock")+COUNTIF(S2,"Carried but zero stock")&gt;0,"Carried but zero stock today",IF(AZ2="","Pending",IF(AND(BA2="Yes",BB2="Yes"),"Reachable, adapter needed","No value add"))))</f>
        <v>Found at our houses</v>
      </c>
      <c r="BD2" s="31"/>
      <c r="BE2" s="31"/>
    </row>
    <row r="3">
      <c r="A3" s="31">
        <v>2.0</v>
      </c>
      <c r="B3" s="31"/>
      <c r="C3" s="31" t="s">
        <v>80</v>
      </c>
      <c r="D3" s="31" t="s">
        <v>89</v>
      </c>
      <c r="E3" s="31" t="s">
        <v>90</v>
      </c>
      <c r="F3" s="31">
        <v>1.0</v>
      </c>
      <c r="G3" s="33" t="s">
        <v>83</v>
      </c>
      <c r="H3" s="33">
        <v>52.79</v>
      </c>
      <c r="I3" s="33" t="s">
        <v>84</v>
      </c>
      <c r="J3" s="33" t="s">
        <v>110</v>
      </c>
      <c r="K3" s="39" t="s">
        <v>111</v>
      </c>
      <c r="L3" s="33"/>
      <c r="M3" s="33" t="s">
        <v>83</v>
      </c>
      <c r="N3" s="33">
        <v>31.83</v>
      </c>
      <c r="O3" s="33" t="s">
        <v>84</v>
      </c>
      <c r="P3" s="33" t="s">
        <v>114</v>
      </c>
      <c r="Q3" s="39" t="s">
        <v>115</v>
      </c>
      <c r="R3" s="33"/>
      <c r="S3" s="33" t="s">
        <v>83</v>
      </c>
      <c r="T3" s="33">
        <v>34.0</v>
      </c>
      <c r="U3" s="33" t="s">
        <v>84</v>
      </c>
      <c r="V3" s="33" t="s">
        <v>121</v>
      </c>
      <c r="W3" s="40" t="s">
        <v>122</v>
      </c>
      <c r="X3" s="33">
        <v>1.0</v>
      </c>
      <c r="Y3" s="33" t="s">
        <v>83</v>
      </c>
      <c r="Z3" s="33">
        <v>62.025</v>
      </c>
      <c r="AA3" s="33" t="s">
        <v>84</v>
      </c>
      <c r="AB3" s="33" t="s">
        <v>123</v>
      </c>
      <c r="AC3" s="33" t="s">
        <v>124</v>
      </c>
      <c r="AD3" s="33">
        <v>3.0</v>
      </c>
      <c r="AE3" s="33" t="s">
        <v>83</v>
      </c>
      <c r="AF3" s="33">
        <v>73.3</v>
      </c>
      <c r="AG3" s="33" t="s">
        <v>84</v>
      </c>
      <c r="AH3" s="33" t="s">
        <v>125</v>
      </c>
      <c r="AI3" s="33" t="s">
        <v>126</v>
      </c>
      <c r="AJ3" s="33">
        <v>4.0</v>
      </c>
      <c r="AK3" s="33" t="s">
        <v>86</v>
      </c>
      <c r="AL3" s="33"/>
      <c r="AM3" s="33"/>
      <c r="AN3" s="33"/>
      <c r="AO3" s="33" t="s">
        <v>127</v>
      </c>
      <c r="AP3" s="33">
        <v>2.0</v>
      </c>
      <c r="AQ3" s="33" t="s">
        <v>86</v>
      </c>
      <c r="AR3" s="33"/>
      <c r="AS3" s="33"/>
      <c r="AT3" s="33"/>
      <c r="AU3" s="33" t="s">
        <v>128</v>
      </c>
      <c r="AV3" s="33">
        <v>2.0</v>
      </c>
      <c r="AW3" s="33" t="str">
        <f t="shared" si="1"/>
        <v>Yes</v>
      </c>
      <c r="AX3" s="33" t="s">
        <v>104</v>
      </c>
      <c r="AY3" s="33"/>
      <c r="AZ3" s="31"/>
      <c r="BA3" s="31"/>
      <c r="BB3" s="31"/>
      <c r="BC3" s="18" t="str">
        <f t="shared" si="2"/>
        <v>Found at our houses</v>
      </c>
      <c r="BD3" s="31"/>
      <c r="BE3" s="31"/>
    </row>
    <row r="4">
      <c r="A4" s="31">
        <v>3.0</v>
      </c>
      <c r="B4" s="31"/>
      <c r="C4" s="31" t="s">
        <v>80</v>
      </c>
      <c r="D4" s="31" t="s">
        <v>97</v>
      </c>
      <c r="E4" s="33" t="s">
        <v>99</v>
      </c>
      <c r="F4" s="31">
        <v>1.0</v>
      </c>
      <c r="G4" s="33" t="s">
        <v>86</v>
      </c>
      <c r="H4" s="31"/>
      <c r="I4" s="31"/>
      <c r="J4" s="31"/>
      <c r="K4" s="33" t="s">
        <v>132</v>
      </c>
      <c r="L4" s="33"/>
      <c r="M4" s="33" t="s">
        <v>86</v>
      </c>
      <c r="N4" s="31"/>
      <c r="O4" s="31"/>
      <c r="P4" s="31"/>
      <c r="Q4" s="33" t="s">
        <v>133</v>
      </c>
      <c r="R4" s="33"/>
      <c r="S4" s="33" t="s">
        <v>83</v>
      </c>
      <c r="T4" s="33">
        <v>17.0</v>
      </c>
      <c r="U4" s="33" t="s">
        <v>84</v>
      </c>
      <c r="V4" s="33" t="s">
        <v>135</v>
      </c>
      <c r="W4" s="40" t="s">
        <v>137</v>
      </c>
      <c r="X4" s="33">
        <v>1.0</v>
      </c>
      <c r="Y4" s="33" t="s">
        <v>86</v>
      </c>
      <c r="Z4" s="33"/>
      <c r="AA4" s="33"/>
      <c r="AB4" s="33"/>
      <c r="AC4" s="33" t="s">
        <v>140</v>
      </c>
      <c r="AD4" s="33">
        <v>2.0</v>
      </c>
      <c r="AE4" s="33" t="s">
        <v>86</v>
      </c>
      <c r="AF4" s="33"/>
      <c r="AG4" s="33"/>
      <c r="AH4" s="33"/>
      <c r="AI4" s="33" t="s">
        <v>141</v>
      </c>
      <c r="AJ4" s="33">
        <v>2.0</v>
      </c>
      <c r="AK4" s="33" t="s">
        <v>86</v>
      </c>
      <c r="AL4" s="33"/>
      <c r="AM4" s="33"/>
      <c r="AN4" s="33"/>
      <c r="AO4" s="33" t="s">
        <v>142</v>
      </c>
      <c r="AP4" s="33">
        <v>2.0</v>
      </c>
      <c r="AQ4" s="33" t="s">
        <v>86</v>
      </c>
      <c r="AR4" s="33"/>
      <c r="AS4" s="33"/>
      <c r="AT4" s="33"/>
      <c r="AU4" s="33" t="s">
        <v>143</v>
      </c>
      <c r="AV4" s="33">
        <v>2.0</v>
      </c>
      <c r="AW4" s="31" t="str">
        <f t="shared" si="1"/>
        <v>Yes</v>
      </c>
      <c r="AX4" s="33" t="s">
        <v>104</v>
      </c>
      <c r="AY4" s="33"/>
      <c r="AZ4" s="31"/>
      <c r="BA4" s="31"/>
      <c r="BB4" s="31"/>
      <c r="BC4" s="18" t="str">
        <f t="shared" si="2"/>
        <v>Found at our houses</v>
      </c>
      <c r="BD4" s="31"/>
      <c r="BE4" s="31"/>
    </row>
    <row r="5">
      <c r="A5" s="31">
        <v>4.0</v>
      </c>
      <c r="B5" s="31"/>
      <c r="C5" s="31" t="s">
        <v>80</v>
      </c>
      <c r="D5" s="31" t="s">
        <v>97</v>
      </c>
      <c r="E5" s="33" t="s">
        <v>101</v>
      </c>
      <c r="F5" s="33">
        <v>1.0</v>
      </c>
      <c r="G5" s="33" t="s">
        <v>83</v>
      </c>
      <c r="H5" s="33">
        <v>31.25</v>
      </c>
      <c r="I5" s="33" t="s">
        <v>84</v>
      </c>
      <c r="J5" s="33" t="s">
        <v>147</v>
      </c>
      <c r="K5" s="39" t="s">
        <v>148</v>
      </c>
      <c r="L5" s="33"/>
      <c r="M5" s="33" t="s">
        <v>86</v>
      </c>
      <c r="N5" s="31"/>
      <c r="O5" s="31"/>
      <c r="P5" s="31"/>
      <c r="Q5" s="33" t="s">
        <v>153</v>
      </c>
      <c r="R5" s="33"/>
      <c r="S5" s="33" t="s">
        <v>83</v>
      </c>
      <c r="T5" s="33">
        <v>47.02</v>
      </c>
      <c r="U5" s="33" t="s">
        <v>84</v>
      </c>
      <c r="V5" s="33" t="s">
        <v>154</v>
      </c>
      <c r="W5" s="40" t="s">
        <v>155</v>
      </c>
      <c r="X5" s="33">
        <v>1.0</v>
      </c>
      <c r="Y5" s="33" t="s">
        <v>83</v>
      </c>
      <c r="Z5" s="33">
        <v>28.538</v>
      </c>
      <c r="AA5" s="33" t="s">
        <v>84</v>
      </c>
      <c r="AB5" s="33" t="s">
        <v>156</v>
      </c>
      <c r="AC5" s="33" t="s">
        <v>157</v>
      </c>
      <c r="AD5" s="33">
        <v>3.0</v>
      </c>
      <c r="AE5" s="33" t="s">
        <v>83</v>
      </c>
      <c r="AF5" s="33">
        <v>53.14</v>
      </c>
      <c r="AG5" s="33" t="s">
        <v>84</v>
      </c>
      <c r="AH5" s="33" t="s">
        <v>158</v>
      </c>
      <c r="AI5" s="33" t="s">
        <v>159</v>
      </c>
      <c r="AJ5" s="33">
        <v>4.0</v>
      </c>
      <c r="AK5" s="33" t="s">
        <v>86</v>
      </c>
      <c r="AL5" s="33"/>
      <c r="AM5" s="33"/>
      <c r="AN5" s="33"/>
      <c r="AO5" s="33" t="s">
        <v>161</v>
      </c>
      <c r="AP5" s="33">
        <v>2.0</v>
      </c>
      <c r="AQ5" s="33" t="s">
        <v>83</v>
      </c>
      <c r="AR5" s="33">
        <v>190.03</v>
      </c>
      <c r="AS5" s="33" t="s">
        <v>84</v>
      </c>
      <c r="AT5" s="33" t="s">
        <v>163</v>
      </c>
      <c r="AU5" s="33" t="s">
        <v>164</v>
      </c>
      <c r="AV5" s="33">
        <v>4.0</v>
      </c>
      <c r="AW5" s="33" t="str">
        <f t="shared" si="1"/>
        <v>Yes</v>
      </c>
      <c r="AX5" s="33" t="s">
        <v>104</v>
      </c>
      <c r="AY5" s="33"/>
      <c r="AZ5" s="31"/>
      <c r="BA5" s="31"/>
      <c r="BB5" s="31"/>
      <c r="BC5" s="18"/>
      <c r="BD5" s="31"/>
      <c r="BE5" s="31"/>
    </row>
    <row r="6">
      <c r="A6" s="31">
        <v>5.0</v>
      </c>
      <c r="B6" s="31"/>
      <c r="C6" s="31" t="s">
        <v>80</v>
      </c>
      <c r="D6" s="31" t="s">
        <v>97</v>
      </c>
      <c r="E6" s="33" t="s">
        <v>103</v>
      </c>
      <c r="F6" s="33">
        <v>1.0</v>
      </c>
      <c r="G6" s="33" t="s">
        <v>83</v>
      </c>
      <c r="H6" s="33">
        <v>51.79</v>
      </c>
      <c r="I6" s="33" t="s">
        <v>84</v>
      </c>
      <c r="J6" s="33" t="s">
        <v>168</v>
      </c>
      <c r="K6" s="39" t="s">
        <v>169</v>
      </c>
      <c r="L6" s="33"/>
      <c r="M6" s="33" t="s">
        <v>83</v>
      </c>
      <c r="N6" s="33">
        <v>51.2</v>
      </c>
      <c r="O6" s="33" t="s">
        <v>84</v>
      </c>
      <c r="P6" s="33" t="s">
        <v>172</v>
      </c>
      <c r="Q6" s="39" t="s">
        <v>173</v>
      </c>
      <c r="R6" s="33"/>
      <c r="S6" s="33" t="s">
        <v>83</v>
      </c>
      <c r="T6" s="33">
        <v>81.0</v>
      </c>
      <c r="U6" s="33" t="s">
        <v>84</v>
      </c>
      <c r="V6" s="33" t="s">
        <v>179</v>
      </c>
      <c r="W6" s="40" t="s">
        <v>180</v>
      </c>
      <c r="X6" s="33">
        <v>1.0</v>
      </c>
      <c r="Y6" s="33" t="s">
        <v>86</v>
      </c>
      <c r="Z6" s="33"/>
      <c r="AA6" s="33"/>
      <c r="AB6" s="33"/>
      <c r="AC6" s="33" t="s">
        <v>182</v>
      </c>
      <c r="AD6" s="33">
        <v>2.0</v>
      </c>
      <c r="AE6" s="33" t="s">
        <v>86</v>
      </c>
      <c r="AF6" s="33"/>
      <c r="AG6" s="33"/>
      <c r="AH6" s="33"/>
      <c r="AI6" s="33" t="s">
        <v>183</v>
      </c>
      <c r="AJ6" s="33">
        <v>2.0</v>
      </c>
      <c r="AK6" s="33" t="s">
        <v>86</v>
      </c>
      <c r="AL6" s="33"/>
      <c r="AM6" s="33"/>
      <c r="AN6" s="33"/>
      <c r="AO6" s="33" t="s">
        <v>184</v>
      </c>
      <c r="AP6" s="33">
        <v>2.0</v>
      </c>
      <c r="AQ6" s="33" t="s">
        <v>83</v>
      </c>
      <c r="AR6" s="33">
        <v>74.56</v>
      </c>
      <c r="AS6" s="33" t="s">
        <v>84</v>
      </c>
      <c r="AT6" s="33" t="s">
        <v>185</v>
      </c>
      <c r="AU6" s="33" t="s">
        <v>186</v>
      </c>
      <c r="AV6" s="33">
        <v>5.0</v>
      </c>
      <c r="AW6" s="33" t="str">
        <f t="shared" si="1"/>
        <v>Yes</v>
      </c>
      <c r="AX6" s="33" t="s">
        <v>104</v>
      </c>
      <c r="AY6" s="31"/>
      <c r="AZ6" s="31"/>
      <c r="BA6" s="31"/>
      <c r="BB6" s="31"/>
      <c r="BC6" s="18"/>
      <c r="BD6" s="31"/>
      <c r="BE6" s="31"/>
    </row>
    <row r="7">
      <c r="A7" s="31">
        <v>6.0</v>
      </c>
      <c r="B7" s="31"/>
      <c r="C7" s="31" t="s">
        <v>80</v>
      </c>
      <c r="D7" s="31" t="s">
        <v>105</v>
      </c>
      <c r="E7" s="31"/>
      <c r="F7" s="31">
        <v>1.0</v>
      </c>
      <c r="G7" s="33" t="s">
        <v>86</v>
      </c>
      <c r="H7" s="53"/>
      <c r="I7" s="33"/>
      <c r="J7" s="33"/>
      <c r="K7" s="33" t="s">
        <v>189</v>
      </c>
      <c r="L7" s="33"/>
      <c r="M7" s="33" t="s">
        <v>83</v>
      </c>
      <c r="N7" s="53">
        <v>11.49</v>
      </c>
      <c r="O7" s="33" t="s">
        <v>84</v>
      </c>
      <c r="P7" s="33" t="s">
        <v>190</v>
      </c>
      <c r="Q7" s="39" t="s">
        <v>191</v>
      </c>
      <c r="R7" s="33"/>
      <c r="S7" s="33" t="s">
        <v>83</v>
      </c>
      <c r="T7" s="53">
        <v>80.78</v>
      </c>
      <c r="U7" s="33" t="s">
        <v>84</v>
      </c>
      <c r="V7" s="33" t="s">
        <v>195</v>
      </c>
      <c r="W7" s="40" t="s">
        <v>196</v>
      </c>
      <c r="X7" s="33">
        <v>2.0</v>
      </c>
      <c r="Y7" s="33" t="s">
        <v>83</v>
      </c>
      <c r="Z7" s="33">
        <v>9.608</v>
      </c>
      <c r="AA7" s="33" t="s">
        <v>84</v>
      </c>
      <c r="AB7" s="33" t="s">
        <v>197</v>
      </c>
      <c r="AC7" s="33" t="s">
        <v>198</v>
      </c>
      <c r="AD7" s="33">
        <v>2.0</v>
      </c>
      <c r="AE7" s="33" t="s">
        <v>83</v>
      </c>
      <c r="AF7" s="33"/>
      <c r="AG7" s="33"/>
      <c r="AH7" s="33" t="s">
        <v>199</v>
      </c>
      <c r="AI7" s="33" t="s">
        <v>200</v>
      </c>
      <c r="AJ7" s="33">
        <v>2.0</v>
      </c>
      <c r="AK7" s="33" t="s">
        <v>83</v>
      </c>
      <c r="AL7" s="33">
        <v>7.49</v>
      </c>
      <c r="AM7" s="33" t="s">
        <v>84</v>
      </c>
      <c r="AN7" s="33" t="s">
        <v>201</v>
      </c>
      <c r="AO7" s="33" t="s">
        <v>202</v>
      </c>
      <c r="AP7" s="33">
        <v>2.0</v>
      </c>
      <c r="AQ7" s="33" t="s">
        <v>83</v>
      </c>
      <c r="AR7" s="33"/>
      <c r="AS7" s="33"/>
      <c r="AT7" s="33" t="s">
        <v>203</v>
      </c>
      <c r="AU7" s="33" t="s">
        <v>204</v>
      </c>
      <c r="AV7" s="33">
        <v>3.0</v>
      </c>
      <c r="AW7" s="31" t="str">
        <f t="shared" si="1"/>
        <v>Yes</v>
      </c>
      <c r="AX7" s="33" t="s">
        <v>160</v>
      </c>
      <c r="AY7" s="33"/>
      <c r="AZ7" s="31"/>
      <c r="BA7" s="31"/>
      <c r="BB7" s="31"/>
      <c r="BC7" s="18" t="str">
        <f t="shared" ref="BC7:BC52" si="3">IF(AW7="Yes","Found at our houses",IF(COUNTIF(G7,"Carried but zero stock")+COUNTIF(M7,"Carried but zero stock")+COUNTIF(S7,"Carried but zero stock")&gt;0,"Carried but zero stock today",IF(AZ7="","Pending",IF(AND(BA7="Yes",BB7="Yes"),"Reachable, adapter needed","No value add"))))</f>
        <v>Found at our houses</v>
      </c>
      <c r="BD7" s="31"/>
      <c r="BE7" s="31"/>
    </row>
    <row r="8">
      <c r="A8" s="31">
        <v>7.0</v>
      </c>
      <c r="B8" s="31">
        <v>2.0</v>
      </c>
      <c r="C8" s="31" t="s">
        <v>107</v>
      </c>
      <c r="D8" s="31" t="s">
        <v>108</v>
      </c>
      <c r="E8" s="31" t="s">
        <v>109</v>
      </c>
      <c r="F8" s="31">
        <v>1.0</v>
      </c>
      <c r="G8" s="33" t="s">
        <v>83</v>
      </c>
      <c r="H8" s="33">
        <v>198.49</v>
      </c>
      <c r="I8" s="33" t="s">
        <v>84</v>
      </c>
      <c r="J8" s="33" t="s">
        <v>211</v>
      </c>
      <c r="K8" s="40" t="s">
        <v>212</v>
      </c>
      <c r="L8" s="33">
        <v>3.0</v>
      </c>
      <c r="M8" s="33" t="s">
        <v>83</v>
      </c>
      <c r="N8" s="33">
        <v>184.97</v>
      </c>
      <c r="O8" s="33" t="s">
        <v>84</v>
      </c>
      <c r="P8" s="33" t="s">
        <v>213</v>
      </c>
      <c r="Q8" s="33" t="s">
        <v>214</v>
      </c>
      <c r="R8" s="33">
        <v>3.0</v>
      </c>
      <c r="S8" s="33" t="s">
        <v>83</v>
      </c>
      <c r="T8" s="33">
        <v>301.45</v>
      </c>
      <c r="U8" s="33" t="s">
        <v>84</v>
      </c>
      <c r="V8" s="33" t="s">
        <v>215</v>
      </c>
      <c r="W8" s="40" t="s">
        <v>216</v>
      </c>
      <c r="X8" s="33">
        <v>2.0</v>
      </c>
      <c r="Y8" s="33" t="s">
        <v>83</v>
      </c>
      <c r="Z8" s="33"/>
      <c r="AA8" s="33"/>
      <c r="AB8" s="33" t="s">
        <v>217</v>
      </c>
      <c r="AC8" s="33" t="s">
        <v>218</v>
      </c>
      <c r="AD8" s="33">
        <v>2.0</v>
      </c>
      <c r="AE8" s="33" t="s">
        <v>83</v>
      </c>
      <c r="AF8" s="33">
        <v>196.72</v>
      </c>
      <c r="AG8" s="33" t="s">
        <v>84</v>
      </c>
      <c r="AH8" s="33" t="s">
        <v>219</v>
      </c>
      <c r="AI8" s="33" t="s">
        <v>220</v>
      </c>
      <c r="AJ8" s="33">
        <v>4.0</v>
      </c>
      <c r="AK8" s="33" t="s">
        <v>83</v>
      </c>
      <c r="AL8" s="33">
        <v>174.38</v>
      </c>
      <c r="AM8" s="33" t="s">
        <v>84</v>
      </c>
      <c r="AN8" s="33" t="s">
        <v>221</v>
      </c>
      <c r="AO8" s="33" t="s">
        <v>222</v>
      </c>
      <c r="AP8" s="33">
        <v>3.0</v>
      </c>
      <c r="AQ8" s="33" t="s">
        <v>83</v>
      </c>
      <c r="AR8" s="33">
        <v>336.85</v>
      </c>
      <c r="AS8" s="33" t="s">
        <v>84</v>
      </c>
      <c r="AT8" s="33" t="s">
        <v>223</v>
      </c>
      <c r="AU8" s="33" t="s">
        <v>224</v>
      </c>
      <c r="AV8" s="33">
        <v>3.0</v>
      </c>
      <c r="AW8" s="33" t="str">
        <f t="shared" si="1"/>
        <v>Yes</v>
      </c>
      <c r="AX8" s="33" t="s">
        <v>160</v>
      </c>
      <c r="AY8" s="31"/>
      <c r="AZ8" s="31"/>
      <c r="BA8" s="31"/>
      <c r="BB8" s="31"/>
      <c r="BC8" s="18" t="str">
        <f t="shared" si="3"/>
        <v>Found at our houses</v>
      </c>
      <c r="BD8" s="31"/>
      <c r="BE8" s="31"/>
    </row>
    <row r="9">
      <c r="A9" s="31">
        <v>8.0</v>
      </c>
      <c r="B9" s="31"/>
      <c r="C9" s="31" t="s">
        <v>107</v>
      </c>
      <c r="D9" s="31" t="s">
        <v>112</v>
      </c>
      <c r="E9" s="31"/>
      <c r="F9" s="31">
        <v>1.0</v>
      </c>
      <c r="G9" s="33" t="s">
        <v>83</v>
      </c>
      <c r="H9" s="33">
        <v>16.89</v>
      </c>
      <c r="I9" s="33" t="s">
        <v>84</v>
      </c>
      <c r="J9" s="33" t="s">
        <v>227</v>
      </c>
      <c r="K9" s="33" t="s">
        <v>228</v>
      </c>
      <c r="L9" s="33">
        <v>2.0</v>
      </c>
      <c r="M9" s="33" t="s">
        <v>229</v>
      </c>
      <c r="N9" s="31"/>
      <c r="O9" s="31"/>
      <c r="P9" s="31"/>
      <c r="Q9" s="33" t="s">
        <v>230</v>
      </c>
      <c r="R9" s="31"/>
      <c r="S9" s="33" t="s">
        <v>83</v>
      </c>
      <c r="T9" s="33">
        <v>15.29</v>
      </c>
      <c r="U9" s="33" t="s">
        <v>84</v>
      </c>
      <c r="V9" s="33" t="s">
        <v>231</v>
      </c>
      <c r="W9" s="33" t="s">
        <v>232</v>
      </c>
      <c r="X9" s="33">
        <v>2.0</v>
      </c>
      <c r="Y9" s="33" t="s">
        <v>233</v>
      </c>
      <c r="Z9" s="31"/>
      <c r="AA9" s="31"/>
      <c r="AB9" s="33" t="s">
        <v>234</v>
      </c>
      <c r="AC9" s="33" t="s">
        <v>235</v>
      </c>
      <c r="AD9" s="33">
        <v>2.0</v>
      </c>
      <c r="AE9" s="33" t="s">
        <v>83</v>
      </c>
      <c r="AF9" s="33">
        <v>10.75</v>
      </c>
      <c r="AG9" s="33" t="s">
        <v>84</v>
      </c>
      <c r="AH9" s="33" t="s">
        <v>236</v>
      </c>
      <c r="AI9" s="33" t="s">
        <v>237</v>
      </c>
      <c r="AJ9" s="33">
        <v>3.0</v>
      </c>
      <c r="AK9" s="33" t="s">
        <v>86</v>
      </c>
      <c r="AL9" s="31"/>
      <c r="AM9" s="31"/>
      <c r="AN9" s="31"/>
      <c r="AO9" s="33" t="s">
        <v>238</v>
      </c>
      <c r="AP9" s="33">
        <v>2.0</v>
      </c>
      <c r="AQ9" s="33" t="s">
        <v>86</v>
      </c>
      <c r="AR9" s="31"/>
      <c r="AS9" s="31"/>
      <c r="AT9" s="31"/>
      <c r="AU9" s="33" t="s">
        <v>239</v>
      </c>
      <c r="AV9" s="33">
        <v>2.0</v>
      </c>
      <c r="AW9" s="33" t="str">
        <f t="shared" si="1"/>
        <v>Yes</v>
      </c>
      <c r="AX9" s="33" t="s">
        <v>104</v>
      </c>
      <c r="AY9" s="31"/>
      <c r="AZ9" s="31"/>
      <c r="BA9" s="31"/>
      <c r="BB9" s="31"/>
      <c r="BC9" s="18" t="str">
        <f t="shared" si="3"/>
        <v>Found at our houses</v>
      </c>
      <c r="BD9" s="31"/>
      <c r="BE9" s="31"/>
    </row>
    <row r="10">
      <c r="A10" s="31">
        <v>9.0</v>
      </c>
      <c r="B10" s="31"/>
      <c r="C10" s="31" t="s">
        <v>107</v>
      </c>
      <c r="D10" s="31" t="s">
        <v>113</v>
      </c>
      <c r="E10" s="31"/>
      <c r="F10" s="31">
        <v>1.0</v>
      </c>
      <c r="G10" s="33" t="s">
        <v>229</v>
      </c>
      <c r="H10" s="31"/>
      <c r="I10" s="31"/>
      <c r="J10" s="31"/>
      <c r="K10" s="33" t="s">
        <v>248</v>
      </c>
      <c r="L10" s="31"/>
      <c r="M10" s="33" t="s">
        <v>229</v>
      </c>
      <c r="N10" s="31"/>
      <c r="O10" s="31"/>
      <c r="P10" s="31"/>
      <c r="Q10" s="33" t="s">
        <v>249</v>
      </c>
      <c r="R10" s="31"/>
      <c r="S10" s="33" t="s">
        <v>83</v>
      </c>
      <c r="T10" s="33">
        <v>123.0</v>
      </c>
      <c r="U10" s="33" t="s">
        <v>84</v>
      </c>
      <c r="V10" s="33" t="s">
        <v>251</v>
      </c>
      <c r="W10" s="33" t="s">
        <v>252</v>
      </c>
      <c r="X10" s="33">
        <v>2.0</v>
      </c>
      <c r="Y10" s="33" t="s">
        <v>86</v>
      </c>
      <c r="Z10" s="31"/>
      <c r="AA10" s="31"/>
      <c r="AB10" s="31"/>
      <c r="AC10" s="33" t="s">
        <v>254</v>
      </c>
      <c r="AD10" s="33">
        <v>2.0</v>
      </c>
      <c r="AE10" s="33" t="s">
        <v>83</v>
      </c>
      <c r="AF10" s="33">
        <v>49.87</v>
      </c>
      <c r="AG10" s="33" t="s">
        <v>84</v>
      </c>
      <c r="AH10" s="33" t="s">
        <v>255</v>
      </c>
      <c r="AI10" s="33" t="s">
        <v>256</v>
      </c>
      <c r="AJ10" s="33">
        <v>3.0</v>
      </c>
      <c r="AK10" s="33" t="s">
        <v>86</v>
      </c>
      <c r="AL10" s="31"/>
      <c r="AM10" s="31"/>
      <c r="AN10" s="31"/>
      <c r="AO10" s="33" t="s">
        <v>254</v>
      </c>
      <c r="AP10" s="33">
        <v>2.0</v>
      </c>
      <c r="AQ10" s="33" t="s">
        <v>83</v>
      </c>
      <c r="AR10" s="33">
        <v>122.71</v>
      </c>
      <c r="AS10" s="33" t="s">
        <v>84</v>
      </c>
      <c r="AT10" s="33" t="s">
        <v>258</v>
      </c>
      <c r="AU10" s="33" t="s">
        <v>260</v>
      </c>
      <c r="AV10" s="33">
        <v>3.0</v>
      </c>
      <c r="AW10" s="33" t="str">
        <f t="shared" si="1"/>
        <v>Yes</v>
      </c>
      <c r="AX10" s="33" t="s">
        <v>104</v>
      </c>
      <c r="AY10" s="31"/>
      <c r="AZ10" s="31"/>
      <c r="BA10" s="31"/>
      <c r="BB10" s="31"/>
      <c r="BC10" s="18" t="str">
        <f t="shared" si="3"/>
        <v>Found at our houses</v>
      </c>
      <c r="BD10" s="31"/>
      <c r="BE10" s="31"/>
    </row>
    <row r="11">
      <c r="A11" s="31">
        <v>10.0</v>
      </c>
      <c r="B11" s="31">
        <v>3.0</v>
      </c>
      <c r="C11" s="31" t="s">
        <v>116</v>
      </c>
      <c r="D11" s="31" t="s">
        <v>117</v>
      </c>
      <c r="E11" s="31" t="s">
        <v>118</v>
      </c>
      <c r="F11" s="31">
        <v>1.0</v>
      </c>
      <c r="G11" s="33" t="s">
        <v>233</v>
      </c>
      <c r="H11" s="33">
        <v>385.99</v>
      </c>
      <c r="I11" s="33" t="s">
        <v>84</v>
      </c>
      <c r="J11" s="33" t="s">
        <v>266</v>
      </c>
      <c r="K11" s="39" t="s">
        <v>267</v>
      </c>
      <c r="L11" s="33"/>
      <c r="M11" s="33" t="s">
        <v>233</v>
      </c>
      <c r="N11" s="53"/>
      <c r="O11" s="33"/>
      <c r="P11" s="33" t="s">
        <v>273</v>
      </c>
      <c r="Q11" s="39" t="s">
        <v>275</v>
      </c>
      <c r="R11" s="33"/>
      <c r="S11" s="33" t="s">
        <v>83</v>
      </c>
      <c r="T11" s="33">
        <v>264.0</v>
      </c>
      <c r="U11" s="33" t="s">
        <v>84</v>
      </c>
      <c r="V11" s="33" t="s">
        <v>279</v>
      </c>
      <c r="W11" s="40" t="s">
        <v>280</v>
      </c>
      <c r="X11" s="33">
        <v>2.0</v>
      </c>
      <c r="Y11" s="33" t="s">
        <v>86</v>
      </c>
      <c r="Z11" s="33"/>
      <c r="AA11" s="33"/>
      <c r="AB11" s="33"/>
      <c r="AC11" s="33" t="s">
        <v>281</v>
      </c>
      <c r="AD11" s="33">
        <v>2.0</v>
      </c>
      <c r="AE11" s="33" t="s">
        <v>83</v>
      </c>
      <c r="AF11" s="33">
        <v>279.64</v>
      </c>
      <c r="AG11" s="33" t="s">
        <v>84</v>
      </c>
      <c r="AH11" s="33" t="s">
        <v>282</v>
      </c>
      <c r="AI11" s="33" t="s">
        <v>283</v>
      </c>
      <c r="AJ11" s="33">
        <v>4.0</v>
      </c>
      <c r="AK11" s="33" t="s">
        <v>86</v>
      </c>
      <c r="AL11" s="33"/>
      <c r="AM11" s="33"/>
      <c r="AN11" s="33"/>
      <c r="AO11" s="33" t="s">
        <v>284</v>
      </c>
      <c r="AP11" s="33">
        <v>2.0</v>
      </c>
      <c r="AQ11" s="33" t="s">
        <v>86</v>
      </c>
      <c r="AR11" s="33"/>
      <c r="AS11" s="33"/>
      <c r="AT11" s="33"/>
      <c r="AU11" s="33" t="s">
        <v>285</v>
      </c>
      <c r="AV11" s="33">
        <v>2.0</v>
      </c>
      <c r="AW11" s="33" t="str">
        <f t="shared" si="1"/>
        <v>Yes</v>
      </c>
      <c r="AX11" s="33" t="s">
        <v>104</v>
      </c>
      <c r="AY11" s="31"/>
      <c r="AZ11" s="31"/>
      <c r="BA11" s="31"/>
      <c r="BB11" s="31"/>
      <c r="BC11" s="18" t="str">
        <f t="shared" si="3"/>
        <v>Found at our houses</v>
      </c>
      <c r="BD11" s="31"/>
      <c r="BE11" s="31"/>
    </row>
    <row r="12">
      <c r="A12" s="31">
        <v>11.0</v>
      </c>
      <c r="B12" s="31"/>
      <c r="C12" s="31" t="s">
        <v>116</v>
      </c>
      <c r="D12" s="31" t="s">
        <v>119</v>
      </c>
      <c r="E12" s="31" t="s">
        <v>120</v>
      </c>
      <c r="F12" s="31">
        <v>1.0</v>
      </c>
      <c r="G12" s="33" t="s">
        <v>83</v>
      </c>
      <c r="H12" s="33">
        <v>119.99</v>
      </c>
      <c r="I12" s="33" t="s">
        <v>84</v>
      </c>
      <c r="J12" s="33" t="s">
        <v>288</v>
      </c>
      <c r="K12" s="39" t="s">
        <v>289</v>
      </c>
      <c r="L12" s="33"/>
      <c r="M12" s="33" t="s">
        <v>83</v>
      </c>
      <c r="N12" s="53">
        <v>85.0</v>
      </c>
      <c r="O12" s="33" t="s">
        <v>84</v>
      </c>
      <c r="P12" s="33" t="s">
        <v>292</v>
      </c>
      <c r="Q12" s="39" t="s">
        <v>293</v>
      </c>
      <c r="R12" s="33"/>
      <c r="S12" s="33" t="s">
        <v>83</v>
      </c>
      <c r="T12" s="33">
        <v>178.19</v>
      </c>
      <c r="U12" s="33" t="s">
        <v>84</v>
      </c>
      <c r="V12" s="33" t="s">
        <v>295</v>
      </c>
      <c r="W12" s="40" t="s">
        <v>296</v>
      </c>
      <c r="X12" s="33">
        <v>1.0</v>
      </c>
      <c r="Y12" s="33" t="s">
        <v>86</v>
      </c>
      <c r="Z12" s="33"/>
      <c r="AA12" s="33"/>
      <c r="AB12" s="33"/>
      <c r="AC12" s="33" t="s">
        <v>297</v>
      </c>
      <c r="AD12" s="33">
        <v>2.0</v>
      </c>
      <c r="AE12" s="33" t="s">
        <v>83</v>
      </c>
      <c r="AF12" s="33">
        <v>102.43</v>
      </c>
      <c r="AG12" s="33" t="s">
        <v>84</v>
      </c>
      <c r="AH12" s="33" t="s">
        <v>298</v>
      </c>
      <c r="AI12" s="33" t="s">
        <v>300</v>
      </c>
      <c r="AJ12" s="33">
        <v>3.0</v>
      </c>
      <c r="AK12" s="33" t="s">
        <v>86</v>
      </c>
      <c r="AL12" s="33"/>
      <c r="AM12" s="33"/>
      <c r="AN12" s="33"/>
      <c r="AO12" s="33" t="s">
        <v>301</v>
      </c>
      <c r="AP12" s="33">
        <v>2.0</v>
      </c>
      <c r="AQ12" s="33" t="s">
        <v>83</v>
      </c>
      <c r="AR12" s="33">
        <v>234.35</v>
      </c>
      <c r="AS12" s="33" t="s">
        <v>84</v>
      </c>
      <c r="AT12" s="33" t="s">
        <v>302</v>
      </c>
      <c r="AU12" s="33" t="s">
        <v>303</v>
      </c>
      <c r="AV12" s="33">
        <v>3.0</v>
      </c>
      <c r="AW12" s="33" t="str">
        <f t="shared" si="1"/>
        <v>Yes</v>
      </c>
      <c r="AX12" s="33" t="s">
        <v>104</v>
      </c>
      <c r="AY12" s="31"/>
      <c r="AZ12" s="31"/>
      <c r="BA12" s="31"/>
      <c r="BB12" s="31"/>
      <c r="BC12" s="18" t="str">
        <f t="shared" si="3"/>
        <v>Found at our houses</v>
      </c>
      <c r="BD12" s="31"/>
      <c r="BE12" s="31"/>
    </row>
    <row r="13">
      <c r="A13" s="31">
        <v>12.0</v>
      </c>
      <c r="B13" s="31"/>
      <c r="C13" s="31" t="s">
        <v>116</v>
      </c>
      <c r="D13" s="31" t="s">
        <v>130</v>
      </c>
      <c r="E13" s="31" t="s">
        <v>131</v>
      </c>
      <c r="F13" s="31">
        <v>1.0</v>
      </c>
      <c r="G13" s="33" t="s">
        <v>229</v>
      </c>
      <c r="H13" s="31"/>
      <c r="I13" s="31"/>
      <c r="J13" s="31"/>
      <c r="K13" s="33" t="s">
        <v>316</v>
      </c>
      <c r="L13" s="31"/>
      <c r="M13" s="33" t="s">
        <v>229</v>
      </c>
      <c r="N13" s="31"/>
      <c r="O13" s="31"/>
      <c r="P13" s="31"/>
      <c r="Q13" s="33" t="s">
        <v>316</v>
      </c>
      <c r="R13" s="31"/>
      <c r="S13" s="33" t="s">
        <v>229</v>
      </c>
      <c r="T13" s="31"/>
      <c r="U13" s="31"/>
      <c r="V13" s="31"/>
      <c r="W13" s="33" t="s">
        <v>318</v>
      </c>
      <c r="X13" s="31"/>
      <c r="Y13" s="33" t="s">
        <v>229</v>
      </c>
      <c r="Z13" s="31"/>
      <c r="AA13" s="31"/>
      <c r="AB13" s="31"/>
      <c r="AC13" s="33" t="s">
        <v>318</v>
      </c>
      <c r="AD13" s="31"/>
      <c r="AE13" s="33" t="s">
        <v>229</v>
      </c>
      <c r="AF13" s="31"/>
      <c r="AG13" s="31"/>
      <c r="AH13" s="31"/>
      <c r="AI13" s="33" t="s">
        <v>318</v>
      </c>
      <c r="AJ13" s="31"/>
      <c r="AK13" s="33" t="s">
        <v>229</v>
      </c>
      <c r="AL13" s="31"/>
      <c r="AM13" s="31"/>
      <c r="AN13" s="31"/>
      <c r="AO13" s="33" t="s">
        <v>318</v>
      </c>
      <c r="AP13" s="31"/>
      <c r="AQ13" s="33" t="s">
        <v>229</v>
      </c>
      <c r="AR13" s="31"/>
      <c r="AS13" s="31"/>
      <c r="AT13" s="31"/>
      <c r="AU13" s="33" t="s">
        <v>318</v>
      </c>
      <c r="AV13" s="31"/>
      <c r="AW13" s="33" t="str">
        <f t="shared" si="1"/>
        <v>No</v>
      </c>
      <c r="AX13" s="33" t="s">
        <v>104</v>
      </c>
      <c r="AY13" s="31"/>
      <c r="AZ13" s="31"/>
      <c r="BA13" s="31"/>
      <c r="BB13" s="31"/>
      <c r="BC13" s="18" t="str">
        <f t="shared" si="3"/>
        <v>Pending</v>
      </c>
      <c r="BD13" s="31"/>
      <c r="BE13" s="31"/>
    </row>
    <row r="14">
      <c r="A14" s="31">
        <v>13.0</v>
      </c>
      <c r="B14" s="31">
        <v>4.0</v>
      </c>
      <c r="C14" s="31" t="s">
        <v>136</v>
      </c>
      <c r="D14" s="31" t="s">
        <v>138</v>
      </c>
      <c r="E14" s="31" t="s">
        <v>139</v>
      </c>
      <c r="F14" s="31">
        <v>1.0</v>
      </c>
      <c r="G14" s="33" t="s">
        <v>83</v>
      </c>
      <c r="H14" s="33">
        <v>1278.99</v>
      </c>
      <c r="I14" s="33" t="s">
        <v>84</v>
      </c>
      <c r="J14" s="33" t="s">
        <v>322</v>
      </c>
      <c r="K14" s="39" t="s">
        <v>323</v>
      </c>
      <c r="L14" s="33"/>
      <c r="M14" s="33" t="s">
        <v>83</v>
      </c>
      <c r="N14" s="33">
        <v>1232.71</v>
      </c>
      <c r="O14" s="33" t="s">
        <v>84</v>
      </c>
      <c r="P14" s="33" t="s">
        <v>324</v>
      </c>
      <c r="Q14" s="39" t="s">
        <v>325</v>
      </c>
      <c r="R14" s="33"/>
      <c r="S14" s="33" t="s">
        <v>83</v>
      </c>
      <c r="T14" s="33">
        <v>1733.1</v>
      </c>
      <c r="U14" s="33" t="s">
        <v>84</v>
      </c>
      <c r="V14" s="33" t="s">
        <v>328</v>
      </c>
      <c r="W14" s="40" t="s">
        <v>329</v>
      </c>
      <c r="X14" s="33">
        <v>1.0</v>
      </c>
      <c r="Y14" s="33" t="s">
        <v>86</v>
      </c>
      <c r="Z14" s="33"/>
      <c r="AA14" s="33"/>
      <c r="AB14" s="33"/>
      <c r="AC14" s="33" t="s">
        <v>330</v>
      </c>
      <c r="AD14" s="33">
        <v>2.0</v>
      </c>
      <c r="AE14" s="33" t="s">
        <v>86</v>
      </c>
      <c r="AF14" s="33"/>
      <c r="AG14" s="33"/>
      <c r="AH14" s="33"/>
      <c r="AI14" s="33" t="s">
        <v>331</v>
      </c>
      <c r="AJ14" s="33">
        <v>2.0</v>
      </c>
      <c r="AK14" s="33" t="s">
        <v>86</v>
      </c>
      <c r="AL14" s="33"/>
      <c r="AM14" s="33"/>
      <c r="AN14" s="33"/>
      <c r="AO14" s="33" t="s">
        <v>331</v>
      </c>
      <c r="AP14" s="33">
        <v>2.0</v>
      </c>
      <c r="AQ14" s="33" t="s">
        <v>83</v>
      </c>
      <c r="AR14" s="33">
        <v>1562.6</v>
      </c>
      <c r="AS14" s="33" t="s">
        <v>84</v>
      </c>
      <c r="AT14" s="33" t="s">
        <v>333</v>
      </c>
      <c r="AU14" s="33" t="s">
        <v>334</v>
      </c>
      <c r="AV14" s="33">
        <v>3.0</v>
      </c>
      <c r="AW14" s="33" t="str">
        <f t="shared" si="1"/>
        <v>Yes</v>
      </c>
      <c r="AX14" s="33" t="s">
        <v>104</v>
      </c>
      <c r="AY14" s="31"/>
      <c r="AZ14" s="31"/>
      <c r="BA14" s="31"/>
      <c r="BB14" s="31"/>
      <c r="BC14" s="18" t="str">
        <f t="shared" si="3"/>
        <v>Found at our houses</v>
      </c>
      <c r="BD14" s="31"/>
      <c r="BE14" s="31"/>
    </row>
    <row r="15">
      <c r="A15" s="31">
        <v>14.0</v>
      </c>
      <c r="B15" s="31">
        <v>5.0</v>
      </c>
      <c r="C15" s="31" t="s">
        <v>145</v>
      </c>
      <c r="D15" s="31" t="s">
        <v>81</v>
      </c>
      <c r="E15" s="31" t="s">
        <v>146</v>
      </c>
      <c r="F15" s="31">
        <v>1.0</v>
      </c>
      <c r="G15" s="33" t="s">
        <v>83</v>
      </c>
      <c r="H15" s="33">
        <v>3067.0</v>
      </c>
      <c r="I15" s="33" t="s">
        <v>84</v>
      </c>
      <c r="J15" s="33" t="s">
        <v>336</v>
      </c>
      <c r="K15" s="39" t="s">
        <v>337</v>
      </c>
      <c r="L15" s="33"/>
      <c r="M15" s="33" t="s">
        <v>83</v>
      </c>
      <c r="N15" s="33">
        <v>2963.43</v>
      </c>
      <c r="O15" s="33" t="s">
        <v>84</v>
      </c>
      <c r="P15" s="33" t="s">
        <v>340</v>
      </c>
      <c r="Q15" s="39" t="s">
        <v>342</v>
      </c>
      <c r="R15" s="33"/>
      <c r="S15" s="33" t="s">
        <v>86</v>
      </c>
      <c r="T15" s="31"/>
      <c r="U15" s="31"/>
      <c r="V15" s="31"/>
      <c r="W15" s="40" t="s">
        <v>344</v>
      </c>
      <c r="X15" s="33">
        <v>3.0</v>
      </c>
      <c r="Y15" s="33" t="s">
        <v>86</v>
      </c>
      <c r="Z15" s="33"/>
      <c r="AA15" s="33"/>
      <c r="AB15" s="33"/>
      <c r="AC15" s="33" t="s">
        <v>345</v>
      </c>
      <c r="AD15" s="33">
        <v>2.0</v>
      </c>
      <c r="AE15" s="33" t="s">
        <v>86</v>
      </c>
      <c r="AF15" s="33"/>
      <c r="AG15" s="33"/>
      <c r="AH15" s="33"/>
      <c r="AI15" s="33" t="s">
        <v>346</v>
      </c>
      <c r="AJ15" s="33">
        <v>2.0</v>
      </c>
      <c r="AK15" s="33" t="s">
        <v>86</v>
      </c>
      <c r="AL15" s="33"/>
      <c r="AM15" s="33"/>
      <c r="AN15" s="33"/>
      <c r="AO15" s="33" t="s">
        <v>346</v>
      </c>
      <c r="AP15" s="33">
        <v>2.0</v>
      </c>
      <c r="AQ15" s="33" t="s">
        <v>86</v>
      </c>
      <c r="AR15" s="33"/>
      <c r="AS15" s="33"/>
      <c r="AT15" s="33"/>
      <c r="AU15" s="33" t="s">
        <v>347</v>
      </c>
      <c r="AV15" s="33">
        <v>2.0</v>
      </c>
      <c r="AW15" s="33" t="str">
        <f t="shared" si="1"/>
        <v>Yes</v>
      </c>
      <c r="AX15" s="33" t="s">
        <v>104</v>
      </c>
      <c r="AY15" s="31"/>
      <c r="AZ15" s="31"/>
      <c r="BA15" s="31"/>
      <c r="BB15" s="31"/>
      <c r="BC15" s="18" t="str">
        <f t="shared" si="3"/>
        <v>Found at our houses</v>
      </c>
      <c r="BD15" s="31"/>
      <c r="BE15" s="31"/>
    </row>
    <row r="16">
      <c r="A16" s="31">
        <v>15.0</v>
      </c>
      <c r="B16" s="31"/>
      <c r="C16" s="31" t="s">
        <v>145</v>
      </c>
      <c r="D16" s="31" t="s">
        <v>151</v>
      </c>
      <c r="E16" s="31" t="s">
        <v>152</v>
      </c>
      <c r="F16" s="31">
        <v>1.0</v>
      </c>
      <c r="G16" s="33" t="s">
        <v>83</v>
      </c>
      <c r="H16" s="33">
        <v>203.0</v>
      </c>
      <c r="I16" s="33" t="s">
        <v>84</v>
      </c>
      <c r="J16" s="33" t="s">
        <v>350</v>
      </c>
      <c r="K16" s="39" t="s">
        <v>351</v>
      </c>
      <c r="L16" s="33"/>
      <c r="M16" s="33" t="s">
        <v>86</v>
      </c>
      <c r="N16" s="31"/>
      <c r="O16" s="31"/>
      <c r="P16" s="31"/>
      <c r="Q16" s="33" t="s">
        <v>354</v>
      </c>
      <c r="R16" s="33"/>
      <c r="S16" s="33" t="s">
        <v>86</v>
      </c>
      <c r="T16" s="31"/>
      <c r="U16" s="31"/>
      <c r="V16" s="31"/>
      <c r="W16" s="40" t="s">
        <v>356</v>
      </c>
      <c r="X16" s="33">
        <v>1.0</v>
      </c>
      <c r="Y16" s="33" t="s">
        <v>86</v>
      </c>
      <c r="Z16" s="33"/>
      <c r="AA16" s="33"/>
      <c r="AB16" s="33"/>
      <c r="AC16" s="33" t="s">
        <v>358</v>
      </c>
      <c r="AD16" s="33">
        <v>2.0</v>
      </c>
      <c r="AE16" s="33" t="s">
        <v>86</v>
      </c>
      <c r="AF16" s="33"/>
      <c r="AG16" s="33"/>
      <c r="AH16" s="33"/>
      <c r="AI16" s="33" t="s">
        <v>359</v>
      </c>
      <c r="AJ16" s="33">
        <v>2.0</v>
      </c>
      <c r="AK16" s="33" t="s">
        <v>86</v>
      </c>
      <c r="AL16" s="33"/>
      <c r="AM16" s="33"/>
      <c r="AN16" s="33"/>
      <c r="AO16" s="33" t="s">
        <v>359</v>
      </c>
      <c r="AP16" s="33">
        <v>2.0</v>
      </c>
      <c r="AQ16" s="33" t="s">
        <v>86</v>
      </c>
      <c r="AR16" s="33"/>
      <c r="AS16" s="33"/>
      <c r="AT16" s="33"/>
      <c r="AU16" s="33" t="s">
        <v>360</v>
      </c>
      <c r="AV16" s="33">
        <v>2.0</v>
      </c>
      <c r="AW16" s="33" t="str">
        <f t="shared" si="1"/>
        <v>Yes</v>
      </c>
      <c r="AX16" s="33" t="s">
        <v>104</v>
      </c>
      <c r="AY16" s="31"/>
      <c r="AZ16" s="31"/>
      <c r="BA16" s="31"/>
      <c r="BB16" s="31"/>
      <c r="BC16" s="18" t="str">
        <f t="shared" si="3"/>
        <v>Found at our houses</v>
      </c>
      <c r="BD16" s="31"/>
      <c r="BE16" s="31"/>
    </row>
    <row r="17">
      <c r="A17" s="31">
        <v>16.0</v>
      </c>
      <c r="B17" s="31">
        <v>6.0</v>
      </c>
      <c r="C17" s="31" t="s">
        <v>165</v>
      </c>
      <c r="D17" s="31" t="s">
        <v>166</v>
      </c>
      <c r="E17" s="31" t="s">
        <v>167</v>
      </c>
      <c r="F17" s="31">
        <v>1.0</v>
      </c>
      <c r="G17" s="33" t="s">
        <v>83</v>
      </c>
      <c r="H17" s="33">
        <v>1012.43</v>
      </c>
      <c r="I17" s="33" t="s">
        <v>84</v>
      </c>
      <c r="J17" s="33" t="s">
        <v>364</v>
      </c>
      <c r="K17" s="39" t="s">
        <v>366</v>
      </c>
      <c r="L17" s="31"/>
      <c r="M17" s="33" t="s">
        <v>367</v>
      </c>
      <c r="N17" s="31"/>
      <c r="O17" s="31"/>
      <c r="P17" s="31"/>
      <c r="Q17" s="33" t="s">
        <v>368</v>
      </c>
      <c r="R17" s="31"/>
      <c r="S17" s="33" t="s">
        <v>83</v>
      </c>
      <c r="T17" s="33">
        <v>943.03</v>
      </c>
      <c r="U17" s="33" t="s">
        <v>84</v>
      </c>
      <c r="V17" s="33" t="s">
        <v>369</v>
      </c>
      <c r="W17" s="40" t="s">
        <v>370</v>
      </c>
      <c r="X17" s="33">
        <v>2.0</v>
      </c>
      <c r="Y17" s="33" t="s">
        <v>233</v>
      </c>
      <c r="Z17" s="33">
        <v>623.39</v>
      </c>
      <c r="AA17" s="33" t="s">
        <v>84</v>
      </c>
      <c r="AB17" s="33" t="s">
        <v>371</v>
      </c>
      <c r="AC17" s="33" t="s">
        <v>372</v>
      </c>
      <c r="AD17" s="33">
        <v>2.0</v>
      </c>
      <c r="AE17" s="33" t="s">
        <v>86</v>
      </c>
      <c r="AF17" s="31"/>
      <c r="AG17" s="31"/>
      <c r="AH17" s="31"/>
      <c r="AI17" s="33" t="s">
        <v>374</v>
      </c>
      <c r="AJ17" s="33">
        <v>2.0</v>
      </c>
      <c r="AK17" s="33" t="s">
        <v>86</v>
      </c>
      <c r="AL17" s="31"/>
      <c r="AM17" s="31"/>
      <c r="AN17" s="31"/>
      <c r="AO17" s="33" t="s">
        <v>376</v>
      </c>
      <c r="AP17" s="33">
        <v>2.0</v>
      </c>
      <c r="AQ17" s="33" t="s">
        <v>86</v>
      </c>
      <c r="AR17" s="31"/>
      <c r="AS17" s="31"/>
      <c r="AT17" s="31"/>
      <c r="AU17" s="33" t="s">
        <v>378</v>
      </c>
      <c r="AV17" s="33">
        <v>2.0</v>
      </c>
      <c r="AW17" s="33" t="str">
        <f t="shared" si="1"/>
        <v>Yes</v>
      </c>
      <c r="AX17" s="33" t="s">
        <v>104</v>
      </c>
      <c r="AY17" s="31"/>
      <c r="AZ17" s="31"/>
      <c r="BA17" s="31"/>
      <c r="BB17" s="31"/>
      <c r="BC17" s="18" t="str">
        <f t="shared" si="3"/>
        <v>Found at our houses</v>
      </c>
      <c r="BD17" s="31"/>
      <c r="BE17" s="31"/>
    </row>
    <row r="18">
      <c r="A18" s="31">
        <v>17.0</v>
      </c>
      <c r="B18" s="31"/>
      <c r="C18" s="31" t="s">
        <v>165</v>
      </c>
      <c r="D18" s="31" t="s">
        <v>170</v>
      </c>
      <c r="E18" s="31" t="s">
        <v>171</v>
      </c>
      <c r="F18" s="31">
        <v>1.0</v>
      </c>
      <c r="G18" s="33" t="s">
        <v>233</v>
      </c>
      <c r="H18" s="53">
        <v>267.0</v>
      </c>
      <c r="I18" s="33" t="s">
        <v>84</v>
      </c>
      <c r="J18" s="33" t="s">
        <v>380</v>
      </c>
      <c r="K18" s="39" t="s">
        <v>381</v>
      </c>
      <c r="L18" s="33"/>
      <c r="M18" s="33" t="s">
        <v>233</v>
      </c>
      <c r="N18" s="31"/>
      <c r="O18" s="31"/>
      <c r="P18" s="33" t="s">
        <v>384</v>
      </c>
      <c r="Q18" s="39" t="s">
        <v>386</v>
      </c>
      <c r="R18" s="33"/>
      <c r="S18" s="33" t="s">
        <v>83</v>
      </c>
      <c r="T18" s="33">
        <v>250.0</v>
      </c>
      <c r="U18" s="33" t="s">
        <v>84</v>
      </c>
      <c r="V18" s="33" t="s">
        <v>388</v>
      </c>
      <c r="W18" s="40" t="s">
        <v>389</v>
      </c>
      <c r="X18" s="33">
        <v>2.0</v>
      </c>
      <c r="Y18" s="33" t="s">
        <v>233</v>
      </c>
      <c r="Z18" s="33">
        <v>257.655</v>
      </c>
      <c r="AA18" s="33" t="s">
        <v>84</v>
      </c>
      <c r="AB18" s="33" t="s">
        <v>390</v>
      </c>
      <c r="AC18" s="33" t="s">
        <v>391</v>
      </c>
      <c r="AD18" s="33">
        <v>2.0</v>
      </c>
      <c r="AE18" s="33" t="s">
        <v>86</v>
      </c>
      <c r="AF18" s="33"/>
      <c r="AG18" s="33"/>
      <c r="AH18" s="33"/>
      <c r="AI18" s="33" t="s">
        <v>392</v>
      </c>
      <c r="AJ18" s="33">
        <v>2.0</v>
      </c>
      <c r="AK18" s="33" t="s">
        <v>86</v>
      </c>
      <c r="AL18" s="33"/>
      <c r="AM18" s="33"/>
      <c r="AN18" s="33"/>
      <c r="AO18" s="33" t="s">
        <v>393</v>
      </c>
      <c r="AP18" s="33">
        <v>2.0</v>
      </c>
      <c r="AQ18" s="33" t="s">
        <v>83</v>
      </c>
      <c r="AR18" s="33">
        <v>466.7</v>
      </c>
      <c r="AS18" s="33" t="s">
        <v>84</v>
      </c>
      <c r="AT18" s="33" t="s">
        <v>394</v>
      </c>
      <c r="AU18" s="33" t="s">
        <v>395</v>
      </c>
      <c r="AV18" s="33">
        <v>3.0</v>
      </c>
      <c r="AW18" s="33" t="str">
        <f t="shared" si="1"/>
        <v>Yes</v>
      </c>
      <c r="AX18" s="33" t="s">
        <v>104</v>
      </c>
      <c r="AY18" s="31"/>
      <c r="AZ18" s="31"/>
      <c r="BA18" s="31"/>
      <c r="BB18" s="31"/>
      <c r="BC18" s="18" t="str">
        <f t="shared" si="3"/>
        <v>Found at our houses</v>
      </c>
      <c r="BD18" s="31"/>
      <c r="BE18" s="31"/>
    </row>
    <row r="19">
      <c r="A19" s="31">
        <v>18.0</v>
      </c>
      <c r="B19" s="31"/>
      <c r="C19" s="31" t="s">
        <v>165</v>
      </c>
      <c r="D19" s="31" t="s">
        <v>175</v>
      </c>
      <c r="E19" s="31" t="s">
        <v>176</v>
      </c>
      <c r="F19" s="31">
        <v>1.0</v>
      </c>
      <c r="G19" s="33" t="s">
        <v>233</v>
      </c>
      <c r="H19" s="53">
        <v>176.23</v>
      </c>
      <c r="I19" s="33" t="s">
        <v>84</v>
      </c>
      <c r="J19" s="33" t="s">
        <v>398</v>
      </c>
      <c r="K19" s="39" t="s">
        <v>399</v>
      </c>
      <c r="L19" s="33"/>
      <c r="M19" s="33" t="s">
        <v>83</v>
      </c>
      <c r="N19" s="33">
        <v>175.41</v>
      </c>
      <c r="O19" s="33" t="s">
        <v>84</v>
      </c>
      <c r="P19" s="33" t="s">
        <v>401</v>
      </c>
      <c r="Q19" s="39" t="s">
        <v>402</v>
      </c>
      <c r="R19" s="33"/>
      <c r="S19" s="33" t="s">
        <v>83</v>
      </c>
      <c r="T19" s="33">
        <v>222.45</v>
      </c>
      <c r="U19" s="33" t="s">
        <v>84</v>
      </c>
      <c r="V19" s="33" t="s">
        <v>406</v>
      </c>
      <c r="W19" s="40" t="s">
        <v>407</v>
      </c>
      <c r="X19" s="33">
        <v>2.0</v>
      </c>
      <c r="Y19" s="33" t="s">
        <v>233</v>
      </c>
      <c r="Z19" s="33">
        <v>138.96</v>
      </c>
      <c r="AA19" s="33" t="s">
        <v>84</v>
      </c>
      <c r="AB19" s="33" t="s">
        <v>408</v>
      </c>
      <c r="AC19" s="33" t="s">
        <v>409</v>
      </c>
      <c r="AD19" s="33">
        <v>2.0</v>
      </c>
      <c r="AE19" s="33" t="s">
        <v>86</v>
      </c>
      <c r="AF19" s="33"/>
      <c r="AG19" s="33"/>
      <c r="AH19" s="33"/>
      <c r="AI19" s="33" t="s">
        <v>411</v>
      </c>
      <c r="AJ19" s="33">
        <v>2.0</v>
      </c>
      <c r="AK19" s="33" t="s">
        <v>86</v>
      </c>
      <c r="AL19" s="33"/>
      <c r="AM19" s="33"/>
      <c r="AN19" s="33"/>
      <c r="AO19" s="33" t="s">
        <v>411</v>
      </c>
      <c r="AP19" s="33">
        <v>2.0</v>
      </c>
      <c r="AQ19" s="33" t="s">
        <v>86</v>
      </c>
      <c r="AR19" s="33"/>
      <c r="AS19" s="33"/>
      <c r="AT19" s="33"/>
      <c r="AU19" s="33" t="s">
        <v>412</v>
      </c>
      <c r="AV19" s="33">
        <v>2.0</v>
      </c>
      <c r="AW19" s="33" t="str">
        <f t="shared" si="1"/>
        <v>Yes</v>
      </c>
      <c r="AX19" s="33" t="s">
        <v>104</v>
      </c>
      <c r="AY19" s="31"/>
      <c r="AZ19" s="31"/>
      <c r="BA19" s="31"/>
      <c r="BB19" s="31"/>
      <c r="BC19" s="18" t="str">
        <f t="shared" si="3"/>
        <v>Found at our houses</v>
      </c>
      <c r="BD19" s="31"/>
      <c r="BE19" s="31"/>
    </row>
    <row r="20">
      <c r="A20" s="31">
        <v>19.0</v>
      </c>
      <c r="B20" s="31">
        <v>7.0</v>
      </c>
      <c r="C20" s="31"/>
      <c r="D20" s="31" t="s">
        <v>177</v>
      </c>
      <c r="E20" s="31"/>
      <c r="F20" s="31" t="s">
        <v>178</v>
      </c>
      <c r="G20" s="33" t="s">
        <v>367</v>
      </c>
      <c r="H20" s="31"/>
      <c r="I20" s="31"/>
      <c r="J20" s="33"/>
      <c r="K20" s="33" t="s">
        <v>415</v>
      </c>
      <c r="L20" s="33"/>
      <c r="M20" s="33" t="s">
        <v>367</v>
      </c>
      <c r="N20" s="31"/>
      <c r="O20" s="31"/>
      <c r="P20" s="31"/>
      <c r="Q20" s="33" t="s">
        <v>416</v>
      </c>
      <c r="R20" s="33"/>
      <c r="S20" s="33" t="s">
        <v>86</v>
      </c>
      <c r="T20" s="31"/>
      <c r="U20" s="31"/>
      <c r="V20" s="31"/>
      <c r="W20" s="40" t="s">
        <v>418</v>
      </c>
      <c r="X20" s="33">
        <v>3.0</v>
      </c>
      <c r="Y20" s="33" t="s">
        <v>83</v>
      </c>
      <c r="Z20" s="33">
        <v>362.074</v>
      </c>
      <c r="AA20" s="33" t="s">
        <v>419</v>
      </c>
      <c r="AB20" s="33" t="s">
        <v>420</v>
      </c>
      <c r="AC20" s="33" t="s">
        <v>421</v>
      </c>
      <c r="AD20" s="33">
        <v>3.0</v>
      </c>
      <c r="AE20" s="33" t="s">
        <v>86</v>
      </c>
      <c r="AF20" s="33"/>
      <c r="AG20" s="33"/>
      <c r="AH20" s="33"/>
      <c r="AI20" s="33" t="s">
        <v>422</v>
      </c>
      <c r="AJ20" s="33">
        <v>2.0</v>
      </c>
      <c r="AK20" s="33" t="s">
        <v>86</v>
      </c>
      <c r="AL20" s="33"/>
      <c r="AM20" s="33"/>
      <c r="AN20" s="33"/>
      <c r="AO20" s="33" t="s">
        <v>423</v>
      </c>
      <c r="AP20" s="33">
        <v>2.0</v>
      </c>
      <c r="AQ20" s="33" t="s">
        <v>86</v>
      </c>
      <c r="AR20" s="33"/>
      <c r="AS20" s="33"/>
      <c r="AT20" s="33"/>
      <c r="AU20" s="33" t="s">
        <v>424</v>
      </c>
      <c r="AV20" s="33">
        <v>2.0</v>
      </c>
      <c r="AW20" s="33" t="str">
        <f t="shared" si="1"/>
        <v>Yes</v>
      </c>
      <c r="AX20" s="33" t="s">
        <v>104</v>
      </c>
      <c r="AY20" s="33"/>
      <c r="AZ20" s="31"/>
      <c r="BA20" s="31"/>
      <c r="BB20" s="31"/>
      <c r="BC20" s="18" t="str">
        <f t="shared" si="3"/>
        <v>Found at our houses</v>
      </c>
      <c r="BD20" s="31"/>
      <c r="BE20" s="31"/>
    </row>
    <row r="21">
      <c r="A21" s="31">
        <v>20.0</v>
      </c>
      <c r="B21" s="31">
        <v>8.0</v>
      </c>
      <c r="C21" s="31"/>
      <c r="D21" s="31" t="s">
        <v>187</v>
      </c>
      <c r="E21" s="31"/>
      <c r="F21" s="31" t="s">
        <v>178</v>
      </c>
      <c r="G21" s="33" t="s">
        <v>367</v>
      </c>
      <c r="H21" s="31"/>
      <c r="I21" s="31"/>
      <c r="J21" s="33"/>
      <c r="K21" s="40" t="s">
        <v>415</v>
      </c>
      <c r="L21" s="33"/>
      <c r="M21" s="33" t="s">
        <v>367</v>
      </c>
      <c r="N21" s="31"/>
      <c r="O21" s="31"/>
      <c r="P21" s="33"/>
      <c r="Q21" s="33" t="s">
        <v>427</v>
      </c>
      <c r="R21" s="33"/>
      <c r="S21" s="33" t="s">
        <v>86</v>
      </c>
      <c r="T21" s="31"/>
      <c r="U21" s="31"/>
      <c r="V21" s="31"/>
      <c r="W21" s="40" t="s">
        <v>428</v>
      </c>
      <c r="X21" s="33">
        <v>1.0</v>
      </c>
      <c r="Y21" s="33" t="s">
        <v>83</v>
      </c>
      <c r="Z21" s="33">
        <v>165.795</v>
      </c>
      <c r="AA21" s="33" t="s">
        <v>419</v>
      </c>
      <c r="AB21" s="33" t="s">
        <v>429</v>
      </c>
      <c r="AC21" s="33" t="s">
        <v>430</v>
      </c>
      <c r="AD21" s="33">
        <v>3.0</v>
      </c>
      <c r="AE21" s="33" t="s">
        <v>86</v>
      </c>
      <c r="AF21" s="33"/>
      <c r="AG21" s="33"/>
      <c r="AH21" s="33"/>
      <c r="AI21" s="33" t="s">
        <v>431</v>
      </c>
      <c r="AJ21" s="33">
        <v>2.0</v>
      </c>
      <c r="AK21" s="33" t="s">
        <v>86</v>
      </c>
      <c r="AL21" s="33"/>
      <c r="AM21" s="33"/>
      <c r="AN21" s="33"/>
      <c r="AO21" s="33" t="s">
        <v>432</v>
      </c>
      <c r="AP21" s="33">
        <v>2.0</v>
      </c>
      <c r="AQ21" s="33" t="s">
        <v>86</v>
      </c>
      <c r="AR21" s="33"/>
      <c r="AS21" s="33"/>
      <c r="AT21" s="33"/>
      <c r="AU21" s="33" t="s">
        <v>433</v>
      </c>
      <c r="AV21" s="33">
        <v>2.0</v>
      </c>
      <c r="AW21" s="33" t="str">
        <f t="shared" si="1"/>
        <v>Yes</v>
      </c>
      <c r="AX21" s="33" t="s">
        <v>104</v>
      </c>
      <c r="AY21" s="31"/>
      <c r="AZ21" s="31"/>
      <c r="BA21" s="31"/>
      <c r="BB21" s="31"/>
      <c r="BC21" s="18" t="str">
        <f t="shared" si="3"/>
        <v>Found at our houses</v>
      </c>
      <c r="BD21" s="31"/>
      <c r="BE21" s="31"/>
    </row>
    <row r="22">
      <c r="A22" s="31">
        <v>21.0</v>
      </c>
      <c r="B22" s="31">
        <v>9.0</v>
      </c>
      <c r="C22" s="31"/>
      <c r="D22" s="31" t="s">
        <v>192</v>
      </c>
      <c r="E22" s="31"/>
      <c r="F22" s="31" t="s">
        <v>193</v>
      </c>
      <c r="G22" s="33" t="s">
        <v>367</v>
      </c>
      <c r="H22" s="53"/>
      <c r="I22" s="33"/>
      <c r="J22" s="31"/>
      <c r="K22" s="33" t="s">
        <v>415</v>
      </c>
      <c r="L22" s="33"/>
      <c r="M22" s="33" t="s">
        <v>367</v>
      </c>
      <c r="N22" s="31"/>
      <c r="O22" s="31"/>
      <c r="P22" s="31"/>
      <c r="Q22" s="33" t="s">
        <v>435</v>
      </c>
      <c r="R22" s="33"/>
      <c r="S22" s="33" t="s">
        <v>86</v>
      </c>
      <c r="T22" s="31"/>
      <c r="U22" s="31"/>
      <c r="V22" s="31"/>
      <c r="W22" s="40" t="s">
        <v>438</v>
      </c>
      <c r="X22" s="33">
        <v>1.0</v>
      </c>
      <c r="Y22" s="33" t="s">
        <v>83</v>
      </c>
      <c r="Z22" s="33">
        <v>500.699</v>
      </c>
      <c r="AA22" s="33" t="s">
        <v>419</v>
      </c>
      <c r="AB22" s="33" t="s">
        <v>439</v>
      </c>
      <c r="AC22" s="33" t="s">
        <v>440</v>
      </c>
      <c r="AD22" s="33">
        <v>3.0</v>
      </c>
      <c r="AE22" s="33" t="s">
        <v>86</v>
      </c>
      <c r="AF22" s="33"/>
      <c r="AG22" s="33"/>
      <c r="AH22" s="33"/>
      <c r="AI22" s="33" t="s">
        <v>441</v>
      </c>
      <c r="AJ22" s="33">
        <v>2.0</v>
      </c>
      <c r="AK22" s="33" t="s">
        <v>86</v>
      </c>
      <c r="AL22" s="33"/>
      <c r="AM22" s="33"/>
      <c r="AN22" s="33"/>
      <c r="AO22" s="33" t="s">
        <v>442</v>
      </c>
      <c r="AP22" s="33">
        <v>2.0</v>
      </c>
      <c r="AQ22" s="33" t="s">
        <v>86</v>
      </c>
      <c r="AR22" s="33"/>
      <c r="AS22" s="33"/>
      <c r="AT22" s="33"/>
      <c r="AU22" s="33" t="s">
        <v>443</v>
      </c>
      <c r="AV22" s="33">
        <v>2.0</v>
      </c>
      <c r="AW22" s="33" t="str">
        <f t="shared" si="1"/>
        <v>Yes</v>
      </c>
      <c r="AX22" s="33" t="s">
        <v>104</v>
      </c>
      <c r="AY22" s="33"/>
      <c r="AZ22" s="31"/>
      <c r="BA22" s="31"/>
      <c r="BB22" s="31"/>
      <c r="BC22" s="18" t="str">
        <f t="shared" si="3"/>
        <v>Found at our houses</v>
      </c>
      <c r="BD22" s="31"/>
      <c r="BE22" s="31"/>
    </row>
    <row r="23" ht="15.75" customHeight="1">
      <c r="A23" s="31">
        <v>22.0</v>
      </c>
      <c r="B23" s="31">
        <v>10.0</v>
      </c>
      <c r="C23" s="31"/>
      <c r="D23" s="31" t="s">
        <v>205</v>
      </c>
      <c r="E23" s="31"/>
      <c r="F23" s="31">
        <v>3.0</v>
      </c>
      <c r="G23" s="33" t="s">
        <v>367</v>
      </c>
      <c r="H23" s="31"/>
      <c r="I23" s="31"/>
      <c r="J23" s="33"/>
      <c r="K23" s="33" t="s">
        <v>446</v>
      </c>
      <c r="L23" s="33"/>
      <c r="M23" s="33" t="s">
        <v>367</v>
      </c>
      <c r="N23" s="31"/>
      <c r="O23" s="31"/>
      <c r="P23" s="31"/>
      <c r="Q23" s="39" t="s">
        <v>1051</v>
      </c>
      <c r="R23" s="33"/>
      <c r="S23" s="33" t="s">
        <v>86</v>
      </c>
      <c r="T23" s="31"/>
      <c r="U23" s="31"/>
      <c r="V23" s="31"/>
      <c r="W23" s="40" t="s">
        <v>451</v>
      </c>
      <c r="X23" s="33">
        <v>1.0</v>
      </c>
      <c r="Y23" s="33" t="s">
        <v>83</v>
      </c>
      <c r="Z23" s="33">
        <v>16.78</v>
      </c>
      <c r="AA23" s="33" t="s">
        <v>84</v>
      </c>
      <c r="AB23" s="33" t="s">
        <v>452</v>
      </c>
      <c r="AC23" s="33" t="s">
        <v>453</v>
      </c>
      <c r="AD23" s="33">
        <v>2.0</v>
      </c>
      <c r="AE23" s="33" t="s">
        <v>86</v>
      </c>
      <c r="AF23" s="33"/>
      <c r="AG23" s="33"/>
      <c r="AH23" s="33"/>
      <c r="AI23" s="33" t="s">
        <v>454</v>
      </c>
      <c r="AJ23" s="33">
        <v>2.0</v>
      </c>
      <c r="AK23" s="33" t="s">
        <v>86</v>
      </c>
      <c r="AL23" s="33"/>
      <c r="AM23" s="33"/>
      <c r="AN23" s="33"/>
      <c r="AO23" s="33" t="s">
        <v>455</v>
      </c>
      <c r="AP23" s="33">
        <v>2.0</v>
      </c>
      <c r="AQ23" s="33" t="s">
        <v>86</v>
      </c>
      <c r="AR23" s="33"/>
      <c r="AS23" s="33"/>
      <c r="AT23" s="33"/>
      <c r="AU23" s="33" t="s">
        <v>457</v>
      </c>
      <c r="AV23" s="33">
        <v>2.0</v>
      </c>
      <c r="AW23" s="33" t="str">
        <f t="shared" si="1"/>
        <v>Yes</v>
      </c>
      <c r="AX23" s="33" t="s">
        <v>104</v>
      </c>
      <c r="AY23" s="31"/>
      <c r="AZ23" s="31"/>
      <c r="BA23" s="31"/>
      <c r="BB23" s="31"/>
      <c r="BC23" s="18" t="str">
        <f t="shared" si="3"/>
        <v>Found at our houses</v>
      </c>
      <c r="BD23" s="31"/>
      <c r="BE23" s="31"/>
    </row>
    <row r="24" ht="15.75" customHeight="1">
      <c r="A24" s="31">
        <v>23.0</v>
      </c>
      <c r="B24" s="31">
        <v>11.0</v>
      </c>
      <c r="C24" s="31"/>
      <c r="D24" s="31" t="s">
        <v>207</v>
      </c>
      <c r="E24" s="31"/>
      <c r="F24" s="31">
        <v>6.0</v>
      </c>
      <c r="G24" s="33" t="s">
        <v>367</v>
      </c>
      <c r="H24" s="53"/>
      <c r="I24" s="33"/>
      <c r="J24" s="33"/>
      <c r="K24" s="33" t="s">
        <v>459</v>
      </c>
      <c r="L24" s="33"/>
      <c r="M24" s="33" t="s">
        <v>367</v>
      </c>
      <c r="N24" s="31"/>
      <c r="O24" s="31"/>
      <c r="P24" s="31"/>
      <c r="Q24" s="62" t="s">
        <v>461</v>
      </c>
      <c r="R24" s="33"/>
      <c r="S24" s="33" t="s">
        <v>86</v>
      </c>
      <c r="T24" s="31"/>
      <c r="U24" s="31"/>
      <c r="V24" s="31"/>
      <c r="W24" s="40" t="s">
        <v>462</v>
      </c>
      <c r="X24" s="33">
        <v>2.0</v>
      </c>
      <c r="Y24" s="33" t="s">
        <v>86</v>
      </c>
      <c r="Z24" s="33"/>
      <c r="AA24" s="33"/>
      <c r="AB24" s="33"/>
      <c r="AC24" s="33" t="s">
        <v>463</v>
      </c>
      <c r="AD24" s="33">
        <v>2.0</v>
      </c>
      <c r="AE24" s="33" t="s">
        <v>86</v>
      </c>
      <c r="AF24" s="33"/>
      <c r="AG24" s="33"/>
      <c r="AH24" s="33"/>
      <c r="AI24" s="33" t="s">
        <v>465</v>
      </c>
      <c r="AJ24" s="33">
        <v>2.0</v>
      </c>
      <c r="AK24" s="33" t="s">
        <v>86</v>
      </c>
      <c r="AL24" s="33"/>
      <c r="AM24" s="33"/>
      <c r="AN24" s="33"/>
      <c r="AO24" s="33" t="s">
        <v>466</v>
      </c>
      <c r="AP24" s="33">
        <v>2.0</v>
      </c>
      <c r="AQ24" s="33" t="s">
        <v>86</v>
      </c>
      <c r="AR24" s="33"/>
      <c r="AS24" s="33"/>
      <c r="AT24" s="33"/>
      <c r="AU24" s="33" t="s">
        <v>467</v>
      </c>
      <c r="AV24" s="33">
        <v>2.0</v>
      </c>
      <c r="AW24" s="31" t="str">
        <f t="shared" si="1"/>
        <v>No</v>
      </c>
      <c r="AX24" s="33" t="s">
        <v>104</v>
      </c>
      <c r="AY24" s="33"/>
      <c r="AZ24" s="31"/>
      <c r="BA24" s="31"/>
      <c r="BB24" s="31"/>
      <c r="BC24" s="18" t="str">
        <f t="shared" si="3"/>
        <v>Pending</v>
      </c>
      <c r="BD24" s="31"/>
      <c r="BE24" s="31"/>
    </row>
    <row r="25" ht="15.75" customHeight="1">
      <c r="A25" s="31">
        <v>24.0</v>
      </c>
      <c r="B25" s="31">
        <v>12.0</v>
      </c>
      <c r="C25" s="31"/>
      <c r="D25" s="31" t="s">
        <v>209</v>
      </c>
      <c r="E25" s="31"/>
      <c r="F25" s="31">
        <v>1.0</v>
      </c>
      <c r="G25" s="33" t="s">
        <v>367</v>
      </c>
      <c r="H25" s="63"/>
      <c r="I25" s="33"/>
      <c r="J25" s="33"/>
      <c r="K25" s="33" t="s">
        <v>459</v>
      </c>
      <c r="L25" s="33"/>
      <c r="M25" s="33" t="s">
        <v>83</v>
      </c>
      <c r="N25" s="33">
        <v>421.61</v>
      </c>
      <c r="O25" s="33" t="s">
        <v>84</v>
      </c>
      <c r="P25" s="33" t="s">
        <v>469</v>
      </c>
      <c r="Q25" s="39" t="s">
        <v>1052</v>
      </c>
      <c r="R25" s="33"/>
      <c r="S25" s="33" t="s">
        <v>83</v>
      </c>
      <c r="T25" s="33">
        <v>638.0</v>
      </c>
      <c r="U25" s="33" t="s">
        <v>84</v>
      </c>
      <c r="V25" s="33" t="s">
        <v>476</v>
      </c>
      <c r="W25" s="40" t="s">
        <v>477</v>
      </c>
      <c r="X25" s="33">
        <v>2.0</v>
      </c>
      <c r="Y25" s="33" t="s">
        <v>86</v>
      </c>
      <c r="Z25" s="33"/>
      <c r="AA25" s="33"/>
      <c r="AB25" s="33"/>
      <c r="AC25" s="33" t="s">
        <v>479</v>
      </c>
      <c r="AD25" s="33">
        <v>2.0</v>
      </c>
      <c r="AE25" s="33" t="s">
        <v>86</v>
      </c>
      <c r="AF25" s="33"/>
      <c r="AG25" s="33"/>
      <c r="AH25" s="33"/>
      <c r="AI25" s="33" t="s">
        <v>480</v>
      </c>
      <c r="AJ25" s="33">
        <v>2.0</v>
      </c>
      <c r="AK25" s="33" t="s">
        <v>86</v>
      </c>
      <c r="AL25" s="33"/>
      <c r="AM25" s="33"/>
      <c r="AN25" s="33"/>
      <c r="AO25" s="33" t="s">
        <v>482</v>
      </c>
      <c r="AP25" s="33">
        <v>2.0</v>
      </c>
      <c r="AQ25" s="33" t="s">
        <v>86</v>
      </c>
      <c r="AR25" s="33"/>
      <c r="AS25" s="33"/>
      <c r="AT25" s="33"/>
      <c r="AU25" s="33" t="s">
        <v>483</v>
      </c>
      <c r="AV25" s="33">
        <v>2.0</v>
      </c>
      <c r="AW25" s="31" t="str">
        <f t="shared" si="1"/>
        <v>Yes</v>
      </c>
      <c r="AX25" s="33" t="s">
        <v>104</v>
      </c>
      <c r="AY25" s="33"/>
      <c r="AZ25" s="31"/>
      <c r="BA25" s="31"/>
      <c r="BB25" s="31"/>
      <c r="BC25" s="18" t="str">
        <f t="shared" si="3"/>
        <v>Found at our houses</v>
      </c>
      <c r="BD25" s="31"/>
      <c r="BE25" s="31"/>
    </row>
    <row r="26" ht="15.75" customHeight="1">
      <c r="A26" s="31">
        <v>25.0</v>
      </c>
      <c r="B26" s="31">
        <v>13.0</v>
      </c>
      <c r="C26" s="31"/>
      <c r="D26" s="31" t="s">
        <v>226</v>
      </c>
      <c r="E26" s="31"/>
      <c r="F26" s="31">
        <v>1.0</v>
      </c>
      <c r="G26" s="33" t="s">
        <v>367</v>
      </c>
      <c r="H26" s="31"/>
      <c r="I26" s="31"/>
      <c r="J26" s="31"/>
      <c r="K26" s="33" t="s">
        <v>459</v>
      </c>
      <c r="L26" s="33"/>
      <c r="M26" s="33" t="s">
        <v>367</v>
      </c>
      <c r="N26" s="31"/>
      <c r="O26" s="31"/>
      <c r="P26" s="31"/>
      <c r="Q26" s="33" t="s">
        <v>487</v>
      </c>
      <c r="R26" s="33"/>
      <c r="S26" s="33" t="s">
        <v>86</v>
      </c>
      <c r="T26" s="31"/>
      <c r="U26" s="31"/>
      <c r="V26" s="31"/>
      <c r="W26" s="40" t="s">
        <v>488</v>
      </c>
      <c r="X26" s="33">
        <v>1.0</v>
      </c>
      <c r="Y26" s="33" t="s">
        <v>86</v>
      </c>
      <c r="Z26" s="33"/>
      <c r="AA26" s="33"/>
      <c r="AB26" s="33"/>
      <c r="AC26" s="33" t="s">
        <v>490</v>
      </c>
      <c r="AD26" s="33">
        <v>2.0</v>
      </c>
      <c r="AE26" s="33" t="s">
        <v>86</v>
      </c>
      <c r="AF26" s="33"/>
      <c r="AG26" s="33"/>
      <c r="AH26" s="33"/>
      <c r="AI26" s="33" t="s">
        <v>491</v>
      </c>
      <c r="AJ26" s="33">
        <v>2.0</v>
      </c>
      <c r="AK26" s="33" t="s">
        <v>86</v>
      </c>
      <c r="AL26" s="33"/>
      <c r="AM26" s="33"/>
      <c r="AN26" s="33"/>
      <c r="AO26" s="33" t="s">
        <v>482</v>
      </c>
      <c r="AP26" s="33">
        <v>2.0</v>
      </c>
      <c r="AQ26" s="33" t="s">
        <v>86</v>
      </c>
      <c r="AR26" s="33"/>
      <c r="AS26" s="33"/>
      <c r="AT26" s="33"/>
      <c r="AU26" s="33" t="s">
        <v>492</v>
      </c>
      <c r="AV26" s="33">
        <v>2.0</v>
      </c>
      <c r="AW26" s="31" t="str">
        <f t="shared" si="1"/>
        <v>No</v>
      </c>
      <c r="AX26" s="33" t="s">
        <v>104</v>
      </c>
      <c r="AY26" s="33"/>
      <c r="AZ26" s="31"/>
      <c r="BA26" s="31"/>
      <c r="BB26" s="31"/>
      <c r="BC26" s="18" t="str">
        <f t="shared" si="3"/>
        <v>Pending</v>
      </c>
      <c r="BD26" s="31"/>
      <c r="BE26" s="31"/>
    </row>
    <row r="27" ht="15.75" customHeight="1">
      <c r="A27" s="31">
        <v>26.0</v>
      </c>
      <c r="B27" s="31">
        <v>14.0</v>
      </c>
      <c r="C27" s="31"/>
      <c r="D27" s="31" t="s">
        <v>240</v>
      </c>
      <c r="E27" s="31"/>
      <c r="F27" s="31">
        <v>6.0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18" t="str">
        <f t="shared" si="3"/>
        <v>Pending</v>
      </c>
      <c r="BD27" s="31"/>
      <c r="BE27" s="31"/>
    </row>
    <row r="28" ht="15.75" customHeight="1">
      <c r="A28" s="31">
        <v>27.0</v>
      </c>
      <c r="B28" s="31">
        <v>15.0</v>
      </c>
      <c r="C28" s="31"/>
      <c r="D28" s="31" t="s">
        <v>243</v>
      </c>
      <c r="E28" s="31"/>
      <c r="F28" s="31">
        <v>3.0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18" t="str">
        <f t="shared" si="3"/>
        <v>Pending</v>
      </c>
      <c r="BD28" s="31"/>
      <c r="BE28" s="31"/>
    </row>
    <row r="29" ht="15.75" customHeight="1">
      <c r="A29" s="31">
        <v>28.0</v>
      </c>
      <c r="B29" s="31">
        <v>16.0</v>
      </c>
      <c r="C29" s="31"/>
      <c r="D29" s="31" t="s">
        <v>247</v>
      </c>
      <c r="E29" s="31"/>
      <c r="F29" s="31">
        <v>3.0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18" t="str">
        <f t="shared" si="3"/>
        <v>Pending</v>
      </c>
      <c r="BD29" s="31"/>
      <c r="BE29" s="31"/>
    </row>
    <row r="30" ht="15.75" customHeight="1">
      <c r="A30" s="31">
        <v>29.0</v>
      </c>
      <c r="B30" s="31">
        <v>17.0</v>
      </c>
      <c r="C30" s="31"/>
      <c r="D30" s="31" t="s">
        <v>253</v>
      </c>
      <c r="E30" s="31"/>
      <c r="F30" s="31">
        <v>4.0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18" t="str">
        <f t="shared" si="3"/>
        <v>Pending</v>
      </c>
      <c r="BD30" s="31"/>
      <c r="BE30" s="31"/>
    </row>
    <row r="31" ht="15.75" customHeight="1">
      <c r="A31" s="31">
        <v>30.0</v>
      </c>
      <c r="B31" s="31">
        <v>18.0</v>
      </c>
      <c r="C31" s="31"/>
      <c r="D31" s="31" t="s">
        <v>259</v>
      </c>
      <c r="E31" s="31"/>
      <c r="F31" s="31">
        <v>10.0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18" t="str">
        <f t="shared" si="3"/>
        <v>Pending</v>
      </c>
      <c r="BD31" s="31"/>
      <c r="BE31" s="31"/>
    </row>
    <row r="32" ht="15.75" customHeight="1">
      <c r="A32" s="31">
        <v>31.0</v>
      </c>
      <c r="B32" s="31">
        <v>19.0</v>
      </c>
      <c r="C32" s="31"/>
      <c r="D32" s="31" t="s">
        <v>263</v>
      </c>
      <c r="E32" s="31"/>
      <c r="F32" s="31">
        <v>4.0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18" t="str">
        <f t="shared" si="3"/>
        <v>Pending</v>
      </c>
      <c r="BD32" s="31"/>
      <c r="BE32" s="31"/>
    </row>
    <row r="33" ht="15.75" customHeight="1">
      <c r="A33" s="31">
        <v>32.0</v>
      </c>
      <c r="B33" s="31">
        <v>20.0</v>
      </c>
      <c r="C33" s="31"/>
      <c r="D33" s="31" t="s">
        <v>265</v>
      </c>
      <c r="E33" s="31"/>
      <c r="F33" s="31">
        <v>4.0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18" t="str">
        <f t="shared" si="3"/>
        <v>Pending</v>
      </c>
      <c r="BD33" s="31"/>
      <c r="BE33" s="31"/>
    </row>
    <row r="34" ht="15.75" customHeight="1">
      <c r="A34" s="31">
        <v>33.0</v>
      </c>
      <c r="B34" s="31">
        <v>21.0</v>
      </c>
      <c r="C34" s="31"/>
      <c r="D34" s="31" t="s">
        <v>270</v>
      </c>
      <c r="E34" s="31"/>
      <c r="F34" s="31">
        <v>2.0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18" t="str">
        <f t="shared" si="3"/>
        <v>Pending</v>
      </c>
      <c r="BD34" s="31"/>
      <c r="BE34" s="31"/>
    </row>
    <row r="35" ht="15.75" customHeight="1">
      <c r="A35" s="31">
        <v>34.0</v>
      </c>
      <c r="B35" s="31">
        <v>22.0</v>
      </c>
      <c r="C35" s="31"/>
      <c r="D35" s="31" t="s">
        <v>274</v>
      </c>
      <c r="E35" s="31"/>
      <c r="F35" s="31">
        <v>6.0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18" t="str">
        <f t="shared" si="3"/>
        <v>Pending</v>
      </c>
      <c r="BD35" s="31"/>
      <c r="BE35" s="31"/>
    </row>
    <row r="36" ht="15.75" customHeight="1">
      <c r="A36" s="31">
        <v>35.0</v>
      </c>
      <c r="B36" s="31">
        <v>23.0</v>
      </c>
      <c r="C36" s="31"/>
      <c r="D36" s="31" t="s">
        <v>278</v>
      </c>
      <c r="E36" s="31"/>
      <c r="F36" s="31">
        <v>1.0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18" t="str">
        <f t="shared" si="3"/>
        <v>Pending</v>
      </c>
      <c r="BD36" s="31"/>
      <c r="BE36" s="31"/>
    </row>
    <row r="37" ht="15.75" customHeight="1">
      <c r="A37" s="31">
        <v>36.0</v>
      </c>
      <c r="B37" s="31">
        <v>24.0</v>
      </c>
      <c r="C37" s="31"/>
      <c r="D37" s="31" t="s">
        <v>287</v>
      </c>
      <c r="E37" s="31"/>
      <c r="F37" s="31">
        <v>1.0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18" t="str">
        <f t="shared" si="3"/>
        <v>Pending</v>
      </c>
      <c r="BD37" s="31"/>
      <c r="BE37" s="31"/>
    </row>
    <row r="38" ht="15.75" customHeight="1">
      <c r="A38" s="31">
        <v>37.0</v>
      </c>
      <c r="B38" s="31">
        <v>25.0</v>
      </c>
      <c r="C38" s="31"/>
      <c r="D38" s="31" t="s">
        <v>290</v>
      </c>
      <c r="E38" s="31"/>
      <c r="F38" s="31">
        <v>6.0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18" t="str">
        <f t="shared" si="3"/>
        <v>Pending</v>
      </c>
      <c r="BD38" s="31"/>
      <c r="BE38" s="31"/>
    </row>
    <row r="39" ht="15.75" customHeight="1">
      <c r="A39" s="31">
        <v>38.0</v>
      </c>
      <c r="B39" s="31">
        <v>26.0</v>
      </c>
      <c r="C39" s="31"/>
      <c r="D39" s="31" t="s">
        <v>294</v>
      </c>
      <c r="E39" s="31"/>
      <c r="F39" s="31">
        <v>3.0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18" t="str">
        <f t="shared" si="3"/>
        <v>Pending</v>
      </c>
      <c r="BD39" s="31"/>
      <c r="BE39" s="31"/>
    </row>
    <row r="40" ht="15.75" customHeight="1">
      <c r="A40" s="31">
        <v>39.0</v>
      </c>
      <c r="B40" s="31">
        <v>27.0</v>
      </c>
      <c r="C40" s="31"/>
      <c r="D40" s="31" t="s">
        <v>299</v>
      </c>
      <c r="E40" s="31"/>
      <c r="F40" s="31">
        <v>1.0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18" t="str">
        <f t="shared" si="3"/>
        <v>Pending</v>
      </c>
      <c r="BD40" s="31"/>
      <c r="BE40" s="31"/>
    </row>
    <row r="41" ht="15.75" customHeight="1">
      <c r="A41" s="31">
        <v>40.0</v>
      </c>
      <c r="B41" s="31">
        <v>28.0</v>
      </c>
      <c r="C41" s="31"/>
      <c r="D41" s="31" t="s">
        <v>305</v>
      </c>
      <c r="E41" s="31"/>
      <c r="F41" s="31">
        <v>1.0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18" t="str">
        <f t="shared" si="3"/>
        <v>Pending</v>
      </c>
      <c r="BD41" s="31"/>
      <c r="BE41" s="31"/>
    </row>
    <row r="42" ht="15.75" customHeight="1">
      <c r="A42" s="31">
        <v>41.0</v>
      </c>
      <c r="B42" s="31">
        <v>29.0</v>
      </c>
      <c r="C42" s="31"/>
      <c r="D42" s="31" t="s">
        <v>307</v>
      </c>
      <c r="E42" s="31"/>
      <c r="F42" s="31">
        <v>3.0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18" t="str">
        <f t="shared" si="3"/>
        <v>Pending</v>
      </c>
      <c r="BD42" s="31"/>
      <c r="BE42" s="31"/>
    </row>
    <row r="43" ht="15.75" customHeight="1">
      <c r="A43" s="31">
        <v>42.0</v>
      </c>
      <c r="B43" s="31">
        <v>30.0</v>
      </c>
      <c r="C43" s="31"/>
      <c r="D43" s="31" t="s">
        <v>309</v>
      </c>
      <c r="E43" s="31"/>
      <c r="F43" s="31">
        <v>1.0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18" t="str">
        <f t="shared" si="3"/>
        <v>Pending</v>
      </c>
      <c r="BD43" s="31"/>
      <c r="BE43" s="31"/>
    </row>
    <row r="44" ht="15.75" customHeight="1">
      <c r="A44" s="31">
        <v>43.0</v>
      </c>
      <c r="B44" s="31">
        <v>31.0</v>
      </c>
      <c r="C44" s="31"/>
      <c r="D44" s="31" t="s">
        <v>311</v>
      </c>
      <c r="E44" s="31"/>
      <c r="F44" s="31">
        <v>1.0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18" t="str">
        <f t="shared" si="3"/>
        <v>Pending</v>
      </c>
      <c r="BD44" s="31"/>
      <c r="BE44" s="31"/>
    </row>
    <row r="45" ht="15.75" customHeight="1">
      <c r="A45" s="31">
        <v>44.0</v>
      </c>
      <c r="B45" s="31">
        <v>32.0</v>
      </c>
      <c r="C45" s="31"/>
      <c r="D45" s="31" t="s">
        <v>313</v>
      </c>
      <c r="E45" s="31"/>
      <c r="F45" s="31">
        <v>1.0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18" t="str">
        <f t="shared" si="3"/>
        <v>Pending</v>
      </c>
      <c r="BD45" s="31"/>
      <c r="BE45" s="31"/>
    </row>
    <row r="46" ht="15.75" customHeight="1">
      <c r="A46" s="31">
        <v>45.0</v>
      </c>
      <c r="B46" s="31">
        <v>33.0</v>
      </c>
      <c r="C46" s="31"/>
      <c r="D46" s="31" t="s">
        <v>315</v>
      </c>
      <c r="E46" s="31"/>
      <c r="F46" s="31">
        <v>1.0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18" t="str">
        <f t="shared" si="3"/>
        <v>Pending</v>
      </c>
      <c r="BD46" s="31"/>
      <c r="BE46" s="31"/>
    </row>
    <row r="47" ht="15.75" customHeight="1">
      <c r="A47" s="31">
        <v>46.0</v>
      </c>
      <c r="B47" s="31">
        <v>34.0</v>
      </c>
      <c r="C47" s="31"/>
      <c r="D47" s="31" t="s">
        <v>319</v>
      </c>
      <c r="E47" s="31"/>
      <c r="F47" s="31">
        <v>1.0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18" t="str">
        <f t="shared" si="3"/>
        <v>Pending</v>
      </c>
      <c r="BD47" s="31"/>
      <c r="BE47" s="31"/>
    </row>
    <row r="48" ht="15.75" customHeight="1">
      <c r="A48" s="31">
        <v>47.0</v>
      </c>
      <c r="B48" s="31">
        <v>35.0</v>
      </c>
      <c r="C48" s="31"/>
      <c r="D48" s="31" t="s">
        <v>327</v>
      </c>
      <c r="E48" s="31"/>
      <c r="F48" s="31">
        <v>1.0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18" t="str">
        <f t="shared" si="3"/>
        <v>Pending</v>
      </c>
      <c r="BD48" s="31"/>
      <c r="BE48" s="31"/>
    </row>
    <row r="49" ht="15.75" customHeight="1">
      <c r="A49" s="31">
        <v>48.0</v>
      </c>
      <c r="B49" s="31">
        <v>36.0</v>
      </c>
      <c r="C49" s="31"/>
      <c r="D49" s="31" t="s">
        <v>335</v>
      </c>
      <c r="E49" s="31"/>
      <c r="F49" s="31">
        <v>2.0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18" t="str">
        <f t="shared" si="3"/>
        <v>Pending</v>
      </c>
      <c r="BD49" s="31"/>
      <c r="BE49" s="31"/>
    </row>
    <row r="50" ht="15.75" customHeight="1">
      <c r="A50" s="31">
        <v>49.0</v>
      </c>
      <c r="B50" s="31">
        <v>37.0</v>
      </c>
      <c r="C50" s="31"/>
      <c r="D50" s="31" t="s">
        <v>341</v>
      </c>
      <c r="E50" s="31"/>
      <c r="F50" s="31">
        <v>2.0</v>
      </c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18" t="str">
        <f t="shared" si="3"/>
        <v>Pending</v>
      </c>
      <c r="BD50" s="31"/>
      <c r="BE50" s="31"/>
    </row>
    <row r="51" ht="15.75" customHeight="1">
      <c r="A51" s="31">
        <v>50.0</v>
      </c>
      <c r="B51" s="31">
        <v>38.0</v>
      </c>
      <c r="C51" s="31"/>
      <c r="D51" s="31" t="s">
        <v>349</v>
      </c>
      <c r="E51" s="31"/>
      <c r="F51" s="31">
        <v>2.0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18" t="str">
        <f t="shared" si="3"/>
        <v>Pending</v>
      </c>
      <c r="BD51" s="31"/>
      <c r="BE51" s="31"/>
    </row>
    <row r="52" ht="15.75" customHeight="1">
      <c r="A52" s="31">
        <v>51.0</v>
      </c>
      <c r="B52" s="31">
        <v>39.0</v>
      </c>
      <c r="C52" s="31"/>
      <c r="D52" s="31" t="s">
        <v>353</v>
      </c>
      <c r="E52" s="31"/>
      <c r="F52" s="31">
        <v>3.0</v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18" t="str">
        <f t="shared" si="3"/>
        <v>Pending</v>
      </c>
      <c r="BD52" s="31"/>
      <c r="BE52" s="31"/>
    </row>
    <row r="53" ht="15.75" customHeight="1">
      <c r="A53" s="31">
        <v>52.0</v>
      </c>
      <c r="B53" s="64">
        <v>40.0</v>
      </c>
      <c r="C53" s="64" t="s">
        <v>361</v>
      </c>
      <c r="D53" s="64" t="s">
        <v>362</v>
      </c>
      <c r="E53" s="64" t="s">
        <v>363</v>
      </c>
      <c r="G53" s="64" t="s">
        <v>86</v>
      </c>
      <c r="K53" s="64" t="s">
        <v>495</v>
      </c>
      <c r="L53" s="64">
        <v>2.0</v>
      </c>
      <c r="M53" s="64" t="s">
        <v>86</v>
      </c>
      <c r="Q53" s="64" t="s">
        <v>496</v>
      </c>
      <c r="R53" s="64">
        <v>2.0</v>
      </c>
      <c r="S53" s="64" t="s">
        <v>83</v>
      </c>
      <c r="T53" s="64">
        <v>626.22</v>
      </c>
      <c r="U53" s="64" t="s">
        <v>84</v>
      </c>
      <c r="V53" s="64" t="s">
        <v>498</v>
      </c>
      <c r="W53" s="64" t="s">
        <v>499</v>
      </c>
      <c r="X53" s="64">
        <v>3.0</v>
      </c>
      <c r="Y53" s="64" t="s">
        <v>86</v>
      </c>
      <c r="AC53" s="64" t="s">
        <v>500</v>
      </c>
      <c r="AD53" s="64">
        <v>2.0</v>
      </c>
      <c r="AE53" s="64" t="s">
        <v>86</v>
      </c>
      <c r="AI53" s="64" t="s">
        <v>501</v>
      </c>
      <c r="AJ53" s="64">
        <v>2.0</v>
      </c>
      <c r="AK53" s="64" t="s">
        <v>86</v>
      </c>
      <c r="AO53" s="64" t="s">
        <v>503</v>
      </c>
      <c r="AP53" s="64">
        <v>2.0</v>
      </c>
      <c r="AQ53" s="64" t="s">
        <v>86</v>
      </c>
      <c r="AU53" s="64" t="s">
        <v>504</v>
      </c>
      <c r="AV53" s="64">
        <v>2.0</v>
      </c>
      <c r="AW53" s="65" t="str">
        <f t="shared" ref="AW53:AW58" si="4">IF(OR(COUNT(H53,N53,T53,Z53,AF53,AL53,AR53)&gt;0,G53="Found",M53="Found",S53="Found",Y53="Found",AE53="Found",AK53="Found",AQ53="Found",G53="Carried but zero stock",M53="Carried but zero stock",S53="Carried but zero stock",Y53="Carried but zero stock",AE53="Carried but zero stock",AK53="Carried but zero stock",AQ53="Carried but zero stock"),"Yes","No")</f>
        <v>Yes</v>
      </c>
      <c r="AX53" s="64" t="s">
        <v>104</v>
      </c>
    </row>
    <row r="54" ht="15.75" customHeight="1">
      <c r="A54" s="31">
        <v>53.0</v>
      </c>
      <c r="B54" s="64">
        <v>40.0</v>
      </c>
      <c r="C54" s="64" t="s">
        <v>361</v>
      </c>
      <c r="D54" s="64" t="s">
        <v>375</v>
      </c>
      <c r="E54" s="64" t="s">
        <v>377</v>
      </c>
      <c r="G54" s="64" t="s">
        <v>86</v>
      </c>
      <c r="K54" s="64" t="s">
        <v>505</v>
      </c>
      <c r="L54" s="64">
        <v>2.0</v>
      </c>
      <c r="M54" s="64" t="s">
        <v>86</v>
      </c>
      <c r="Q54" s="64" t="s">
        <v>506</v>
      </c>
      <c r="R54" s="64">
        <v>2.0</v>
      </c>
      <c r="S54" s="64" t="s">
        <v>83</v>
      </c>
      <c r="T54" s="64">
        <v>940.18</v>
      </c>
      <c r="U54" s="64" t="s">
        <v>84</v>
      </c>
      <c r="V54" s="64" t="s">
        <v>507</v>
      </c>
      <c r="W54" s="64" t="s">
        <v>508</v>
      </c>
      <c r="X54" s="64">
        <v>3.0</v>
      </c>
      <c r="Y54" s="64" t="s">
        <v>86</v>
      </c>
      <c r="AC54" s="64" t="s">
        <v>510</v>
      </c>
      <c r="AD54" s="64">
        <v>2.0</v>
      </c>
      <c r="AE54" s="64" t="s">
        <v>86</v>
      </c>
      <c r="AI54" s="64" t="s">
        <v>511</v>
      </c>
      <c r="AJ54" s="64">
        <v>2.0</v>
      </c>
      <c r="AK54" s="64" t="s">
        <v>86</v>
      </c>
      <c r="AO54" s="64" t="s">
        <v>513</v>
      </c>
      <c r="AP54" s="64">
        <v>2.0</v>
      </c>
      <c r="AQ54" s="64" t="s">
        <v>86</v>
      </c>
      <c r="AU54" s="64" t="s">
        <v>515</v>
      </c>
      <c r="AV54" s="64">
        <v>2.0</v>
      </c>
      <c r="AW54" s="65" t="str">
        <f t="shared" si="4"/>
        <v>Yes</v>
      </c>
      <c r="AX54" s="64" t="s">
        <v>104</v>
      </c>
    </row>
    <row r="55" ht="15.75" customHeight="1">
      <c r="A55" s="31">
        <v>54.0</v>
      </c>
      <c r="B55" s="64">
        <v>40.0</v>
      </c>
      <c r="C55" s="64" t="s">
        <v>361</v>
      </c>
      <c r="D55" s="64" t="s">
        <v>383</v>
      </c>
      <c r="E55" s="64" t="s">
        <v>385</v>
      </c>
      <c r="G55" s="64" t="s">
        <v>86</v>
      </c>
      <c r="K55" s="64" t="s">
        <v>516</v>
      </c>
      <c r="L55" s="64">
        <v>2.0</v>
      </c>
      <c r="M55" s="64" t="s">
        <v>86</v>
      </c>
      <c r="Q55" s="64" t="s">
        <v>517</v>
      </c>
      <c r="R55" s="64">
        <v>2.0</v>
      </c>
      <c r="S55" s="64" t="s">
        <v>83</v>
      </c>
      <c r="T55" s="64">
        <v>441.0</v>
      </c>
      <c r="U55" s="64" t="s">
        <v>84</v>
      </c>
      <c r="V55" s="64" t="s">
        <v>518</v>
      </c>
      <c r="W55" s="64" t="s">
        <v>519</v>
      </c>
      <c r="X55" s="64">
        <v>3.0</v>
      </c>
      <c r="Y55" s="64" t="s">
        <v>86</v>
      </c>
      <c r="AC55" s="64" t="s">
        <v>520</v>
      </c>
      <c r="AD55" s="64">
        <v>2.0</v>
      </c>
      <c r="AE55" s="64" t="s">
        <v>86</v>
      </c>
      <c r="AI55" s="64" t="s">
        <v>521</v>
      </c>
      <c r="AJ55" s="64">
        <v>2.0</v>
      </c>
      <c r="AK55" s="64" t="s">
        <v>86</v>
      </c>
      <c r="AO55" s="64" t="s">
        <v>522</v>
      </c>
      <c r="AP55" s="64">
        <v>2.0</v>
      </c>
      <c r="AQ55" s="64" t="s">
        <v>86</v>
      </c>
      <c r="AU55" s="64" t="s">
        <v>524</v>
      </c>
      <c r="AV55" s="64">
        <v>2.0</v>
      </c>
      <c r="AW55" s="65" t="str">
        <f t="shared" si="4"/>
        <v>Yes</v>
      </c>
      <c r="AX55" s="64" t="s">
        <v>104</v>
      </c>
    </row>
    <row r="56" ht="15.75" customHeight="1">
      <c r="A56" s="31">
        <v>55.0</v>
      </c>
      <c r="B56" s="64">
        <v>40.0</v>
      </c>
      <c r="C56" s="64" t="s">
        <v>361</v>
      </c>
      <c r="D56" s="64" t="s">
        <v>396</v>
      </c>
      <c r="E56" s="64" t="s">
        <v>397</v>
      </c>
      <c r="G56" s="64" t="s">
        <v>86</v>
      </c>
      <c r="K56" s="64" t="s">
        <v>525</v>
      </c>
      <c r="L56" s="64">
        <v>2.0</v>
      </c>
      <c r="M56" s="64" t="s">
        <v>86</v>
      </c>
      <c r="Q56" s="64" t="s">
        <v>526</v>
      </c>
      <c r="R56" s="64">
        <v>2.0</v>
      </c>
      <c r="S56" s="64" t="s">
        <v>83</v>
      </c>
      <c r="T56" s="64">
        <v>130.56</v>
      </c>
      <c r="U56" s="64" t="s">
        <v>84</v>
      </c>
      <c r="V56" s="64" t="s">
        <v>527</v>
      </c>
      <c r="W56" s="64" t="s">
        <v>529</v>
      </c>
      <c r="X56" s="64">
        <v>3.0</v>
      </c>
      <c r="Y56" s="64" t="s">
        <v>86</v>
      </c>
      <c r="AC56" s="64" t="s">
        <v>530</v>
      </c>
      <c r="AD56" s="64">
        <v>2.0</v>
      </c>
      <c r="AE56" s="64" t="s">
        <v>86</v>
      </c>
      <c r="AI56" s="64" t="s">
        <v>531</v>
      </c>
      <c r="AJ56" s="64">
        <v>2.0</v>
      </c>
      <c r="AK56" s="64" t="s">
        <v>86</v>
      </c>
      <c r="AO56" s="64" t="s">
        <v>532</v>
      </c>
      <c r="AP56" s="64">
        <v>2.0</v>
      </c>
      <c r="AQ56" s="64" t="s">
        <v>86</v>
      </c>
      <c r="AU56" s="64" t="s">
        <v>533</v>
      </c>
      <c r="AV56" s="64">
        <v>2.0</v>
      </c>
      <c r="AW56" s="65" t="str">
        <f t="shared" si="4"/>
        <v>Yes</v>
      </c>
      <c r="AX56" s="64" t="s">
        <v>104</v>
      </c>
    </row>
    <row r="57" ht="15.75" customHeight="1">
      <c r="A57" s="31">
        <v>56.0</v>
      </c>
      <c r="B57" s="64">
        <v>40.0</v>
      </c>
      <c r="C57" s="64" t="s">
        <v>361</v>
      </c>
      <c r="D57" s="64" t="s">
        <v>403</v>
      </c>
      <c r="E57" s="64" t="s">
        <v>404</v>
      </c>
      <c r="G57" s="64" t="s">
        <v>86</v>
      </c>
      <c r="K57" s="64" t="s">
        <v>536</v>
      </c>
      <c r="L57" s="64">
        <v>2.0</v>
      </c>
      <c r="M57" s="64" t="s">
        <v>86</v>
      </c>
      <c r="Q57" s="64" t="s">
        <v>537</v>
      </c>
      <c r="R57" s="64">
        <v>2.0</v>
      </c>
      <c r="S57" s="64" t="s">
        <v>83</v>
      </c>
      <c r="T57" s="64">
        <v>61.2</v>
      </c>
      <c r="U57" s="64" t="s">
        <v>84</v>
      </c>
      <c r="V57" s="64" t="s">
        <v>538</v>
      </c>
      <c r="W57" s="64" t="s">
        <v>539</v>
      </c>
      <c r="X57" s="64">
        <v>4.0</v>
      </c>
      <c r="Y57" s="64" t="s">
        <v>86</v>
      </c>
      <c r="AC57" s="64" t="s">
        <v>540</v>
      </c>
      <c r="AD57" s="64">
        <v>2.0</v>
      </c>
      <c r="AE57" s="64" t="s">
        <v>86</v>
      </c>
      <c r="AI57" s="64" t="s">
        <v>541</v>
      </c>
      <c r="AJ57" s="64">
        <v>2.0</v>
      </c>
      <c r="AK57" s="64" t="s">
        <v>86</v>
      </c>
      <c r="AO57" s="64" t="s">
        <v>542</v>
      </c>
      <c r="AP57" s="64">
        <v>2.0</v>
      </c>
      <c r="AQ57" s="64" t="s">
        <v>86</v>
      </c>
      <c r="AU57" s="64" t="s">
        <v>543</v>
      </c>
      <c r="AV57" s="64">
        <v>2.0</v>
      </c>
      <c r="AW57" s="65" t="str">
        <f t="shared" si="4"/>
        <v>Yes</v>
      </c>
      <c r="AX57" s="64" t="s">
        <v>104</v>
      </c>
    </row>
    <row r="58" ht="15.75" customHeight="1">
      <c r="A58" s="31">
        <v>57.0</v>
      </c>
      <c r="B58" s="64">
        <v>40.0</v>
      </c>
      <c r="C58" s="64" t="s">
        <v>361</v>
      </c>
      <c r="D58" s="64" t="s">
        <v>413</v>
      </c>
      <c r="E58" s="64" t="s">
        <v>414</v>
      </c>
      <c r="G58" s="64" t="s">
        <v>86</v>
      </c>
      <c r="K58" s="64" t="s">
        <v>544</v>
      </c>
      <c r="L58" s="64">
        <v>2.0</v>
      </c>
      <c r="M58" s="64" t="s">
        <v>86</v>
      </c>
      <c r="Q58" s="64" t="s">
        <v>546</v>
      </c>
      <c r="R58" s="64">
        <v>2.0</v>
      </c>
      <c r="S58" s="64" t="s">
        <v>83</v>
      </c>
      <c r="T58" s="64">
        <v>78.88</v>
      </c>
      <c r="U58" s="64" t="s">
        <v>84</v>
      </c>
      <c r="V58" s="64" t="s">
        <v>548</v>
      </c>
      <c r="W58" s="64" t="s">
        <v>549</v>
      </c>
      <c r="X58" s="64">
        <v>4.0</v>
      </c>
      <c r="Y58" s="64" t="s">
        <v>86</v>
      </c>
      <c r="AC58" s="64" t="s">
        <v>550</v>
      </c>
      <c r="AD58" s="64">
        <v>2.0</v>
      </c>
      <c r="AE58" s="64" t="s">
        <v>86</v>
      </c>
      <c r="AI58" s="64" t="s">
        <v>551</v>
      </c>
      <c r="AJ58" s="64">
        <v>2.0</v>
      </c>
      <c r="AK58" s="64" t="s">
        <v>86</v>
      </c>
      <c r="AO58" s="64" t="s">
        <v>552</v>
      </c>
      <c r="AP58" s="64">
        <v>2.0</v>
      </c>
      <c r="AQ58" s="64" t="s">
        <v>86</v>
      </c>
      <c r="AU58" s="64" t="s">
        <v>553</v>
      </c>
      <c r="AV58" s="64">
        <v>2.0</v>
      </c>
      <c r="AW58" s="65" t="str">
        <f t="shared" si="4"/>
        <v>Yes</v>
      </c>
      <c r="AX58" s="64" t="s">
        <v>104</v>
      </c>
    </row>
    <row r="59" ht="15.75" customHeight="1">
      <c r="A59" s="3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qref="G2:G52 M2:M52 S2:S52">
      <formula1>"Found,Carried but zero stock,Couldn't find by search,Not carried,Not checked"</formula1>
    </dataValidation>
    <dataValidation type="list" allowBlank="1" sqref="BD2:BD52">
      <formula1>"Daily,Weekly,Monthly"</formula1>
    </dataValidation>
    <dataValidation type="list" allowBlank="1" sqref="BA2:BB52">
      <formula1>"Yes,No"</formula1>
    </dataValidation>
  </dataValidations>
  <hyperlinks>
    <hyperlink r:id="rId1" ref="K2"/>
    <hyperlink r:id="rId2" ref="K3"/>
    <hyperlink r:id="rId3" ref="Q3"/>
    <hyperlink r:id="rId4" ref="K5"/>
    <hyperlink r:id="rId5" ref="K6"/>
    <hyperlink r:id="rId6" ref="Q6"/>
    <hyperlink r:id="rId7" ref="Q7"/>
    <hyperlink r:id="rId8" ref="K11"/>
    <hyperlink r:id="rId9" ref="Q11"/>
    <hyperlink r:id="rId10" ref="K12"/>
    <hyperlink r:id="rId11" ref="Q12"/>
    <hyperlink r:id="rId12" ref="K14"/>
    <hyperlink r:id="rId13" ref="Q14"/>
    <hyperlink r:id="rId14" ref="K15"/>
    <hyperlink r:id="rId15" ref="Q15"/>
    <hyperlink r:id="rId16" ref="K16"/>
    <hyperlink r:id="rId17" ref="K17"/>
    <hyperlink r:id="rId18" ref="K18"/>
    <hyperlink r:id="rId19" ref="Q18"/>
    <hyperlink r:id="rId20" ref="K19"/>
    <hyperlink r:id="rId21" ref="Q19"/>
    <hyperlink r:id="rId22" ref="Q23"/>
    <hyperlink r:id="rId23" ref="Q25"/>
  </hyperlinks>
  <printOptions/>
  <pageMargins bottom="1.0" footer="0.0" header="0.0" left="0.75" right="0.75" top="1.0"/>
  <pageSetup orientation="landscape"/>
  <drawing r:id="rId2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9.0"/>
    <col customWidth="1" min="3" max="3" width="24.0"/>
    <col customWidth="1" min="4" max="4" width="40.0"/>
    <col customWidth="1" min="5" max="6" width="34.0"/>
    <col customWidth="1" min="7" max="7" width="7.0"/>
    <col customWidth="1" min="8" max="8" width="16.0"/>
    <col customWidth="1" min="9" max="9" width="10.0"/>
    <col customWidth="1" min="10" max="10" width="8.0"/>
    <col customWidth="1" min="11" max="11" width="34.0"/>
    <col customWidth="1" min="12" max="12" width="30.0"/>
    <col customWidth="1" min="13" max="13" width="8.0"/>
    <col customWidth="1" min="14" max="14" width="16.0"/>
    <col customWidth="1" min="15" max="15" width="10.0"/>
    <col customWidth="1" min="16" max="16" width="8.0"/>
    <col customWidth="1" min="17" max="17" width="34.0"/>
    <col customWidth="1" min="18" max="18" width="30.0"/>
    <col customWidth="1" min="19" max="19" width="8.0"/>
    <col customWidth="1" min="20" max="20" width="16.0"/>
    <col customWidth="1" min="21" max="21" width="10.0"/>
    <col customWidth="1" min="22" max="22" width="8.0"/>
    <col customWidth="1" min="23" max="23" width="34.0"/>
    <col customWidth="1" min="24" max="24" width="30.0"/>
    <col customWidth="1" min="25" max="49" width="25.71"/>
    <col customWidth="1" min="50" max="51" width="33.14"/>
    <col customWidth="1" min="52" max="52" width="31.29"/>
    <col customWidth="1" min="53" max="53" width="26.0"/>
    <col customWidth="1" min="54" max="54" width="16.0"/>
    <col customWidth="1" min="55" max="55" width="14.0"/>
    <col customWidth="1" min="56" max="56" width="26.0"/>
    <col customWidth="1" min="57" max="57" width="20.0"/>
    <col customWidth="1" min="58" max="58" width="40.0"/>
  </cols>
  <sheetData>
    <row r="1" ht="75.0" customHeight="1">
      <c r="A1" s="11" t="s">
        <v>16</v>
      </c>
      <c r="B1" s="11" t="s">
        <v>17</v>
      </c>
      <c r="C1" s="11" t="s">
        <v>18</v>
      </c>
      <c r="D1" s="11" t="s">
        <v>19</v>
      </c>
      <c r="E1" s="30" t="s">
        <v>561</v>
      </c>
      <c r="F1" s="11" t="s">
        <v>20</v>
      </c>
      <c r="G1" s="11" t="s">
        <v>21</v>
      </c>
      <c r="H1" s="13" t="s">
        <v>22</v>
      </c>
      <c r="I1" s="13" t="s">
        <v>23</v>
      </c>
      <c r="J1" s="13" t="s">
        <v>24</v>
      </c>
      <c r="K1" s="13" t="s">
        <v>25</v>
      </c>
      <c r="L1" s="13" t="s">
        <v>26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31</v>
      </c>
      <c r="R1" s="13" t="s">
        <v>32</v>
      </c>
      <c r="S1" s="13" t="s">
        <v>33</v>
      </c>
      <c r="T1" s="13" t="s">
        <v>34</v>
      </c>
      <c r="U1" s="13" t="s">
        <v>35</v>
      </c>
      <c r="V1" s="13" t="s">
        <v>36</v>
      </c>
      <c r="W1" s="13" t="s">
        <v>37</v>
      </c>
      <c r="X1" s="13" t="s">
        <v>38</v>
      </c>
      <c r="Y1" s="13" t="s">
        <v>39</v>
      </c>
      <c r="Z1" s="18" t="s">
        <v>40</v>
      </c>
      <c r="AA1" s="18" t="s">
        <v>41</v>
      </c>
      <c r="AB1" s="18" t="s">
        <v>42</v>
      </c>
      <c r="AC1" s="18" t="s">
        <v>43</v>
      </c>
      <c r="AD1" s="18" t="s">
        <v>44</v>
      </c>
      <c r="AE1" s="18" t="s">
        <v>45</v>
      </c>
      <c r="AF1" s="18" t="s">
        <v>46</v>
      </c>
      <c r="AG1" s="18" t="s">
        <v>47</v>
      </c>
      <c r="AH1" s="18" t="s">
        <v>48</v>
      </c>
      <c r="AI1" s="18" t="s">
        <v>49</v>
      </c>
      <c r="AJ1" s="18" t="s">
        <v>50</v>
      </c>
      <c r="AK1" s="18" t="s">
        <v>51</v>
      </c>
      <c r="AL1" s="18" t="s">
        <v>52</v>
      </c>
      <c r="AM1" s="18" t="s">
        <v>53</v>
      </c>
      <c r="AN1" s="18" t="s">
        <v>54</v>
      </c>
      <c r="AO1" s="18" t="s">
        <v>55</v>
      </c>
      <c r="AP1" s="18" t="s">
        <v>56</v>
      </c>
      <c r="AQ1" s="18" t="s">
        <v>57</v>
      </c>
      <c r="AR1" s="13" t="s">
        <v>61</v>
      </c>
      <c r="AS1" s="13" t="s">
        <v>63</v>
      </c>
      <c r="AT1" s="13" t="s">
        <v>65</v>
      </c>
      <c r="AU1" s="13" t="s">
        <v>66</v>
      </c>
      <c r="AV1" s="13" t="s">
        <v>67</v>
      </c>
      <c r="AW1" s="13" t="s">
        <v>69</v>
      </c>
      <c r="AX1" s="23" t="s">
        <v>70</v>
      </c>
      <c r="AY1" s="23" t="s">
        <v>71</v>
      </c>
      <c r="AZ1" s="13" t="s">
        <v>72</v>
      </c>
      <c r="BA1" s="18" t="s">
        <v>73</v>
      </c>
      <c r="BB1" s="18" t="s">
        <v>74</v>
      </c>
      <c r="BC1" s="18" t="s">
        <v>75</v>
      </c>
      <c r="BD1" s="18" t="s">
        <v>76</v>
      </c>
      <c r="BE1" s="18" t="s">
        <v>77</v>
      </c>
      <c r="BF1" s="18" t="s">
        <v>78</v>
      </c>
    </row>
    <row r="2">
      <c r="A2" s="31">
        <v>1.0</v>
      </c>
      <c r="B2" s="31">
        <v>1.0</v>
      </c>
      <c r="C2" s="31" t="s">
        <v>80</v>
      </c>
      <c r="D2" s="31" t="s">
        <v>81</v>
      </c>
      <c r="E2" s="33" t="s">
        <v>566</v>
      </c>
      <c r="F2" s="31" t="s">
        <v>82</v>
      </c>
      <c r="G2" s="31">
        <v>1.0</v>
      </c>
      <c r="H2" s="33" t="s">
        <v>83</v>
      </c>
      <c r="I2" s="33">
        <v>6249.4</v>
      </c>
      <c r="J2" s="33" t="s">
        <v>84</v>
      </c>
      <c r="K2" s="33" t="s">
        <v>567</v>
      </c>
      <c r="L2" s="40" t="s">
        <v>568</v>
      </c>
      <c r="M2" s="33">
        <v>0.0</v>
      </c>
      <c r="N2" s="33" t="s">
        <v>83</v>
      </c>
      <c r="O2" s="31"/>
      <c r="P2" s="31"/>
      <c r="Q2" s="33" t="s">
        <v>569</v>
      </c>
      <c r="R2" s="33" t="s">
        <v>570</v>
      </c>
      <c r="S2" s="33">
        <v>0.0</v>
      </c>
      <c r="T2" s="40" t="s">
        <v>83</v>
      </c>
      <c r="U2" s="33">
        <v>6010.0</v>
      </c>
      <c r="V2" s="33" t="s">
        <v>84</v>
      </c>
      <c r="W2" s="33" t="s">
        <v>573</v>
      </c>
      <c r="X2" s="40" t="s">
        <v>574</v>
      </c>
      <c r="Y2" s="33">
        <v>2.0</v>
      </c>
      <c r="Z2" s="33" t="s">
        <v>86</v>
      </c>
      <c r="AA2" s="33"/>
      <c r="AB2" s="33"/>
      <c r="AC2" s="33"/>
      <c r="AD2" s="33" t="s">
        <v>575</v>
      </c>
      <c r="AE2" s="33">
        <v>3.0</v>
      </c>
      <c r="AF2" s="33" t="s">
        <v>86</v>
      </c>
      <c r="AG2" s="33"/>
      <c r="AH2" s="33"/>
      <c r="AI2" s="33"/>
      <c r="AJ2" s="33" t="s">
        <v>576</v>
      </c>
      <c r="AK2" s="33">
        <v>2.0</v>
      </c>
      <c r="AL2" s="33" t="s">
        <v>86</v>
      </c>
      <c r="AM2" s="33"/>
      <c r="AN2" s="33"/>
      <c r="AO2" s="33"/>
      <c r="AP2" s="33" t="s">
        <v>577</v>
      </c>
      <c r="AQ2" s="33">
        <v>0.0</v>
      </c>
      <c r="AR2" s="33" t="s">
        <v>86</v>
      </c>
      <c r="AS2" s="33"/>
      <c r="AT2" s="33"/>
      <c r="AU2" s="33"/>
      <c r="AV2" s="33" t="s">
        <v>578</v>
      </c>
      <c r="AW2" s="33">
        <v>2.0</v>
      </c>
      <c r="AX2" s="33" t="s">
        <v>160</v>
      </c>
      <c r="AY2" s="33" t="s">
        <v>104</v>
      </c>
      <c r="AZ2" s="31"/>
      <c r="BA2" s="31"/>
      <c r="BB2" s="31"/>
      <c r="BC2" s="31"/>
      <c r="BD2" s="18"/>
      <c r="BE2" s="31"/>
      <c r="BF2" s="31"/>
    </row>
    <row r="3">
      <c r="A3" s="31">
        <v>2.0</v>
      </c>
      <c r="B3" s="31"/>
      <c r="C3" s="31" t="s">
        <v>80</v>
      </c>
      <c r="D3" s="31" t="s">
        <v>89</v>
      </c>
      <c r="E3" s="33" t="s">
        <v>580</v>
      </c>
      <c r="F3" s="31" t="s">
        <v>90</v>
      </c>
      <c r="G3" s="31">
        <v>1.0</v>
      </c>
      <c r="H3" s="33" t="s">
        <v>83</v>
      </c>
      <c r="I3" s="33">
        <v>52.79</v>
      </c>
      <c r="J3" s="33" t="s">
        <v>84</v>
      </c>
      <c r="K3" s="33" t="s">
        <v>581</v>
      </c>
      <c r="L3" s="40" t="s">
        <v>582</v>
      </c>
      <c r="M3" s="33">
        <v>2.0</v>
      </c>
      <c r="N3" s="33" t="s">
        <v>83</v>
      </c>
      <c r="O3" s="33"/>
      <c r="P3" s="33"/>
      <c r="Q3" s="33" t="s">
        <v>592</v>
      </c>
      <c r="R3" s="40" t="s">
        <v>593</v>
      </c>
      <c r="S3" s="33">
        <v>2.0</v>
      </c>
      <c r="T3" s="33" t="s">
        <v>83</v>
      </c>
      <c r="U3" s="33">
        <v>42.0</v>
      </c>
      <c r="V3" s="33" t="s">
        <v>84</v>
      </c>
      <c r="W3" s="33" t="s">
        <v>594</v>
      </c>
      <c r="X3" s="40" t="s">
        <v>595</v>
      </c>
      <c r="Y3" s="33">
        <v>2.0</v>
      </c>
      <c r="Z3" s="33" t="s">
        <v>233</v>
      </c>
      <c r="AA3" s="33">
        <v>62.025</v>
      </c>
      <c r="AB3" s="33" t="s">
        <v>84</v>
      </c>
      <c r="AC3" s="33" t="s">
        <v>596</v>
      </c>
      <c r="AD3" s="33" t="s">
        <v>597</v>
      </c>
      <c r="AE3" s="33">
        <v>2.0</v>
      </c>
      <c r="AF3" s="33" t="s">
        <v>83</v>
      </c>
      <c r="AG3" s="33">
        <v>73.3</v>
      </c>
      <c r="AH3" s="33" t="s">
        <v>84</v>
      </c>
      <c r="AI3" s="33" t="s">
        <v>598</v>
      </c>
      <c r="AJ3" s="33" t="s">
        <v>599</v>
      </c>
      <c r="AK3" s="33">
        <v>2.0</v>
      </c>
      <c r="AL3" s="33" t="s">
        <v>86</v>
      </c>
      <c r="AM3" s="33"/>
      <c r="AN3" s="33"/>
      <c r="AO3" s="33"/>
      <c r="AP3" s="33" t="s">
        <v>600</v>
      </c>
      <c r="AQ3" s="33">
        <v>2.0</v>
      </c>
      <c r="AR3" s="33" t="s">
        <v>83</v>
      </c>
      <c r="AS3" s="33">
        <v>83.9</v>
      </c>
      <c r="AT3" s="33" t="s">
        <v>84</v>
      </c>
      <c r="AU3" s="33" t="s">
        <v>602</v>
      </c>
      <c r="AV3" s="33" t="s">
        <v>603</v>
      </c>
      <c r="AW3" s="33">
        <v>2.0</v>
      </c>
      <c r="AX3" s="33" t="s">
        <v>160</v>
      </c>
      <c r="AY3" s="33" t="s">
        <v>104</v>
      </c>
      <c r="AZ3" s="33"/>
      <c r="BA3" s="31"/>
      <c r="BB3" s="31"/>
      <c r="BC3" s="31"/>
      <c r="BD3" s="18"/>
      <c r="BE3" s="31"/>
      <c r="BF3" s="31"/>
    </row>
    <row r="4">
      <c r="A4" s="31">
        <v>3.0</v>
      </c>
      <c r="B4" s="31"/>
      <c r="C4" s="31" t="s">
        <v>80</v>
      </c>
      <c r="D4" s="31" t="s">
        <v>97</v>
      </c>
      <c r="E4" s="33" t="s">
        <v>604</v>
      </c>
      <c r="F4" s="33" t="s">
        <v>99</v>
      </c>
      <c r="G4" s="31">
        <v>1.0</v>
      </c>
      <c r="H4" s="33" t="s">
        <v>86</v>
      </c>
      <c r="I4" s="31"/>
      <c r="J4" s="31"/>
      <c r="K4" s="31"/>
      <c r="L4" s="33" t="s">
        <v>605</v>
      </c>
      <c r="M4" s="33">
        <v>1.0</v>
      </c>
      <c r="N4" s="33" t="s">
        <v>86</v>
      </c>
      <c r="O4" s="31"/>
      <c r="P4" s="31"/>
      <c r="Q4" s="31"/>
      <c r="R4" s="33" t="s">
        <v>606</v>
      </c>
      <c r="S4" s="33">
        <v>0.0</v>
      </c>
      <c r="T4" s="33" t="s">
        <v>83</v>
      </c>
      <c r="U4" s="33">
        <v>17.0</v>
      </c>
      <c r="V4" s="33" t="s">
        <v>84</v>
      </c>
      <c r="W4" s="33" t="s">
        <v>607</v>
      </c>
      <c r="X4" s="40" t="s">
        <v>574</v>
      </c>
      <c r="Y4" s="33">
        <v>2.0</v>
      </c>
      <c r="Z4" s="33" t="s">
        <v>86</v>
      </c>
      <c r="AA4" s="33"/>
      <c r="AB4" s="33"/>
      <c r="AC4" s="33"/>
      <c r="AD4" s="33" t="s">
        <v>609</v>
      </c>
      <c r="AE4" s="33">
        <v>0.0</v>
      </c>
      <c r="AF4" s="33" t="s">
        <v>86</v>
      </c>
      <c r="AG4" s="33"/>
      <c r="AH4" s="33"/>
      <c r="AI4" s="33"/>
      <c r="AJ4" s="33" t="s">
        <v>606</v>
      </c>
      <c r="AK4" s="33">
        <v>0.0</v>
      </c>
      <c r="AL4" s="33" t="s">
        <v>86</v>
      </c>
      <c r="AM4" s="33"/>
      <c r="AN4" s="33"/>
      <c r="AO4" s="33"/>
      <c r="AP4" s="33" t="s">
        <v>610</v>
      </c>
      <c r="AQ4" s="33">
        <v>0.0</v>
      </c>
      <c r="AR4" s="33" t="s">
        <v>86</v>
      </c>
      <c r="AS4" s="33"/>
      <c r="AT4" s="33"/>
      <c r="AU4" s="33"/>
      <c r="AV4" s="33" t="s">
        <v>610</v>
      </c>
      <c r="AW4" s="33">
        <v>0.0</v>
      </c>
      <c r="AX4" s="33" t="s">
        <v>160</v>
      </c>
      <c r="AY4" s="33" t="s">
        <v>104</v>
      </c>
      <c r="AZ4" s="33"/>
      <c r="BA4" s="31"/>
      <c r="BB4" s="31"/>
      <c r="BC4" s="31"/>
      <c r="BD4" s="18"/>
      <c r="BE4" s="31"/>
      <c r="BF4" s="31"/>
    </row>
    <row r="5">
      <c r="A5" s="31">
        <v>4.0</v>
      </c>
      <c r="B5" s="31"/>
      <c r="C5" s="31" t="s">
        <v>80</v>
      </c>
      <c r="D5" s="31" t="s">
        <v>97</v>
      </c>
      <c r="E5" s="33" t="s">
        <v>611</v>
      </c>
      <c r="F5" s="33" t="s">
        <v>101</v>
      </c>
      <c r="G5" s="33">
        <v>1.0</v>
      </c>
      <c r="H5" s="33" t="s">
        <v>83</v>
      </c>
      <c r="I5" s="33">
        <v>31.25</v>
      </c>
      <c r="J5" s="33" t="s">
        <v>84</v>
      </c>
      <c r="K5" s="33" t="s">
        <v>616</v>
      </c>
      <c r="L5" s="40" t="s">
        <v>617</v>
      </c>
      <c r="M5" s="33">
        <v>2.0</v>
      </c>
      <c r="N5" s="33" t="s">
        <v>83</v>
      </c>
      <c r="O5" s="31"/>
      <c r="P5" s="31"/>
      <c r="Q5" s="33" t="s">
        <v>619</v>
      </c>
      <c r="R5" s="33" t="s">
        <v>620</v>
      </c>
      <c r="S5" s="33">
        <v>2.0</v>
      </c>
      <c r="T5" s="33" t="s">
        <v>83</v>
      </c>
      <c r="U5" s="33">
        <v>47.02</v>
      </c>
      <c r="V5" s="33" t="s">
        <v>84</v>
      </c>
      <c r="W5" s="33" t="s">
        <v>621</v>
      </c>
      <c r="X5" s="40" t="s">
        <v>574</v>
      </c>
      <c r="Y5" s="33">
        <v>2.0</v>
      </c>
      <c r="Z5" s="33" t="s">
        <v>233</v>
      </c>
      <c r="AA5" s="33">
        <v>28.538</v>
      </c>
      <c r="AB5" s="33" t="s">
        <v>84</v>
      </c>
      <c r="AC5" s="33" t="s">
        <v>622</v>
      </c>
      <c r="AD5" s="33" t="s">
        <v>623</v>
      </c>
      <c r="AE5" s="33">
        <v>2.0</v>
      </c>
      <c r="AF5" s="33" t="s">
        <v>83</v>
      </c>
      <c r="AG5" s="33">
        <v>53.14</v>
      </c>
      <c r="AH5" s="33" t="s">
        <v>84</v>
      </c>
      <c r="AI5" s="33" t="s">
        <v>625</v>
      </c>
      <c r="AJ5" s="33" t="s">
        <v>626</v>
      </c>
      <c r="AK5" s="33">
        <v>2.0</v>
      </c>
      <c r="AL5" s="33" t="s">
        <v>86</v>
      </c>
      <c r="AM5" s="33"/>
      <c r="AN5" s="33"/>
      <c r="AO5" s="33"/>
      <c r="AP5" s="33" t="s">
        <v>627</v>
      </c>
      <c r="AQ5" s="33">
        <v>1.0</v>
      </c>
      <c r="AR5" s="33" t="s">
        <v>83</v>
      </c>
      <c r="AS5" s="33">
        <v>190.03</v>
      </c>
      <c r="AT5" s="33" t="s">
        <v>84</v>
      </c>
      <c r="AU5" s="33" t="s">
        <v>628</v>
      </c>
      <c r="AV5" s="33" t="s">
        <v>629</v>
      </c>
      <c r="AW5" s="33">
        <v>2.0</v>
      </c>
      <c r="AX5" s="33" t="s">
        <v>160</v>
      </c>
      <c r="AY5" s="33" t="s">
        <v>104</v>
      </c>
      <c r="AZ5" s="33"/>
      <c r="BA5" s="31"/>
      <c r="BB5" s="31"/>
      <c r="BC5" s="31"/>
      <c r="BD5" s="18"/>
      <c r="BE5" s="31"/>
      <c r="BF5" s="31"/>
    </row>
    <row r="6">
      <c r="A6" s="31">
        <v>5.0</v>
      </c>
      <c r="B6" s="31"/>
      <c r="C6" s="31" t="s">
        <v>80</v>
      </c>
      <c r="D6" s="31" t="s">
        <v>97</v>
      </c>
      <c r="E6" s="33" t="s">
        <v>631</v>
      </c>
      <c r="F6" s="33" t="s">
        <v>103</v>
      </c>
      <c r="G6" s="33">
        <v>1.0</v>
      </c>
      <c r="H6" s="33" t="s">
        <v>83</v>
      </c>
      <c r="I6" s="33">
        <v>51.79</v>
      </c>
      <c r="J6" s="33" t="s">
        <v>84</v>
      </c>
      <c r="K6" s="33" t="s">
        <v>632</v>
      </c>
      <c r="L6" s="40" t="s">
        <v>633</v>
      </c>
      <c r="M6" s="33">
        <v>0.0</v>
      </c>
      <c r="N6" s="33" t="s">
        <v>83</v>
      </c>
      <c r="O6" s="33"/>
      <c r="P6" s="33"/>
      <c r="Q6" s="33" t="s">
        <v>634</v>
      </c>
      <c r="R6" s="40" t="s">
        <v>635</v>
      </c>
      <c r="S6" s="33">
        <v>0.0</v>
      </c>
      <c r="T6" s="33" t="s">
        <v>83</v>
      </c>
      <c r="U6" s="33">
        <v>81.0</v>
      </c>
      <c r="V6" s="33" t="s">
        <v>84</v>
      </c>
      <c r="W6" s="33" t="s">
        <v>569</v>
      </c>
      <c r="X6" s="40" t="s">
        <v>636</v>
      </c>
      <c r="Y6" s="33">
        <v>0.0</v>
      </c>
      <c r="Z6" s="33" t="s">
        <v>86</v>
      </c>
      <c r="AA6" s="33"/>
      <c r="AB6" s="33"/>
      <c r="AC6" s="33"/>
      <c r="AD6" s="33" t="s">
        <v>637</v>
      </c>
      <c r="AE6" s="33">
        <v>2.0</v>
      </c>
      <c r="AF6" s="33" t="s">
        <v>86</v>
      </c>
      <c r="AG6" s="33"/>
      <c r="AH6" s="33"/>
      <c r="AI6" s="33"/>
      <c r="AJ6" s="33" t="s">
        <v>639</v>
      </c>
      <c r="AK6" s="33">
        <v>2.0</v>
      </c>
      <c r="AL6" s="33" t="s">
        <v>86</v>
      </c>
      <c r="AM6" s="33"/>
      <c r="AN6" s="33"/>
      <c r="AO6" s="33"/>
      <c r="AP6" s="33" t="s">
        <v>640</v>
      </c>
      <c r="AQ6" s="33">
        <v>1.0</v>
      </c>
      <c r="AR6" s="33" t="s">
        <v>83</v>
      </c>
      <c r="AS6" s="33">
        <v>74.56</v>
      </c>
      <c r="AT6" s="33" t="s">
        <v>84</v>
      </c>
      <c r="AU6" s="33" t="s">
        <v>641</v>
      </c>
      <c r="AV6" s="33" t="s">
        <v>642</v>
      </c>
      <c r="AW6" s="33">
        <v>0.0</v>
      </c>
      <c r="AX6" s="33" t="s">
        <v>160</v>
      </c>
      <c r="AY6" s="33" t="s">
        <v>104</v>
      </c>
      <c r="AZ6" s="31"/>
      <c r="BA6" s="31"/>
      <c r="BB6" s="31"/>
      <c r="BC6" s="31"/>
      <c r="BD6" s="18"/>
      <c r="BE6" s="31"/>
      <c r="BF6" s="31"/>
    </row>
    <row r="7">
      <c r="A7" s="31">
        <v>6.0</v>
      </c>
      <c r="B7" s="31"/>
      <c r="C7" s="31" t="s">
        <v>80</v>
      </c>
      <c r="D7" s="31" t="s">
        <v>105</v>
      </c>
      <c r="E7" s="33" t="s">
        <v>643</v>
      </c>
      <c r="F7" s="31"/>
      <c r="G7" s="31">
        <v>1.0</v>
      </c>
      <c r="H7" s="33" t="s">
        <v>86</v>
      </c>
      <c r="I7" s="53"/>
      <c r="J7" s="33"/>
      <c r="K7" s="33"/>
      <c r="L7" s="33" t="s">
        <v>646</v>
      </c>
      <c r="M7" s="33" t="s">
        <v>635</v>
      </c>
      <c r="N7" s="33" t="s">
        <v>83</v>
      </c>
      <c r="O7" s="53"/>
      <c r="P7" s="33"/>
      <c r="Q7" s="33" t="s">
        <v>647</v>
      </c>
      <c r="R7" s="40" t="s">
        <v>635</v>
      </c>
      <c r="S7" s="33">
        <v>0.0</v>
      </c>
      <c r="T7" s="33" t="s">
        <v>83</v>
      </c>
      <c r="U7" s="53">
        <v>80.78</v>
      </c>
      <c r="V7" s="33" t="s">
        <v>84</v>
      </c>
      <c r="W7" s="33" t="s">
        <v>648</v>
      </c>
      <c r="X7" s="40" t="s">
        <v>636</v>
      </c>
      <c r="Y7" s="33">
        <v>0.0</v>
      </c>
      <c r="Z7" s="33" t="s">
        <v>83</v>
      </c>
      <c r="AA7" s="33">
        <v>9.608</v>
      </c>
      <c r="AB7" s="33" t="s">
        <v>84</v>
      </c>
      <c r="AC7" s="33" t="s">
        <v>649</v>
      </c>
      <c r="AD7" s="33" t="s">
        <v>650</v>
      </c>
      <c r="AE7" s="33">
        <v>0.0</v>
      </c>
      <c r="AF7" s="33" t="s">
        <v>83</v>
      </c>
      <c r="AG7" s="33"/>
      <c r="AH7" s="33"/>
      <c r="AI7" s="33" t="s">
        <v>651</v>
      </c>
      <c r="AJ7" s="33" t="s">
        <v>652</v>
      </c>
      <c r="AK7" s="33">
        <v>1.0</v>
      </c>
      <c r="AL7" s="33" t="s">
        <v>83</v>
      </c>
      <c r="AM7" s="33">
        <v>7.49</v>
      </c>
      <c r="AN7" s="33" t="s">
        <v>84</v>
      </c>
      <c r="AO7" s="33" t="s">
        <v>653</v>
      </c>
      <c r="AP7" s="33" t="s">
        <v>654</v>
      </c>
      <c r="AQ7" s="33">
        <v>0.0</v>
      </c>
      <c r="AR7" s="33" t="s">
        <v>83</v>
      </c>
      <c r="AS7" s="33"/>
      <c r="AT7" s="33"/>
      <c r="AU7" s="33" t="s">
        <v>655</v>
      </c>
      <c r="AV7" s="33" t="s">
        <v>650</v>
      </c>
      <c r="AW7" s="33">
        <v>0.0</v>
      </c>
      <c r="AX7" s="33" t="s">
        <v>160</v>
      </c>
      <c r="AY7" s="33" t="s">
        <v>160</v>
      </c>
      <c r="AZ7" s="33"/>
      <c r="BA7" s="31"/>
      <c r="BB7" s="31"/>
      <c r="BC7" s="31"/>
      <c r="BD7" s="18"/>
      <c r="BE7" s="31"/>
      <c r="BF7" s="31"/>
    </row>
    <row r="8">
      <c r="A8" s="31">
        <v>7.0</v>
      </c>
      <c r="B8" s="31">
        <v>2.0</v>
      </c>
      <c r="C8" s="31" t="s">
        <v>107</v>
      </c>
      <c r="D8" s="31" t="s">
        <v>108</v>
      </c>
      <c r="E8" s="33" t="s">
        <v>657</v>
      </c>
      <c r="F8" s="31" t="s">
        <v>109</v>
      </c>
      <c r="G8" s="31">
        <v>1.0</v>
      </c>
      <c r="H8" s="33" t="s">
        <v>233</v>
      </c>
      <c r="I8" s="33"/>
      <c r="J8" s="33"/>
      <c r="K8" s="33" t="s">
        <v>658</v>
      </c>
      <c r="L8" s="40" t="s">
        <v>659</v>
      </c>
      <c r="M8" s="33">
        <v>2.0</v>
      </c>
      <c r="N8" s="33" t="s">
        <v>83</v>
      </c>
      <c r="O8" s="33">
        <v>85.54</v>
      </c>
      <c r="P8" s="33" t="s">
        <v>84</v>
      </c>
      <c r="Q8" s="33" t="s">
        <v>660</v>
      </c>
      <c r="R8" s="33" t="s">
        <v>661</v>
      </c>
      <c r="S8" s="33">
        <v>2.0</v>
      </c>
      <c r="T8" s="33" t="s">
        <v>83</v>
      </c>
      <c r="U8" s="33">
        <v>106.0</v>
      </c>
      <c r="V8" s="33" t="s">
        <v>84</v>
      </c>
      <c r="W8" s="33" t="s">
        <v>662</v>
      </c>
      <c r="X8" s="40" t="s">
        <v>663</v>
      </c>
      <c r="Y8" s="33">
        <v>2.0</v>
      </c>
      <c r="Z8" s="33" t="s">
        <v>83</v>
      </c>
      <c r="AA8" s="33">
        <v>155.288</v>
      </c>
      <c r="AB8" s="33" t="s">
        <v>84</v>
      </c>
      <c r="AC8" s="33" t="s">
        <v>664</v>
      </c>
      <c r="AD8" s="33" t="s">
        <v>665</v>
      </c>
      <c r="AE8" s="33">
        <v>3.0</v>
      </c>
      <c r="AF8" s="33" t="s">
        <v>83</v>
      </c>
      <c r="AG8" s="33">
        <v>104.99</v>
      </c>
      <c r="AH8" s="33" t="s">
        <v>84</v>
      </c>
      <c r="AI8" s="33" t="s">
        <v>666</v>
      </c>
      <c r="AJ8" s="33" t="s">
        <v>667</v>
      </c>
      <c r="AK8" s="33">
        <v>1.0</v>
      </c>
      <c r="AL8" s="33" t="s">
        <v>83</v>
      </c>
      <c r="AM8" s="33">
        <v>103.8</v>
      </c>
      <c r="AN8" s="33" t="s">
        <v>84</v>
      </c>
      <c r="AO8" s="33" t="s">
        <v>668</v>
      </c>
      <c r="AP8" s="33" t="s">
        <v>669</v>
      </c>
      <c r="AQ8" s="33">
        <v>2.0</v>
      </c>
      <c r="AR8" s="33" t="s">
        <v>86</v>
      </c>
      <c r="AS8" s="33"/>
      <c r="AT8" s="33"/>
      <c r="AU8" s="33"/>
      <c r="AV8" s="33" t="s">
        <v>670</v>
      </c>
      <c r="AW8" s="33">
        <v>2.0</v>
      </c>
      <c r="AX8" s="33" t="s">
        <v>160</v>
      </c>
      <c r="AY8" s="33" t="s">
        <v>160</v>
      </c>
      <c r="AZ8" s="31"/>
      <c r="BA8" s="31"/>
      <c r="BB8" s="31"/>
      <c r="BC8" s="31"/>
      <c r="BD8" s="18"/>
      <c r="BE8" s="31"/>
      <c r="BF8" s="31"/>
    </row>
    <row r="9">
      <c r="A9" s="31">
        <v>8.0</v>
      </c>
      <c r="B9" s="31"/>
      <c r="C9" s="31" t="s">
        <v>107</v>
      </c>
      <c r="D9" s="31" t="s">
        <v>112</v>
      </c>
      <c r="E9" s="33" t="s">
        <v>672</v>
      </c>
      <c r="F9" s="31"/>
      <c r="G9" s="31">
        <v>1.0</v>
      </c>
      <c r="H9" s="33" t="s">
        <v>83</v>
      </c>
      <c r="I9" s="33">
        <v>16.89</v>
      </c>
      <c r="J9" s="33" t="s">
        <v>84</v>
      </c>
      <c r="K9" s="33" t="s">
        <v>673</v>
      </c>
      <c r="L9" s="33" t="s">
        <v>674</v>
      </c>
      <c r="M9" s="33">
        <v>2.0</v>
      </c>
      <c r="N9" s="33" t="s">
        <v>83</v>
      </c>
      <c r="O9" s="33">
        <v>3.55</v>
      </c>
      <c r="P9" s="33" t="s">
        <v>84</v>
      </c>
      <c r="Q9" s="33" t="s">
        <v>675</v>
      </c>
      <c r="R9" s="33" t="s">
        <v>676</v>
      </c>
      <c r="S9" s="33">
        <v>2.0</v>
      </c>
      <c r="T9" s="33" t="s">
        <v>83</v>
      </c>
      <c r="U9" s="33">
        <v>14.0</v>
      </c>
      <c r="V9" s="33" t="s">
        <v>84</v>
      </c>
      <c r="W9" s="33" t="s">
        <v>677</v>
      </c>
      <c r="X9" s="33" t="s">
        <v>678</v>
      </c>
      <c r="Y9" s="33">
        <v>2.0</v>
      </c>
      <c r="Z9" s="33" t="s">
        <v>83</v>
      </c>
      <c r="AA9" s="33">
        <v>2.229</v>
      </c>
      <c r="AB9" s="33" t="s">
        <v>84</v>
      </c>
      <c r="AC9" s="33" t="s">
        <v>679</v>
      </c>
      <c r="AD9" s="33" t="s">
        <v>680</v>
      </c>
      <c r="AE9" s="33">
        <v>2.0</v>
      </c>
      <c r="AF9" s="33" t="s">
        <v>83</v>
      </c>
      <c r="AG9" s="33">
        <v>2.72</v>
      </c>
      <c r="AH9" s="33" t="s">
        <v>84</v>
      </c>
      <c r="AI9" s="33" t="s">
        <v>681</v>
      </c>
      <c r="AJ9" s="33" t="s">
        <v>682</v>
      </c>
      <c r="AK9" s="33">
        <v>2.0</v>
      </c>
      <c r="AL9" s="33" t="s">
        <v>233</v>
      </c>
      <c r="AM9" s="33">
        <v>1.86</v>
      </c>
      <c r="AN9" s="33" t="s">
        <v>84</v>
      </c>
      <c r="AO9" s="33" t="s">
        <v>683</v>
      </c>
      <c r="AP9" s="33" t="s">
        <v>684</v>
      </c>
      <c r="AQ9" s="33">
        <v>3.0</v>
      </c>
      <c r="AR9" s="33" t="s">
        <v>83</v>
      </c>
      <c r="AS9" s="33">
        <v>4.07</v>
      </c>
      <c r="AT9" s="33" t="s">
        <v>84</v>
      </c>
      <c r="AU9" s="33" t="s">
        <v>685</v>
      </c>
      <c r="AV9" s="33" t="s">
        <v>686</v>
      </c>
      <c r="AW9" s="33">
        <v>2.0</v>
      </c>
      <c r="AX9" s="33" t="s">
        <v>160</v>
      </c>
      <c r="AY9" s="33" t="s">
        <v>160</v>
      </c>
      <c r="AZ9" s="31"/>
      <c r="BA9" s="31"/>
      <c r="BB9" s="31"/>
      <c r="BC9" s="31"/>
      <c r="BD9" s="18"/>
      <c r="BE9" s="31"/>
      <c r="BF9" s="31"/>
    </row>
    <row r="10">
      <c r="A10" s="31">
        <v>9.0</v>
      </c>
      <c r="B10" s="31"/>
      <c r="C10" s="31" t="s">
        <v>107</v>
      </c>
      <c r="D10" s="31" t="s">
        <v>113</v>
      </c>
      <c r="E10" s="33" t="s">
        <v>688</v>
      </c>
      <c r="F10" s="31"/>
      <c r="G10" s="31">
        <v>1.0</v>
      </c>
      <c r="H10" s="33" t="s">
        <v>83</v>
      </c>
      <c r="I10" s="33">
        <v>39.39</v>
      </c>
      <c r="J10" s="33" t="s">
        <v>84</v>
      </c>
      <c r="K10" s="33" t="s">
        <v>689</v>
      </c>
      <c r="L10" s="33" t="s">
        <v>690</v>
      </c>
      <c r="M10" s="33">
        <v>2.0</v>
      </c>
      <c r="N10" s="33" t="s">
        <v>83</v>
      </c>
      <c r="O10" s="33">
        <v>38.07</v>
      </c>
      <c r="P10" s="33" t="s">
        <v>84</v>
      </c>
      <c r="Q10" s="33" t="s">
        <v>691</v>
      </c>
      <c r="R10" s="33" t="s">
        <v>692</v>
      </c>
      <c r="S10" s="33">
        <v>2.0</v>
      </c>
      <c r="T10" s="33" t="s">
        <v>83</v>
      </c>
      <c r="U10" s="33">
        <v>123.0</v>
      </c>
      <c r="V10" s="33" t="s">
        <v>84</v>
      </c>
      <c r="W10" s="33" t="s">
        <v>693</v>
      </c>
      <c r="X10" s="33" t="s">
        <v>574</v>
      </c>
      <c r="Y10" s="33">
        <v>2.0</v>
      </c>
      <c r="Z10" s="33" t="s">
        <v>233</v>
      </c>
      <c r="AA10" s="33">
        <v>29.202</v>
      </c>
      <c r="AB10" s="33" t="s">
        <v>84</v>
      </c>
      <c r="AC10" s="33" t="s">
        <v>694</v>
      </c>
      <c r="AD10" s="33" t="s">
        <v>695</v>
      </c>
      <c r="AE10" s="33">
        <v>2.0</v>
      </c>
      <c r="AF10" s="33" t="s">
        <v>83</v>
      </c>
      <c r="AG10" s="33">
        <v>40.63</v>
      </c>
      <c r="AH10" s="33" t="s">
        <v>84</v>
      </c>
      <c r="AI10" s="33" t="s">
        <v>696</v>
      </c>
      <c r="AJ10" s="33" t="s">
        <v>697</v>
      </c>
      <c r="AK10" s="33">
        <v>2.0</v>
      </c>
      <c r="AL10" s="33" t="s">
        <v>233</v>
      </c>
      <c r="AM10" s="33">
        <v>20.96</v>
      </c>
      <c r="AN10" s="33" t="s">
        <v>84</v>
      </c>
      <c r="AO10" s="33" t="s">
        <v>698</v>
      </c>
      <c r="AP10" s="33" t="s">
        <v>699</v>
      </c>
      <c r="AQ10" s="33">
        <v>3.0</v>
      </c>
      <c r="AR10" s="33" t="s">
        <v>86</v>
      </c>
      <c r="AS10" s="33"/>
      <c r="AT10" s="33"/>
      <c r="AU10" s="33"/>
      <c r="AV10" s="33" t="s">
        <v>700</v>
      </c>
      <c r="AW10" s="33">
        <v>2.0</v>
      </c>
      <c r="AX10" s="33" t="s">
        <v>160</v>
      </c>
      <c r="AY10" s="33" t="s">
        <v>104</v>
      </c>
      <c r="AZ10" s="31"/>
      <c r="BA10" s="31"/>
      <c r="BB10" s="31"/>
      <c r="BC10" s="31"/>
      <c r="BD10" s="18"/>
      <c r="BE10" s="31"/>
      <c r="BF10" s="31"/>
    </row>
    <row r="11">
      <c r="A11" s="31">
        <v>10.0</v>
      </c>
      <c r="B11" s="31">
        <v>3.0</v>
      </c>
      <c r="C11" s="31" t="s">
        <v>116</v>
      </c>
      <c r="D11" s="31" t="s">
        <v>117</v>
      </c>
      <c r="E11" s="33" t="s">
        <v>701</v>
      </c>
      <c r="F11" s="31" t="s">
        <v>118</v>
      </c>
      <c r="G11" s="31">
        <v>1.0</v>
      </c>
      <c r="H11" s="33" t="s">
        <v>233</v>
      </c>
      <c r="I11" s="33">
        <v>385.99</v>
      </c>
      <c r="J11" s="33" t="s">
        <v>84</v>
      </c>
      <c r="K11" s="33" t="s">
        <v>702</v>
      </c>
      <c r="L11" s="40" t="s">
        <v>703</v>
      </c>
      <c r="M11" s="33">
        <v>2.0</v>
      </c>
      <c r="N11" s="33" t="s">
        <v>233</v>
      </c>
      <c r="O11" s="53">
        <v>398.76</v>
      </c>
      <c r="P11" s="33" t="s">
        <v>84</v>
      </c>
      <c r="Q11" s="33" t="s">
        <v>704</v>
      </c>
      <c r="R11" s="40" t="s">
        <v>705</v>
      </c>
      <c r="S11" s="33">
        <v>2.0</v>
      </c>
      <c r="T11" s="33" t="s">
        <v>83</v>
      </c>
      <c r="U11" s="33">
        <v>264.0</v>
      </c>
      <c r="V11" s="33" t="s">
        <v>84</v>
      </c>
      <c r="W11" s="33" t="s">
        <v>706</v>
      </c>
      <c r="X11" s="40" t="s">
        <v>574</v>
      </c>
      <c r="Y11" s="33">
        <v>2.0</v>
      </c>
      <c r="Z11" s="33" t="s">
        <v>86</v>
      </c>
      <c r="AA11" s="33"/>
      <c r="AB11" s="33"/>
      <c r="AC11" s="33"/>
      <c r="AD11" s="33" t="s">
        <v>707</v>
      </c>
      <c r="AE11" s="33">
        <v>2.0</v>
      </c>
      <c r="AF11" s="33" t="s">
        <v>83</v>
      </c>
      <c r="AG11" s="33">
        <v>338.68</v>
      </c>
      <c r="AH11" s="33" t="s">
        <v>84</v>
      </c>
      <c r="AI11" s="33" t="s">
        <v>708</v>
      </c>
      <c r="AJ11" s="33" t="s">
        <v>709</v>
      </c>
      <c r="AK11" s="33">
        <v>2.0</v>
      </c>
      <c r="AL11" s="33" t="s">
        <v>86</v>
      </c>
      <c r="AM11" s="33"/>
      <c r="AN11" s="33"/>
      <c r="AO11" s="33"/>
      <c r="AP11" s="33" t="s">
        <v>710</v>
      </c>
      <c r="AQ11" s="33">
        <v>2.0</v>
      </c>
      <c r="AR11" s="33" t="s">
        <v>86</v>
      </c>
      <c r="AS11" s="33"/>
      <c r="AT11" s="33"/>
      <c r="AU11" s="33"/>
      <c r="AV11" s="33" t="s">
        <v>711</v>
      </c>
      <c r="AW11" s="33">
        <v>2.0</v>
      </c>
      <c r="AX11" s="33" t="s">
        <v>160</v>
      </c>
      <c r="AY11" s="33" t="s">
        <v>104</v>
      </c>
      <c r="AZ11" s="31"/>
      <c r="BA11" s="31"/>
      <c r="BB11" s="31"/>
      <c r="BC11" s="31"/>
      <c r="BD11" s="18"/>
      <c r="BE11" s="31"/>
      <c r="BF11" s="31"/>
    </row>
    <row r="12">
      <c r="A12" s="31">
        <v>11.0</v>
      </c>
      <c r="B12" s="31"/>
      <c r="C12" s="31" t="s">
        <v>116</v>
      </c>
      <c r="D12" s="31" t="s">
        <v>119</v>
      </c>
      <c r="E12" s="33" t="s">
        <v>713</v>
      </c>
      <c r="F12" s="31" t="s">
        <v>120</v>
      </c>
      <c r="G12" s="31">
        <v>1.0</v>
      </c>
      <c r="H12" s="33" t="s">
        <v>83</v>
      </c>
      <c r="I12" s="33">
        <v>119.99</v>
      </c>
      <c r="J12" s="33" t="s">
        <v>84</v>
      </c>
      <c r="K12" s="33" t="s">
        <v>714</v>
      </c>
      <c r="L12" s="40" t="s">
        <v>574</v>
      </c>
      <c r="M12" s="33">
        <v>1.0</v>
      </c>
      <c r="N12" s="33" t="s">
        <v>83</v>
      </c>
      <c r="O12" s="53"/>
      <c r="P12" s="33"/>
      <c r="Q12" s="33" t="s">
        <v>716</v>
      </c>
      <c r="R12" s="40" t="s">
        <v>574</v>
      </c>
      <c r="S12" s="33">
        <v>2.0</v>
      </c>
      <c r="T12" s="33" t="s">
        <v>83</v>
      </c>
      <c r="U12" s="33">
        <v>120.0</v>
      </c>
      <c r="V12" s="33" t="s">
        <v>84</v>
      </c>
      <c r="W12" s="33" t="s">
        <v>718</v>
      </c>
      <c r="X12" s="40" t="s">
        <v>719</v>
      </c>
      <c r="Y12" s="33">
        <v>2.0</v>
      </c>
      <c r="Z12" s="33" t="s">
        <v>233</v>
      </c>
      <c r="AA12" s="33">
        <v>156.09</v>
      </c>
      <c r="AB12" s="33" t="s">
        <v>84</v>
      </c>
      <c r="AC12" s="33" t="s">
        <v>720</v>
      </c>
      <c r="AD12" s="33" t="s">
        <v>721</v>
      </c>
      <c r="AE12" s="33">
        <v>2.0</v>
      </c>
      <c r="AF12" s="33" t="s">
        <v>83</v>
      </c>
      <c r="AG12" s="33">
        <v>102.43</v>
      </c>
      <c r="AH12" s="33" t="s">
        <v>84</v>
      </c>
      <c r="AI12" s="33" t="s">
        <v>722</v>
      </c>
      <c r="AJ12" s="33" t="s">
        <v>723</v>
      </c>
      <c r="AK12" s="33">
        <v>2.0</v>
      </c>
      <c r="AL12" s="33" t="s">
        <v>86</v>
      </c>
      <c r="AM12" s="33"/>
      <c r="AN12" s="33"/>
      <c r="AO12" s="33"/>
      <c r="AP12" s="33" t="s">
        <v>724</v>
      </c>
      <c r="AQ12" s="33">
        <v>1.0</v>
      </c>
      <c r="AR12" s="33" t="s">
        <v>83</v>
      </c>
      <c r="AS12" s="33">
        <v>234.35</v>
      </c>
      <c r="AT12" s="33" t="s">
        <v>84</v>
      </c>
      <c r="AU12" s="33" t="s">
        <v>725</v>
      </c>
      <c r="AV12" s="33" t="s">
        <v>574</v>
      </c>
      <c r="AW12" s="33">
        <v>0.0</v>
      </c>
      <c r="AX12" s="33" t="s">
        <v>160</v>
      </c>
      <c r="AY12" s="33" t="s">
        <v>104</v>
      </c>
      <c r="AZ12" s="31"/>
      <c r="BA12" s="31"/>
      <c r="BB12" s="31"/>
      <c r="BC12" s="31"/>
      <c r="BD12" s="18"/>
      <c r="BE12" s="31"/>
      <c r="BF12" s="31"/>
    </row>
    <row r="13">
      <c r="A13" s="31">
        <v>12.0</v>
      </c>
      <c r="B13" s="31"/>
      <c r="C13" s="31" t="s">
        <v>116</v>
      </c>
      <c r="D13" s="31" t="s">
        <v>130</v>
      </c>
      <c r="E13" s="33" t="s">
        <v>726</v>
      </c>
      <c r="F13" s="31" t="s">
        <v>131</v>
      </c>
      <c r="G13" s="31">
        <v>1.0</v>
      </c>
      <c r="H13" s="33" t="s">
        <v>83</v>
      </c>
      <c r="I13" s="31"/>
      <c r="J13" s="31"/>
      <c r="K13" s="33" t="s">
        <v>728</v>
      </c>
      <c r="L13" s="33" t="s">
        <v>729</v>
      </c>
      <c r="M13" s="33">
        <v>2.0</v>
      </c>
      <c r="N13" s="33" t="s">
        <v>83</v>
      </c>
      <c r="O13" s="31"/>
      <c r="P13" s="31"/>
      <c r="Q13" s="33" t="s">
        <v>730</v>
      </c>
      <c r="R13" s="33" t="s">
        <v>731</v>
      </c>
      <c r="S13" s="33">
        <v>2.0</v>
      </c>
      <c r="T13" s="33" t="s">
        <v>83</v>
      </c>
      <c r="U13" s="31"/>
      <c r="V13" s="31"/>
      <c r="W13" s="33" t="s">
        <v>732</v>
      </c>
      <c r="X13" s="33" t="s">
        <v>733</v>
      </c>
      <c r="Y13" s="33">
        <v>1.0</v>
      </c>
      <c r="Z13" s="33" t="s">
        <v>83</v>
      </c>
      <c r="AA13" s="33">
        <v>3.412</v>
      </c>
      <c r="AB13" s="33" t="s">
        <v>84</v>
      </c>
      <c r="AC13" s="33" t="s">
        <v>734</v>
      </c>
      <c r="AD13" s="33" t="s">
        <v>735</v>
      </c>
      <c r="AE13" s="33">
        <v>2.0</v>
      </c>
      <c r="AF13" s="33" t="s">
        <v>83</v>
      </c>
      <c r="AG13" s="31"/>
      <c r="AH13" s="31"/>
      <c r="AI13" s="33" t="s">
        <v>736</v>
      </c>
      <c r="AJ13" s="33" t="s">
        <v>737</v>
      </c>
      <c r="AK13" s="33">
        <v>1.0</v>
      </c>
      <c r="AL13" s="33" t="s">
        <v>233</v>
      </c>
      <c r="AM13" s="31"/>
      <c r="AN13" s="31"/>
      <c r="AO13" s="33" t="s">
        <v>738</v>
      </c>
      <c r="AP13" s="33" t="s">
        <v>739</v>
      </c>
      <c r="AQ13" s="33">
        <v>1.0</v>
      </c>
      <c r="AR13" s="33" t="s">
        <v>86</v>
      </c>
      <c r="AS13" s="31"/>
      <c r="AT13" s="31"/>
      <c r="AU13" s="31"/>
      <c r="AV13" s="33" t="s">
        <v>740</v>
      </c>
      <c r="AW13" s="33">
        <v>0.0</v>
      </c>
      <c r="AX13" s="33" t="s">
        <v>160</v>
      </c>
      <c r="AY13" s="33" t="s">
        <v>160</v>
      </c>
      <c r="AZ13" s="31"/>
      <c r="BA13" s="31"/>
      <c r="BB13" s="31"/>
      <c r="BC13" s="31"/>
      <c r="BD13" s="18"/>
      <c r="BE13" s="31"/>
      <c r="BF13" s="31"/>
    </row>
    <row r="14">
      <c r="A14" s="31">
        <v>13.0</v>
      </c>
      <c r="B14" s="31">
        <v>4.0</v>
      </c>
      <c r="C14" s="31" t="s">
        <v>136</v>
      </c>
      <c r="D14" s="31" t="s">
        <v>138</v>
      </c>
      <c r="E14" s="33" t="s">
        <v>742</v>
      </c>
      <c r="F14" s="31" t="s">
        <v>139</v>
      </c>
      <c r="G14" s="31">
        <v>1.0</v>
      </c>
      <c r="H14" s="33" t="s">
        <v>83</v>
      </c>
      <c r="I14" s="33">
        <v>1733.1</v>
      </c>
      <c r="J14" s="33" t="s">
        <v>84</v>
      </c>
      <c r="K14" s="33" t="s">
        <v>743</v>
      </c>
      <c r="L14" s="40" t="s">
        <v>744</v>
      </c>
      <c r="M14" s="33">
        <v>1.0</v>
      </c>
      <c r="N14" s="33" t="s">
        <v>83</v>
      </c>
      <c r="O14" s="33"/>
      <c r="P14" s="33"/>
      <c r="Q14" s="33" t="s">
        <v>569</v>
      </c>
      <c r="R14" s="40" t="s">
        <v>745</v>
      </c>
      <c r="S14" s="33">
        <v>1.0</v>
      </c>
      <c r="T14" s="33" t="s">
        <v>83</v>
      </c>
      <c r="U14" s="33">
        <v>1733.1</v>
      </c>
      <c r="V14" s="33" t="s">
        <v>84</v>
      </c>
      <c r="W14" s="33" t="s">
        <v>569</v>
      </c>
      <c r="X14" s="40" t="s">
        <v>746</v>
      </c>
      <c r="Y14" s="33">
        <v>1.0</v>
      </c>
      <c r="Z14" s="33" t="s">
        <v>86</v>
      </c>
      <c r="AA14" s="33"/>
      <c r="AB14" s="33"/>
      <c r="AC14" s="33"/>
      <c r="AD14" s="33" t="s">
        <v>747</v>
      </c>
      <c r="AE14" s="33">
        <v>2.0</v>
      </c>
      <c r="AF14" s="33" t="s">
        <v>86</v>
      </c>
      <c r="AG14" s="33"/>
      <c r="AH14" s="33"/>
      <c r="AI14" s="33"/>
      <c r="AJ14" s="33" t="s">
        <v>748</v>
      </c>
      <c r="AK14" s="33">
        <v>1.0</v>
      </c>
      <c r="AL14" s="33" t="s">
        <v>86</v>
      </c>
      <c r="AM14" s="33"/>
      <c r="AN14" s="33"/>
      <c r="AO14" s="33"/>
      <c r="AP14" s="33" t="s">
        <v>749</v>
      </c>
      <c r="AQ14" s="33">
        <v>1.0</v>
      </c>
      <c r="AR14" s="33" t="s">
        <v>83</v>
      </c>
      <c r="AS14" s="33">
        <v>1562.6</v>
      </c>
      <c r="AT14" s="33" t="s">
        <v>84</v>
      </c>
      <c r="AU14" s="33" t="s">
        <v>750</v>
      </c>
      <c r="AV14" s="33" t="s">
        <v>751</v>
      </c>
      <c r="AW14" s="33">
        <v>0.0</v>
      </c>
      <c r="AX14" s="33" t="s">
        <v>160</v>
      </c>
      <c r="AY14" s="33" t="s">
        <v>104</v>
      </c>
      <c r="AZ14" s="31"/>
      <c r="BA14" s="31"/>
      <c r="BB14" s="31"/>
      <c r="BC14" s="31"/>
      <c r="BD14" s="18"/>
      <c r="BE14" s="31"/>
      <c r="BF14" s="31"/>
    </row>
    <row r="15">
      <c r="A15" s="31">
        <v>14.0</v>
      </c>
      <c r="B15" s="31">
        <v>5.0</v>
      </c>
      <c r="C15" s="31" t="s">
        <v>145</v>
      </c>
      <c r="D15" s="31" t="s">
        <v>81</v>
      </c>
      <c r="E15" s="33" t="s">
        <v>753</v>
      </c>
      <c r="F15" s="31" t="s">
        <v>146</v>
      </c>
      <c r="G15" s="31">
        <v>1.0</v>
      </c>
      <c r="H15" s="33" t="s">
        <v>86</v>
      </c>
      <c r="I15" s="33"/>
      <c r="J15" s="33"/>
      <c r="K15" s="33"/>
      <c r="L15" s="40" t="s">
        <v>754</v>
      </c>
      <c r="M15" s="33">
        <v>2.0</v>
      </c>
      <c r="N15" s="33" t="s">
        <v>86</v>
      </c>
      <c r="O15" s="33"/>
      <c r="P15" s="33"/>
      <c r="Q15" s="33"/>
      <c r="R15" s="40" t="s">
        <v>755</v>
      </c>
      <c r="S15" s="33">
        <v>2.0</v>
      </c>
      <c r="T15" s="33" t="s">
        <v>86</v>
      </c>
      <c r="U15" s="31"/>
      <c r="V15" s="31"/>
      <c r="W15" s="31"/>
      <c r="X15" s="40" t="s">
        <v>756</v>
      </c>
      <c r="Y15" s="33">
        <v>0.0</v>
      </c>
      <c r="Z15" s="33" t="s">
        <v>86</v>
      </c>
      <c r="AA15" s="33"/>
      <c r="AB15" s="33"/>
      <c r="AC15" s="33"/>
      <c r="AD15" s="33" t="s">
        <v>757</v>
      </c>
      <c r="AE15" s="33">
        <v>2.0</v>
      </c>
      <c r="AF15" s="33" t="s">
        <v>86</v>
      </c>
      <c r="AG15" s="33"/>
      <c r="AH15" s="33"/>
      <c r="AI15" s="33"/>
      <c r="AJ15" s="33" t="s">
        <v>758</v>
      </c>
      <c r="AK15" s="33">
        <v>1.0</v>
      </c>
      <c r="AL15" s="33" t="s">
        <v>86</v>
      </c>
      <c r="AM15" s="33"/>
      <c r="AN15" s="33"/>
      <c r="AO15" s="33"/>
      <c r="AP15" s="33" t="s">
        <v>759</v>
      </c>
      <c r="AQ15" s="33">
        <v>1.0</v>
      </c>
      <c r="AR15" s="33" t="s">
        <v>86</v>
      </c>
      <c r="AS15" s="33"/>
      <c r="AT15" s="33"/>
      <c r="AU15" s="33"/>
      <c r="AV15" s="33" t="s">
        <v>760</v>
      </c>
      <c r="AW15" s="33">
        <v>1.0</v>
      </c>
      <c r="AX15" s="33" t="s">
        <v>160</v>
      </c>
      <c r="AY15" s="33" t="s">
        <v>104</v>
      </c>
      <c r="AZ15" s="31"/>
      <c r="BA15" s="31"/>
      <c r="BB15" s="31"/>
      <c r="BC15" s="31"/>
      <c r="BD15" s="18"/>
      <c r="BE15" s="31"/>
      <c r="BF15" s="31"/>
    </row>
    <row r="16">
      <c r="A16" s="31">
        <v>15.0</v>
      </c>
      <c r="B16" s="31"/>
      <c r="C16" s="31" t="s">
        <v>145</v>
      </c>
      <c r="D16" s="31" t="s">
        <v>151</v>
      </c>
      <c r="E16" s="33" t="s">
        <v>762</v>
      </c>
      <c r="F16" s="31" t="s">
        <v>152</v>
      </c>
      <c r="G16" s="31">
        <v>1.0</v>
      </c>
      <c r="H16" s="33" t="s">
        <v>86</v>
      </c>
      <c r="I16" s="33"/>
      <c r="J16" s="33"/>
      <c r="K16" s="33"/>
      <c r="L16" s="40" t="s">
        <v>763</v>
      </c>
      <c r="M16" s="33">
        <v>1.0</v>
      </c>
      <c r="N16" s="33" t="s">
        <v>86</v>
      </c>
      <c r="O16" s="31"/>
      <c r="P16" s="31"/>
      <c r="Q16" s="31"/>
      <c r="R16" s="33" t="s">
        <v>764</v>
      </c>
      <c r="S16" s="33">
        <v>0.0</v>
      </c>
      <c r="T16" s="33" t="s">
        <v>86</v>
      </c>
      <c r="U16" s="31"/>
      <c r="V16" s="31"/>
      <c r="W16" s="31"/>
      <c r="X16" s="40" t="s">
        <v>766</v>
      </c>
      <c r="Y16" s="33">
        <v>1.0</v>
      </c>
      <c r="Z16" s="33" t="s">
        <v>86</v>
      </c>
      <c r="AA16" s="33"/>
      <c r="AB16" s="33"/>
      <c r="AC16" s="33"/>
      <c r="AD16" s="33" t="s">
        <v>767</v>
      </c>
      <c r="AE16" s="33">
        <v>0.0</v>
      </c>
      <c r="AF16" s="33" t="s">
        <v>86</v>
      </c>
      <c r="AG16" s="33"/>
      <c r="AH16" s="33"/>
      <c r="AI16" s="33"/>
      <c r="AJ16" s="33" t="s">
        <v>751</v>
      </c>
      <c r="AK16" s="33">
        <v>0.0</v>
      </c>
      <c r="AL16" s="33" t="s">
        <v>86</v>
      </c>
      <c r="AM16" s="33"/>
      <c r="AN16" s="33"/>
      <c r="AO16" s="33"/>
      <c r="AP16" s="33" t="s">
        <v>768</v>
      </c>
      <c r="AQ16" s="33">
        <v>0.0</v>
      </c>
      <c r="AR16" s="33" t="s">
        <v>86</v>
      </c>
      <c r="AS16" s="33"/>
      <c r="AT16" s="33"/>
      <c r="AU16" s="33"/>
      <c r="AV16" s="33" t="s">
        <v>751</v>
      </c>
      <c r="AW16" s="33">
        <v>0.0</v>
      </c>
      <c r="AX16" s="33" t="s">
        <v>160</v>
      </c>
      <c r="AY16" s="33" t="s">
        <v>104</v>
      </c>
      <c r="AZ16" s="31"/>
      <c r="BA16" s="31"/>
      <c r="BB16" s="31"/>
      <c r="BC16" s="31"/>
      <c r="BD16" s="18"/>
      <c r="BE16" s="31"/>
      <c r="BF16" s="31"/>
    </row>
    <row r="17">
      <c r="A17" s="31">
        <v>16.0</v>
      </c>
      <c r="B17" s="31">
        <v>6.0</v>
      </c>
      <c r="C17" s="31" t="s">
        <v>165</v>
      </c>
      <c r="D17" s="31" t="s">
        <v>166</v>
      </c>
      <c r="E17" s="33" t="s">
        <v>770</v>
      </c>
      <c r="F17" s="31" t="s">
        <v>167</v>
      </c>
      <c r="G17" s="31">
        <v>1.0</v>
      </c>
      <c r="H17" s="33" t="s">
        <v>83</v>
      </c>
      <c r="I17" s="33"/>
      <c r="J17" s="33"/>
      <c r="K17" s="33" t="s">
        <v>771</v>
      </c>
      <c r="L17" s="40" t="s">
        <v>574</v>
      </c>
      <c r="M17" s="33">
        <v>1.0</v>
      </c>
      <c r="N17" s="33" t="s">
        <v>83</v>
      </c>
      <c r="O17" s="31"/>
      <c r="P17" s="31"/>
      <c r="Q17" s="33" t="s">
        <v>569</v>
      </c>
      <c r="R17" s="33" t="s">
        <v>772</v>
      </c>
      <c r="S17" s="33">
        <v>1.0</v>
      </c>
      <c r="T17" s="33" t="s">
        <v>83</v>
      </c>
      <c r="U17" s="33">
        <v>943.03</v>
      </c>
      <c r="V17" s="33" t="s">
        <v>84</v>
      </c>
      <c r="W17" s="33" t="s">
        <v>569</v>
      </c>
      <c r="X17" s="40" t="s">
        <v>636</v>
      </c>
      <c r="Y17" s="33">
        <v>0.0</v>
      </c>
      <c r="Z17" s="33" t="s">
        <v>233</v>
      </c>
      <c r="AA17" s="33">
        <v>623.39</v>
      </c>
      <c r="AB17" s="33" t="s">
        <v>84</v>
      </c>
      <c r="AC17" s="33" t="s">
        <v>773</v>
      </c>
      <c r="AD17" s="33" t="s">
        <v>574</v>
      </c>
      <c r="AE17" s="33">
        <v>2.0</v>
      </c>
      <c r="AF17" s="33" t="s">
        <v>86</v>
      </c>
      <c r="AG17" s="31"/>
      <c r="AH17" s="31"/>
      <c r="AI17" s="31"/>
      <c r="AJ17" s="33" t="s">
        <v>774</v>
      </c>
      <c r="AK17" s="33">
        <v>0.0</v>
      </c>
      <c r="AL17" s="33" t="s">
        <v>86</v>
      </c>
      <c r="AM17" s="31"/>
      <c r="AN17" s="31"/>
      <c r="AO17" s="31"/>
      <c r="AP17" s="33" t="s">
        <v>775</v>
      </c>
      <c r="AQ17" s="33">
        <v>1.0</v>
      </c>
      <c r="AR17" s="33" t="s">
        <v>86</v>
      </c>
      <c r="AS17" s="31"/>
      <c r="AT17" s="31"/>
      <c r="AU17" s="31"/>
      <c r="AV17" s="33" t="s">
        <v>776</v>
      </c>
      <c r="AW17" s="33">
        <v>0.0</v>
      </c>
      <c r="AX17" s="33" t="s">
        <v>160</v>
      </c>
      <c r="AY17" s="33" t="s">
        <v>104</v>
      </c>
      <c r="AZ17" s="31"/>
      <c r="BA17" s="31"/>
      <c r="BB17" s="31"/>
      <c r="BC17" s="31"/>
      <c r="BD17" s="18"/>
      <c r="BE17" s="31"/>
      <c r="BF17" s="31"/>
    </row>
    <row r="18">
      <c r="A18" s="31">
        <v>17.0</v>
      </c>
      <c r="B18" s="31"/>
      <c r="C18" s="31" t="s">
        <v>165</v>
      </c>
      <c r="D18" s="31" t="s">
        <v>170</v>
      </c>
      <c r="E18" s="33" t="s">
        <v>777</v>
      </c>
      <c r="F18" s="31" t="s">
        <v>171</v>
      </c>
      <c r="G18" s="31">
        <v>1.0</v>
      </c>
      <c r="H18" s="33" t="s">
        <v>233</v>
      </c>
      <c r="I18" s="53">
        <v>267.0</v>
      </c>
      <c r="J18" s="33" t="s">
        <v>84</v>
      </c>
      <c r="K18" s="33" t="s">
        <v>778</v>
      </c>
      <c r="L18" s="40" t="s">
        <v>635</v>
      </c>
      <c r="M18" s="33">
        <v>0.0</v>
      </c>
      <c r="N18" s="33" t="s">
        <v>233</v>
      </c>
      <c r="O18" s="31"/>
      <c r="P18" s="31"/>
      <c r="Q18" s="33" t="s">
        <v>779</v>
      </c>
      <c r="R18" s="40" t="s">
        <v>635</v>
      </c>
      <c r="S18" s="33">
        <v>0.0</v>
      </c>
      <c r="T18" s="33" t="s">
        <v>83</v>
      </c>
      <c r="U18" s="33">
        <v>250.0</v>
      </c>
      <c r="V18" s="33" t="s">
        <v>84</v>
      </c>
      <c r="W18" s="33" t="s">
        <v>780</v>
      </c>
      <c r="X18" s="40" t="s">
        <v>781</v>
      </c>
      <c r="Y18" s="33">
        <v>2.0</v>
      </c>
      <c r="Z18" s="33" t="s">
        <v>233</v>
      </c>
      <c r="AA18" s="33">
        <v>257.655</v>
      </c>
      <c r="AB18" s="33" t="s">
        <v>84</v>
      </c>
      <c r="AC18" s="33" t="s">
        <v>782</v>
      </c>
      <c r="AD18" s="33" t="s">
        <v>784</v>
      </c>
      <c r="AE18" s="33">
        <v>2.0</v>
      </c>
      <c r="AF18" s="33" t="s">
        <v>86</v>
      </c>
      <c r="AG18" s="33"/>
      <c r="AH18" s="33"/>
      <c r="AI18" s="33"/>
      <c r="AJ18" s="33" t="s">
        <v>785</v>
      </c>
      <c r="AK18" s="33">
        <v>1.0</v>
      </c>
      <c r="AL18" s="33" t="s">
        <v>86</v>
      </c>
      <c r="AM18" s="33"/>
      <c r="AN18" s="33"/>
      <c r="AO18" s="33"/>
      <c r="AP18" s="33" t="s">
        <v>786</v>
      </c>
      <c r="AQ18" s="33">
        <v>1.0</v>
      </c>
      <c r="AR18" s="33" t="s">
        <v>83</v>
      </c>
      <c r="AS18" s="33">
        <v>466.7</v>
      </c>
      <c r="AT18" s="33" t="s">
        <v>84</v>
      </c>
      <c r="AU18" s="33" t="s">
        <v>787</v>
      </c>
      <c r="AV18" s="33" t="s">
        <v>574</v>
      </c>
      <c r="AW18" s="33">
        <v>1.0</v>
      </c>
      <c r="AX18" s="33" t="s">
        <v>160</v>
      </c>
      <c r="AY18" s="33" t="s">
        <v>104</v>
      </c>
      <c r="AZ18" s="31"/>
      <c r="BA18" s="31"/>
      <c r="BB18" s="31"/>
      <c r="BC18" s="31"/>
      <c r="BD18" s="18"/>
      <c r="BE18" s="31"/>
      <c r="BF18" s="31"/>
    </row>
    <row r="19">
      <c r="A19" s="31">
        <v>18.0</v>
      </c>
      <c r="B19" s="31"/>
      <c r="C19" s="31" t="s">
        <v>165</v>
      </c>
      <c r="D19" s="31" t="s">
        <v>175</v>
      </c>
      <c r="E19" s="33" t="s">
        <v>788</v>
      </c>
      <c r="F19" s="31" t="s">
        <v>176</v>
      </c>
      <c r="G19" s="31">
        <v>1.0</v>
      </c>
      <c r="H19" s="33" t="s">
        <v>233</v>
      </c>
      <c r="I19" s="53">
        <v>176.23</v>
      </c>
      <c r="J19" s="33" t="s">
        <v>84</v>
      </c>
      <c r="K19" s="33" t="s">
        <v>789</v>
      </c>
      <c r="L19" s="40" t="s">
        <v>635</v>
      </c>
      <c r="M19" s="33">
        <v>0.0</v>
      </c>
      <c r="N19" s="33" t="s">
        <v>83</v>
      </c>
      <c r="O19" s="33">
        <v>175.41</v>
      </c>
      <c r="P19" s="33" t="s">
        <v>84</v>
      </c>
      <c r="Q19" s="33" t="s">
        <v>790</v>
      </c>
      <c r="R19" s="40" t="s">
        <v>635</v>
      </c>
      <c r="S19" s="33">
        <v>0.0</v>
      </c>
      <c r="T19" s="33" t="s">
        <v>83</v>
      </c>
      <c r="U19" s="33">
        <v>222.45</v>
      </c>
      <c r="V19" s="33" t="s">
        <v>84</v>
      </c>
      <c r="W19" s="33" t="s">
        <v>791</v>
      </c>
      <c r="X19" s="40" t="s">
        <v>574</v>
      </c>
      <c r="Y19" s="33">
        <v>2.0</v>
      </c>
      <c r="Z19" s="33" t="s">
        <v>233</v>
      </c>
      <c r="AA19" s="33">
        <v>138.96</v>
      </c>
      <c r="AB19" s="33" t="s">
        <v>84</v>
      </c>
      <c r="AC19" s="33" t="s">
        <v>792</v>
      </c>
      <c r="AD19" s="33" t="s">
        <v>635</v>
      </c>
      <c r="AE19" s="33">
        <v>0.0</v>
      </c>
      <c r="AF19" s="33" t="s">
        <v>86</v>
      </c>
      <c r="AG19" s="33"/>
      <c r="AH19" s="33"/>
      <c r="AI19" s="33"/>
      <c r="AJ19" s="33" t="s">
        <v>794</v>
      </c>
      <c r="AK19" s="33">
        <v>2.0</v>
      </c>
      <c r="AL19" s="33" t="s">
        <v>83</v>
      </c>
      <c r="AM19" s="33">
        <v>19.51</v>
      </c>
      <c r="AN19" s="33" t="s">
        <v>84</v>
      </c>
      <c r="AO19" s="33" t="s">
        <v>795</v>
      </c>
      <c r="AP19" s="33" t="s">
        <v>796</v>
      </c>
      <c r="AQ19" s="33">
        <v>2.0</v>
      </c>
      <c r="AR19" s="33" t="s">
        <v>86</v>
      </c>
      <c r="AS19" s="33"/>
      <c r="AT19" s="33"/>
      <c r="AU19" s="33"/>
      <c r="AV19" s="33" t="s">
        <v>797</v>
      </c>
      <c r="AW19" s="33">
        <v>1.0</v>
      </c>
      <c r="AX19" s="33" t="s">
        <v>160</v>
      </c>
      <c r="AY19" s="33" t="s">
        <v>104</v>
      </c>
      <c r="AZ19" s="31"/>
      <c r="BA19" s="31"/>
      <c r="BB19" s="31"/>
      <c r="BC19" s="31"/>
      <c r="BD19" s="18"/>
      <c r="BE19" s="31"/>
      <c r="BF19" s="31"/>
    </row>
    <row r="20" ht="15.75" customHeight="1">
      <c r="A20" s="31">
        <v>52.0</v>
      </c>
      <c r="B20" s="64">
        <v>40.0</v>
      </c>
      <c r="C20" s="64" t="s">
        <v>361</v>
      </c>
      <c r="D20" s="64" t="s">
        <v>362</v>
      </c>
      <c r="E20" s="64" t="s">
        <v>798</v>
      </c>
      <c r="F20" s="64" t="s">
        <v>363</v>
      </c>
      <c r="H20" s="64" t="s">
        <v>86</v>
      </c>
      <c r="L20" s="64" t="s">
        <v>799</v>
      </c>
      <c r="M20" s="64">
        <v>2.0</v>
      </c>
      <c r="N20" s="64" t="s">
        <v>86</v>
      </c>
      <c r="R20" s="64" t="s">
        <v>800</v>
      </c>
      <c r="S20" s="64">
        <v>2.0</v>
      </c>
      <c r="T20" s="64" t="s">
        <v>83</v>
      </c>
      <c r="U20" s="64">
        <v>626.22</v>
      </c>
      <c r="V20" s="64" t="s">
        <v>84</v>
      </c>
      <c r="W20" s="64" t="s">
        <v>801</v>
      </c>
      <c r="X20" s="64" t="s">
        <v>751</v>
      </c>
      <c r="Y20" s="64">
        <v>0.0</v>
      </c>
      <c r="Z20" s="64" t="s">
        <v>86</v>
      </c>
      <c r="AD20" s="64" t="s">
        <v>802</v>
      </c>
      <c r="AE20" s="64">
        <v>2.0</v>
      </c>
      <c r="AF20" s="64" t="s">
        <v>86</v>
      </c>
      <c r="AJ20" s="64" t="s">
        <v>803</v>
      </c>
      <c r="AK20" s="64">
        <v>2.0</v>
      </c>
      <c r="AL20" s="64" t="s">
        <v>86</v>
      </c>
      <c r="AP20" s="64" t="s">
        <v>804</v>
      </c>
      <c r="AQ20" s="64">
        <v>1.0</v>
      </c>
      <c r="AR20" s="64" t="s">
        <v>86</v>
      </c>
      <c r="AV20" s="64" t="s">
        <v>805</v>
      </c>
      <c r="AW20" s="64">
        <v>1.0</v>
      </c>
      <c r="AX20" s="64" t="s">
        <v>160</v>
      </c>
      <c r="AY20" s="64" t="s">
        <v>104</v>
      </c>
    </row>
    <row r="21" ht="15.75" customHeight="1">
      <c r="A21" s="31">
        <v>53.0</v>
      </c>
      <c r="B21" s="64">
        <v>40.0</v>
      </c>
      <c r="C21" s="64" t="s">
        <v>361</v>
      </c>
      <c r="D21" s="64" t="s">
        <v>375</v>
      </c>
      <c r="E21" s="64" t="s">
        <v>807</v>
      </c>
      <c r="F21" s="64" t="s">
        <v>377</v>
      </c>
      <c r="H21" s="64" t="s">
        <v>86</v>
      </c>
      <c r="L21" s="64" t="s">
        <v>808</v>
      </c>
      <c r="M21" s="64">
        <v>1.0</v>
      </c>
      <c r="N21" s="64" t="s">
        <v>86</v>
      </c>
      <c r="R21" s="64" t="s">
        <v>751</v>
      </c>
      <c r="S21" s="64">
        <v>1.0</v>
      </c>
      <c r="T21" s="64" t="s">
        <v>83</v>
      </c>
      <c r="U21" s="64">
        <v>940.18</v>
      </c>
      <c r="V21" s="64" t="s">
        <v>84</v>
      </c>
      <c r="W21" s="64" t="s">
        <v>809</v>
      </c>
      <c r="X21" s="64" t="s">
        <v>751</v>
      </c>
      <c r="Y21" s="64">
        <v>0.0</v>
      </c>
      <c r="Z21" s="64" t="s">
        <v>86</v>
      </c>
      <c r="AD21" s="64" t="s">
        <v>751</v>
      </c>
      <c r="AE21" s="64">
        <v>0.0</v>
      </c>
      <c r="AF21" s="64" t="s">
        <v>86</v>
      </c>
      <c r="AJ21" s="64" t="s">
        <v>751</v>
      </c>
      <c r="AK21" s="64">
        <v>0.0</v>
      </c>
      <c r="AL21" s="64" t="s">
        <v>86</v>
      </c>
      <c r="AP21" s="64" t="s">
        <v>810</v>
      </c>
      <c r="AQ21" s="64">
        <v>0.0</v>
      </c>
      <c r="AR21" s="64" t="s">
        <v>86</v>
      </c>
      <c r="AV21" s="64" t="s">
        <v>751</v>
      </c>
      <c r="AW21" s="64">
        <v>0.0</v>
      </c>
      <c r="AX21" s="64" t="s">
        <v>160</v>
      </c>
      <c r="AY21" s="64" t="s">
        <v>104</v>
      </c>
    </row>
    <row r="22" ht="15.75" customHeight="1">
      <c r="A22" s="31">
        <v>54.0</v>
      </c>
      <c r="B22" s="64">
        <v>40.0</v>
      </c>
      <c r="C22" s="64" t="s">
        <v>361</v>
      </c>
      <c r="D22" s="64" t="s">
        <v>383</v>
      </c>
      <c r="E22" s="64" t="s">
        <v>811</v>
      </c>
      <c r="F22" s="64" t="s">
        <v>385</v>
      </c>
      <c r="H22" s="64" t="s">
        <v>86</v>
      </c>
      <c r="L22" s="64" t="s">
        <v>812</v>
      </c>
      <c r="M22" s="64">
        <v>2.0</v>
      </c>
      <c r="N22" s="64" t="s">
        <v>86</v>
      </c>
      <c r="R22" s="64" t="s">
        <v>751</v>
      </c>
      <c r="S22" s="64">
        <v>1.0</v>
      </c>
      <c r="T22" s="64" t="s">
        <v>83</v>
      </c>
      <c r="U22" s="64">
        <v>441.0</v>
      </c>
      <c r="V22" s="64" t="s">
        <v>84</v>
      </c>
      <c r="W22" s="64" t="s">
        <v>813</v>
      </c>
      <c r="X22" s="64" t="s">
        <v>751</v>
      </c>
      <c r="Y22" s="64">
        <v>1.0</v>
      </c>
      <c r="Z22" s="64" t="s">
        <v>86</v>
      </c>
      <c r="AD22" s="64" t="s">
        <v>751</v>
      </c>
      <c r="AE22" s="64">
        <v>0.0</v>
      </c>
      <c r="AF22" s="64" t="s">
        <v>86</v>
      </c>
      <c r="AJ22" s="64" t="s">
        <v>814</v>
      </c>
      <c r="AK22" s="64">
        <v>1.0</v>
      </c>
      <c r="AL22" s="64" t="s">
        <v>86</v>
      </c>
      <c r="AP22" s="64" t="s">
        <v>810</v>
      </c>
      <c r="AQ22" s="64">
        <v>0.0</v>
      </c>
      <c r="AR22" s="64" t="s">
        <v>86</v>
      </c>
      <c r="AV22" s="64" t="s">
        <v>751</v>
      </c>
      <c r="AW22" s="64">
        <v>0.0</v>
      </c>
      <c r="AX22" s="64" t="s">
        <v>160</v>
      </c>
      <c r="AY22" s="64" t="s">
        <v>104</v>
      </c>
    </row>
    <row r="23" ht="15.75" customHeight="1">
      <c r="A23" s="31">
        <v>55.0</v>
      </c>
      <c r="B23" s="64">
        <v>40.0</v>
      </c>
      <c r="C23" s="64" t="s">
        <v>361</v>
      </c>
      <c r="D23" s="64" t="s">
        <v>396</v>
      </c>
      <c r="E23" s="64" t="s">
        <v>815</v>
      </c>
      <c r="F23" s="64" t="s">
        <v>397</v>
      </c>
      <c r="H23" s="64" t="s">
        <v>86</v>
      </c>
      <c r="L23" s="64" t="s">
        <v>816</v>
      </c>
      <c r="M23" s="64">
        <v>1.0</v>
      </c>
      <c r="N23" s="64" t="s">
        <v>86</v>
      </c>
      <c r="R23" s="64" t="s">
        <v>751</v>
      </c>
      <c r="S23" s="64">
        <v>1.0</v>
      </c>
      <c r="T23" s="64" t="s">
        <v>83</v>
      </c>
      <c r="U23" s="64">
        <v>130.56</v>
      </c>
      <c r="V23" s="64" t="s">
        <v>84</v>
      </c>
      <c r="W23" s="64" t="s">
        <v>817</v>
      </c>
      <c r="X23" s="64" t="s">
        <v>751</v>
      </c>
      <c r="Y23" s="64">
        <v>0.0</v>
      </c>
      <c r="Z23" s="64" t="s">
        <v>86</v>
      </c>
      <c r="AD23" s="64" t="s">
        <v>751</v>
      </c>
      <c r="AE23" s="64">
        <v>0.0</v>
      </c>
      <c r="AF23" s="64" t="s">
        <v>86</v>
      </c>
      <c r="AJ23" s="64" t="s">
        <v>751</v>
      </c>
      <c r="AK23" s="64">
        <v>0.0</v>
      </c>
      <c r="AL23" s="64" t="s">
        <v>86</v>
      </c>
      <c r="AP23" s="64" t="s">
        <v>810</v>
      </c>
      <c r="AQ23" s="64">
        <v>0.0</v>
      </c>
      <c r="AR23" s="64" t="s">
        <v>86</v>
      </c>
      <c r="AV23" s="64" t="s">
        <v>751</v>
      </c>
      <c r="AW23" s="64">
        <v>0.0</v>
      </c>
      <c r="AX23" s="64" t="s">
        <v>160</v>
      </c>
      <c r="AY23" s="64" t="s">
        <v>104</v>
      </c>
    </row>
    <row r="24" ht="15.75" customHeight="1">
      <c r="A24" s="31">
        <v>56.0</v>
      </c>
      <c r="B24" s="64">
        <v>40.0</v>
      </c>
      <c r="C24" s="64" t="s">
        <v>361</v>
      </c>
      <c r="D24" s="64" t="s">
        <v>403</v>
      </c>
      <c r="E24" s="64" t="s">
        <v>818</v>
      </c>
      <c r="F24" s="64" t="s">
        <v>404</v>
      </c>
      <c r="H24" s="64" t="s">
        <v>86</v>
      </c>
      <c r="L24" s="64" t="s">
        <v>819</v>
      </c>
      <c r="M24" s="64">
        <v>1.0</v>
      </c>
      <c r="N24" s="64" t="s">
        <v>86</v>
      </c>
      <c r="R24" s="64" t="s">
        <v>751</v>
      </c>
      <c r="S24" s="64">
        <v>1.0</v>
      </c>
      <c r="T24" s="64" t="s">
        <v>83</v>
      </c>
      <c r="U24" s="64">
        <v>61.2</v>
      </c>
      <c r="V24" s="64" t="s">
        <v>84</v>
      </c>
      <c r="W24" s="64" t="s">
        <v>817</v>
      </c>
      <c r="X24" s="64" t="s">
        <v>751</v>
      </c>
      <c r="Y24" s="64">
        <v>0.0</v>
      </c>
      <c r="Z24" s="64" t="s">
        <v>86</v>
      </c>
      <c r="AD24" s="64" t="s">
        <v>751</v>
      </c>
      <c r="AE24" s="64">
        <v>0.0</v>
      </c>
      <c r="AF24" s="64" t="s">
        <v>86</v>
      </c>
      <c r="AJ24" s="64" t="s">
        <v>751</v>
      </c>
      <c r="AK24" s="64">
        <v>0.0</v>
      </c>
      <c r="AL24" s="64" t="s">
        <v>86</v>
      </c>
      <c r="AP24" s="64" t="s">
        <v>810</v>
      </c>
      <c r="AQ24" s="64">
        <v>0.0</v>
      </c>
      <c r="AR24" s="64" t="s">
        <v>86</v>
      </c>
      <c r="AV24" s="64" t="s">
        <v>751</v>
      </c>
      <c r="AW24" s="64">
        <v>0.0</v>
      </c>
      <c r="AX24" s="64" t="s">
        <v>160</v>
      </c>
      <c r="AY24" s="64" t="s">
        <v>104</v>
      </c>
    </row>
    <row r="25" ht="15.75" customHeight="1">
      <c r="A25" s="31">
        <v>57.0</v>
      </c>
      <c r="B25" s="64">
        <v>40.0</v>
      </c>
      <c r="C25" s="64" t="s">
        <v>361</v>
      </c>
      <c r="D25" s="64" t="s">
        <v>413</v>
      </c>
      <c r="E25" s="64" t="s">
        <v>820</v>
      </c>
      <c r="F25" s="64" t="s">
        <v>414</v>
      </c>
      <c r="H25" s="64" t="s">
        <v>86</v>
      </c>
      <c r="L25" s="64" t="s">
        <v>821</v>
      </c>
      <c r="M25" s="64">
        <v>1.0</v>
      </c>
      <c r="N25" s="64" t="s">
        <v>86</v>
      </c>
      <c r="R25" s="64" t="s">
        <v>822</v>
      </c>
      <c r="S25" s="64">
        <v>2.0</v>
      </c>
      <c r="T25" s="64" t="s">
        <v>83</v>
      </c>
      <c r="U25" s="64">
        <v>78.88</v>
      </c>
      <c r="V25" s="64" t="s">
        <v>84</v>
      </c>
      <c r="W25" s="64" t="s">
        <v>817</v>
      </c>
      <c r="X25" s="64" t="s">
        <v>751</v>
      </c>
      <c r="Y25" s="64">
        <v>0.0</v>
      </c>
      <c r="Z25" s="64" t="s">
        <v>86</v>
      </c>
      <c r="AD25" s="64" t="s">
        <v>751</v>
      </c>
      <c r="AE25" s="64">
        <v>0.0</v>
      </c>
      <c r="AF25" s="64" t="s">
        <v>86</v>
      </c>
      <c r="AJ25" s="64" t="s">
        <v>751</v>
      </c>
      <c r="AK25" s="64">
        <v>0.0</v>
      </c>
      <c r="AL25" s="64" t="s">
        <v>86</v>
      </c>
      <c r="AP25" s="64" t="s">
        <v>810</v>
      </c>
      <c r="AQ25" s="64">
        <v>0.0</v>
      </c>
      <c r="AR25" s="64" t="s">
        <v>86</v>
      </c>
      <c r="AV25" s="64" t="s">
        <v>751</v>
      </c>
      <c r="AW25" s="64">
        <v>0.0</v>
      </c>
      <c r="AX25" s="64" t="s">
        <v>160</v>
      </c>
      <c r="AY25" s="64" t="s">
        <v>104</v>
      </c>
    </row>
    <row r="26" ht="15.75" customHeight="1">
      <c r="A26" s="3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dataValidations>
    <dataValidation type="list" allowBlank="1" sqref="H2:H19 N2:N19 T2:T19">
      <formula1>"Found,Carried but zero stock,Couldn't find by search,Not carried,Not checked"</formula1>
    </dataValidation>
    <dataValidation type="list" allowBlank="1" sqref="BE2:BE19">
      <formula1>"Daily,Weekly,Monthly"</formula1>
    </dataValidation>
    <dataValidation type="list" allowBlank="1" sqref="BB2:BC19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5.0"/>
    <col customWidth="1" min="2" max="2" width="9.0"/>
    <col customWidth="1" min="3" max="3" width="14.71"/>
    <col customWidth="1" min="4" max="4" width="40.0"/>
    <col customWidth="1" min="5" max="5" width="31.57"/>
    <col customWidth="1" min="6" max="6" width="21.0"/>
    <col customWidth="1" min="7" max="7" width="7.0"/>
    <col customWidth="1" min="8" max="8" width="16.0"/>
    <col customWidth="1" min="9" max="9" width="10.0"/>
    <col customWidth="1" min="10" max="10" width="8.0"/>
    <col customWidth="1" min="11" max="11" width="34.0"/>
    <col customWidth="1" min="12" max="12" width="30.0"/>
    <col customWidth="1" min="13" max="13" width="8.0"/>
    <col customWidth="1" min="14" max="14" width="16.0"/>
    <col customWidth="1" min="15" max="15" width="10.0"/>
    <col customWidth="1" min="16" max="16" width="8.0"/>
    <col customWidth="1" min="17" max="17" width="34.0"/>
    <col customWidth="1" min="18" max="18" width="30.0"/>
    <col customWidth="1" min="19" max="19" width="8.0"/>
    <col customWidth="1" min="20" max="20" width="16.0"/>
    <col customWidth="1" min="21" max="21" width="10.0"/>
    <col customWidth="1" min="22" max="22" width="8.0"/>
    <col customWidth="1" min="23" max="23" width="34.0"/>
    <col customWidth="1" min="24" max="24" width="30.0"/>
    <col customWidth="1" min="25" max="49" width="25.71"/>
    <col customWidth="1" min="50" max="57" width="33.14"/>
    <col customWidth="1" min="58" max="58" width="31.29"/>
    <col customWidth="1" min="59" max="59" width="26.0"/>
    <col customWidth="1" min="60" max="60" width="16.0"/>
    <col customWidth="1" min="61" max="61" width="14.0"/>
    <col customWidth="1" min="62" max="62" width="26.0"/>
    <col customWidth="1" min="63" max="63" width="20.0"/>
    <col customWidth="1" min="64" max="64" width="40.0"/>
  </cols>
  <sheetData>
    <row r="1" ht="75.0" customHeight="1">
      <c r="A1" s="11" t="s">
        <v>16</v>
      </c>
      <c r="B1" s="11" t="s">
        <v>17</v>
      </c>
      <c r="C1" s="11" t="s">
        <v>18</v>
      </c>
      <c r="D1" s="11" t="s">
        <v>19</v>
      </c>
      <c r="E1" s="30" t="s">
        <v>561</v>
      </c>
      <c r="F1" s="11" t="s">
        <v>20</v>
      </c>
      <c r="G1" s="11" t="s">
        <v>21</v>
      </c>
      <c r="H1" s="13" t="s">
        <v>22</v>
      </c>
      <c r="I1" s="13" t="s">
        <v>23</v>
      </c>
      <c r="J1" s="13" t="s">
        <v>24</v>
      </c>
      <c r="K1" s="13" t="s">
        <v>25</v>
      </c>
      <c r="L1" s="13" t="s">
        <v>26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31</v>
      </c>
      <c r="R1" s="13" t="s">
        <v>32</v>
      </c>
      <c r="S1" s="13" t="s">
        <v>33</v>
      </c>
      <c r="T1" s="13" t="s">
        <v>34</v>
      </c>
      <c r="U1" s="13" t="s">
        <v>35</v>
      </c>
      <c r="V1" s="13" t="s">
        <v>36</v>
      </c>
      <c r="W1" s="13" t="s">
        <v>37</v>
      </c>
      <c r="X1" s="13" t="s">
        <v>38</v>
      </c>
      <c r="Y1" s="13" t="s">
        <v>39</v>
      </c>
      <c r="Z1" s="18" t="s">
        <v>40</v>
      </c>
      <c r="AA1" s="18" t="s">
        <v>41</v>
      </c>
      <c r="AB1" s="18" t="s">
        <v>42</v>
      </c>
      <c r="AC1" s="18" t="s">
        <v>43</v>
      </c>
      <c r="AD1" s="18" t="s">
        <v>44</v>
      </c>
      <c r="AE1" s="18" t="s">
        <v>45</v>
      </c>
      <c r="AF1" s="18" t="s">
        <v>46</v>
      </c>
      <c r="AG1" s="18" t="s">
        <v>47</v>
      </c>
      <c r="AH1" s="18" t="s">
        <v>48</v>
      </c>
      <c r="AI1" s="18" t="s">
        <v>49</v>
      </c>
      <c r="AJ1" s="18" t="s">
        <v>50</v>
      </c>
      <c r="AK1" s="18" t="s">
        <v>51</v>
      </c>
      <c r="AL1" s="18" t="s">
        <v>52</v>
      </c>
      <c r="AM1" s="18" t="s">
        <v>53</v>
      </c>
      <c r="AN1" s="18" t="s">
        <v>54</v>
      </c>
      <c r="AO1" s="18" t="s">
        <v>55</v>
      </c>
      <c r="AP1" s="18" t="s">
        <v>56</v>
      </c>
      <c r="AQ1" s="18" t="s">
        <v>57</v>
      </c>
      <c r="AR1" s="13" t="s">
        <v>61</v>
      </c>
      <c r="AS1" s="13" t="s">
        <v>63</v>
      </c>
      <c r="AT1" s="13" t="s">
        <v>65</v>
      </c>
      <c r="AU1" s="13" t="s">
        <v>66</v>
      </c>
      <c r="AV1" s="13" t="s">
        <v>67</v>
      </c>
      <c r="AW1" s="13" t="s">
        <v>69</v>
      </c>
      <c r="AX1" s="92" t="s">
        <v>58</v>
      </c>
      <c r="AY1" s="92" t="s">
        <v>59</v>
      </c>
      <c r="AZ1" s="92" t="s">
        <v>60</v>
      </c>
      <c r="BA1" s="92" t="s">
        <v>62</v>
      </c>
      <c r="BB1" s="92" t="s">
        <v>64</v>
      </c>
      <c r="BC1" s="92" t="s">
        <v>68</v>
      </c>
      <c r="BD1" s="23" t="s">
        <v>70</v>
      </c>
      <c r="BE1" s="23" t="s">
        <v>71</v>
      </c>
      <c r="BF1" s="13" t="s">
        <v>72</v>
      </c>
      <c r="BG1" s="18" t="s">
        <v>73</v>
      </c>
      <c r="BH1" s="18" t="s">
        <v>74</v>
      </c>
      <c r="BI1" s="18" t="s">
        <v>75</v>
      </c>
      <c r="BJ1" s="18" t="s">
        <v>76</v>
      </c>
      <c r="BK1" s="18" t="s">
        <v>77</v>
      </c>
      <c r="BL1" s="18" t="s">
        <v>78</v>
      </c>
    </row>
    <row r="2">
      <c r="A2" s="33">
        <v>1.0</v>
      </c>
      <c r="B2" s="33">
        <v>1.0</v>
      </c>
      <c r="C2" s="31"/>
      <c r="D2" s="33" t="s">
        <v>425</v>
      </c>
      <c r="E2" s="33"/>
      <c r="F2" s="33" t="s">
        <v>425</v>
      </c>
      <c r="G2" s="31"/>
      <c r="H2" s="33" t="s">
        <v>86</v>
      </c>
      <c r="I2" s="33"/>
      <c r="J2" s="33"/>
      <c r="K2" s="33"/>
      <c r="L2" s="39" t="s">
        <v>824</v>
      </c>
      <c r="M2" s="33">
        <v>0.7</v>
      </c>
      <c r="N2" s="33" t="s">
        <v>86</v>
      </c>
      <c r="O2" s="31"/>
      <c r="P2" s="31"/>
      <c r="Q2" s="33"/>
      <c r="R2" s="83" t="s">
        <v>825</v>
      </c>
      <c r="S2" s="33">
        <v>1.0</v>
      </c>
      <c r="T2" s="40" t="s">
        <v>86</v>
      </c>
      <c r="U2" s="33"/>
      <c r="V2" s="33"/>
      <c r="W2" s="33"/>
      <c r="X2" s="39" t="s">
        <v>826</v>
      </c>
      <c r="Y2" s="33">
        <v>0.7</v>
      </c>
      <c r="Z2" s="33" t="s">
        <v>83</v>
      </c>
      <c r="AA2" s="33">
        <v>9911.0</v>
      </c>
      <c r="AB2" s="33" t="s">
        <v>472</v>
      </c>
      <c r="AC2" s="33" t="s">
        <v>827</v>
      </c>
      <c r="AD2" s="33" t="s">
        <v>828</v>
      </c>
      <c r="AE2" s="33">
        <v>1.0</v>
      </c>
      <c r="AF2" s="33" t="s">
        <v>86</v>
      </c>
      <c r="AG2" s="33"/>
      <c r="AH2" s="33"/>
      <c r="AI2" s="33" t="s">
        <v>829</v>
      </c>
      <c r="AJ2" s="83" t="s">
        <v>830</v>
      </c>
      <c r="AK2" s="33">
        <v>1.0</v>
      </c>
      <c r="AL2" s="33" t="s">
        <v>86</v>
      </c>
      <c r="AM2" s="33"/>
      <c r="AN2" s="33"/>
      <c r="AO2" s="33" t="s">
        <v>831</v>
      </c>
      <c r="AP2" s="83" t="s">
        <v>832</v>
      </c>
      <c r="AQ2" s="33">
        <v>1.0</v>
      </c>
      <c r="AR2" s="33" t="s">
        <v>86</v>
      </c>
      <c r="AS2" s="33"/>
      <c r="AT2" s="33"/>
      <c r="AU2" s="33"/>
      <c r="AV2" s="83" t="s">
        <v>833</v>
      </c>
      <c r="AW2" s="33">
        <v>1.0</v>
      </c>
      <c r="AX2" s="33" t="s">
        <v>86</v>
      </c>
      <c r="AY2" s="33"/>
      <c r="AZ2" s="33"/>
      <c r="BA2" s="33" t="s">
        <v>834</v>
      </c>
      <c r="BB2" s="83" t="s">
        <v>835</v>
      </c>
      <c r="BC2" s="33">
        <v>0.5</v>
      </c>
      <c r="BD2" s="33" t="s">
        <v>160</v>
      </c>
      <c r="BE2" s="33" t="s">
        <v>104</v>
      </c>
      <c r="BF2" s="33"/>
      <c r="BG2" s="33" t="s">
        <v>836</v>
      </c>
      <c r="BH2" s="31"/>
      <c r="BI2" s="31"/>
      <c r="BJ2" s="18"/>
      <c r="BK2" s="31"/>
      <c r="BL2" s="84" t="s">
        <v>837</v>
      </c>
    </row>
    <row r="3">
      <c r="A3" s="33">
        <v>2.0</v>
      </c>
      <c r="B3" s="33">
        <v>2.0</v>
      </c>
      <c r="C3" s="31"/>
      <c r="D3" s="33" t="s">
        <v>436</v>
      </c>
      <c r="E3" s="33" t="s">
        <v>437</v>
      </c>
      <c r="F3" s="33" t="s">
        <v>436</v>
      </c>
      <c r="G3" s="31"/>
      <c r="H3" s="33" t="s">
        <v>233</v>
      </c>
      <c r="I3" s="33"/>
      <c r="J3" s="33" t="s">
        <v>838</v>
      </c>
      <c r="K3" s="33" t="s">
        <v>839</v>
      </c>
      <c r="L3" s="39" t="s">
        <v>840</v>
      </c>
      <c r="M3" s="33">
        <v>0.7</v>
      </c>
      <c r="N3" s="33" t="s">
        <v>233</v>
      </c>
      <c r="O3" s="33"/>
      <c r="P3" s="33"/>
      <c r="Q3" s="33" t="s">
        <v>841</v>
      </c>
      <c r="R3" s="39" t="s">
        <v>842</v>
      </c>
      <c r="S3" s="33">
        <v>1.0</v>
      </c>
      <c r="T3" s="33" t="s">
        <v>233</v>
      </c>
      <c r="U3" s="33">
        <v>208.0</v>
      </c>
      <c r="V3" s="33" t="s">
        <v>843</v>
      </c>
      <c r="W3" s="62" t="s">
        <v>844</v>
      </c>
      <c r="X3" s="39" t="s">
        <v>845</v>
      </c>
      <c r="Y3" s="33">
        <v>0.7</v>
      </c>
      <c r="Z3" s="33" t="s">
        <v>83</v>
      </c>
      <c r="AA3" s="33">
        <v>203.73</v>
      </c>
      <c r="AB3" s="33" t="s">
        <v>472</v>
      </c>
      <c r="AC3" s="33" t="s">
        <v>846</v>
      </c>
      <c r="AD3" s="33" t="s">
        <v>847</v>
      </c>
      <c r="AE3" s="33">
        <v>1.0</v>
      </c>
      <c r="AF3" s="33" t="s">
        <v>86</v>
      </c>
      <c r="AG3" s="33"/>
      <c r="AH3" s="33"/>
      <c r="AI3" s="33" t="s">
        <v>829</v>
      </c>
      <c r="AJ3" s="83" t="s">
        <v>848</v>
      </c>
      <c r="AK3" s="33">
        <v>1.0</v>
      </c>
      <c r="AL3" s="33" t="s">
        <v>86</v>
      </c>
      <c r="AM3" s="33"/>
      <c r="AN3" s="33"/>
      <c r="AO3" s="33" t="s">
        <v>849</v>
      </c>
      <c r="AP3" s="83" t="s">
        <v>850</v>
      </c>
      <c r="AQ3" s="33">
        <v>1.0</v>
      </c>
      <c r="AR3" s="33" t="s">
        <v>86</v>
      </c>
      <c r="AS3" s="33"/>
      <c r="AT3" s="33"/>
      <c r="AU3" s="33"/>
      <c r="AV3" s="83" t="s">
        <v>851</v>
      </c>
      <c r="AW3" s="33">
        <v>1.0</v>
      </c>
      <c r="AX3" s="33" t="s">
        <v>86</v>
      </c>
      <c r="AY3" s="33"/>
      <c r="AZ3" s="33"/>
      <c r="BA3" s="33" t="s">
        <v>852</v>
      </c>
      <c r="BB3" s="83" t="s">
        <v>853</v>
      </c>
      <c r="BC3" s="33">
        <v>0.5</v>
      </c>
      <c r="BD3" s="33" t="s">
        <v>160</v>
      </c>
      <c r="BE3" s="33" t="s">
        <v>160</v>
      </c>
      <c r="BF3" s="33"/>
      <c r="BG3" s="33" t="s">
        <v>836</v>
      </c>
      <c r="BH3" s="31"/>
      <c r="BI3" s="31"/>
      <c r="BJ3" s="18"/>
      <c r="BK3" s="31"/>
      <c r="BL3" s="84" t="s">
        <v>854</v>
      </c>
    </row>
    <row r="4">
      <c r="A4" s="33">
        <v>3.0</v>
      </c>
      <c r="B4" s="33">
        <v>3.0</v>
      </c>
      <c r="C4" s="31"/>
      <c r="D4" s="33" t="s">
        <v>445</v>
      </c>
      <c r="E4" s="33" t="s">
        <v>437</v>
      </c>
      <c r="F4" s="33" t="s">
        <v>445</v>
      </c>
      <c r="G4" s="31"/>
      <c r="H4" s="33" t="s">
        <v>86</v>
      </c>
      <c r="I4" s="31"/>
      <c r="J4" s="31"/>
      <c r="K4" s="31"/>
      <c r="L4" s="83" t="s">
        <v>855</v>
      </c>
      <c r="M4" s="33">
        <v>0.7</v>
      </c>
      <c r="N4" s="33" t="s">
        <v>86</v>
      </c>
      <c r="O4" s="31"/>
      <c r="P4" s="31"/>
      <c r="Q4" s="31"/>
      <c r="R4" s="83" t="s">
        <v>856</v>
      </c>
      <c r="S4" s="33">
        <v>1.0</v>
      </c>
      <c r="T4" s="33" t="s">
        <v>86</v>
      </c>
      <c r="U4" s="33"/>
      <c r="V4" s="33"/>
      <c r="W4" s="33"/>
      <c r="X4" s="39" t="s">
        <v>857</v>
      </c>
      <c r="Y4" s="33">
        <v>0.7</v>
      </c>
      <c r="Z4" s="33" t="s">
        <v>83</v>
      </c>
      <c r="AA4" s="33">
        <v>12.94</v>
      </c>
      <c r="AB4" s="33" t="s">
        <v>472</v>
      </c>
      <c r="AC4" s="33" t="s">
        <v>827</v>
      </c>
      <c r="AD4" s="33" t="s">
        <v>858</v>
      </c>
      <c r="AE4" s="33">
        <v>1.0</v>
      </c>
      <c r="AF4" s="33" t="s">
        <v>86</v>
      </c>
      <c r="AG4" s="33"/>
      <c r="AH4" s="33"/>
      <c r="AI4" s="33" t="s">
        <v>829</v>
      </c>
      <c r="AJ4" s="83" t="s">
        <v>859</v>
      </c>
      <c r="AK4" s="33">
        <v>1.0</v>
      </c>
      <c r="AL4" s="33" t="s">
        <v>86</v>
      </c>
      <c r="AM4" s="33"/>
      <c r="AN4" s="33"/>
      <c r="AO4" s="33" t="s">
        <v>860</v>
      </c>
      <c r="AP4" s="83" t="s">
        <v>861</v>
      </c>
      <c r="AQ4" s="33">
        <v>1.0</v>
      </c>
      <c r="AR4" s="33" t="s">
        <v>367</v>
      </c>
      <c r="AS4" s="33"/>
      <c r="AT4" s="33"/>
      <c r="AU4" s="33"/>
      <c r="AV4" s="83" t="s">
        <v>862</v>
      </c>
      <c r="AW4" s="33">
        <v>1.0</v>
      </c>
      <c r="AX4" s="33" t="s">
        <v>86</v>
      </c>
      <c r="AY4" s="33"/>
      <c r="AZ4" s="33"/>
      <c r="BA4" s="33" t="s">
        <v>863</v>
      </c>
      <c r="BB4" s="83" t="s">
        <v>864</v>
      </c>
      <c r="BC4" s="33">
        <v>0.5</v>
      </c>
      <c r="BD4" s="33" t="s">
        <v>160</v>
      </c>
      <c r="BE4" s="33" t="s">
        <v>104</v>
      </c>
      <c r="BF4" s="33"/>
      <c r="BG4" s="33" t="s">
        <v>836</v>
      </c>
      <c r="BH4" s="31"/>
      <c r="BI4" s="31"/>
      <c r="BJ4" s="18"/>
      <c r="BK4" s="31"/>
      <c r="BL4" s="84" t="s">
        <v>865</v>
      </c>
    </row>
    <row r="5">
      <c r="A5" s="33">
        <v>4.0</v>
      </c>
      <c r="B5" s="33">
        <v>4.0</v>
      </c>
      <c r="C5" s="31"/>
      <c r="D5" s="33" t="s">
        <v>449</v>
      </c>
      <c r="E5" s="33" t="s">
        <v>437</v>
      </c>
      <c r="F5" s="33" t="s">
        <v>449</v>
      </c>
      <c r="G5" s="33"/>
      <c r="H5" s="33" t="s">
        <v>86</v>
      </c>
      <c r="I5" s="33"/>
      <c r="J5" s="33"/>
      <c r="K5" s="33"/>
      <c r="L5" s="39" t="s">
        <v>866</v>
      </c>
      <c r="M5" s="33">
        <v>0.7</v>
      </c>
      <c r="N5" s="33" t="s">
        <v>86</v>
      </c>
      <c r="O5" s="31"/>
      <c r="P5" s="31"/>
      <c r="Q5" s="33"/>
      <c r="R5" s="83" t="s">
        <v>867</v>
      </c>
      <c r="S5" s="33">
        <v>1.0</v>
      </c>
      <c r="T5" s="33" t="s">
        <v>86</v>
      </c>
      <c r="U5" s="33"/>
      <c r="V5" s="33"/>
      <c r="W5" s="33"/>
      <c r="X5" s="39" t="s">
        <v>868</v>
      </c>
      <c r="Y5" s="33">
        <v>0.7</v>
      </c>
      <c r="Z5" s="33" t="s">
        <v>83</v>
      </c>
      <c r="AA5" s="33">
        <v>19.99</v>
      </c>
      <c r="AB5" s="33" t="s">
        <v>869</v>
      </c>
      <c r="AC5" s="33" t="s">
        <v>870</v>
      </c>
      <c r="AD5" s="33" t="s">
        <v>871</v>
      </c>
      <c r="AE5" s="33">
        <v>1.0</v>
      </c>
      <c r="AF5" s="33" t="s">
        <v>86</v>
      </c>
      <c r="AG5" s="33"/>
      <c r="AH5" s="33"/>
      <c r="AI5" s="33" t="s">
        <v>829</v>
      </c>
      <c r="AJ5" s="83" t="s">
        <v>872</v>
      </c>
      <c r="AK5" s="33">
        <v>1.0</v>
      </c>
      <c r="AL5" s="33" t="s">
        <v>86</v>
      </c>
      <c r="AM5" s="33"/>
      <c r="AN5" s="33"/>
      <c r="AO5" s="33" t="s">
        <v>873</v>
      </c>
      <c r="AP5" s="83" t="s">
        <v>874</v>
      </c>
      <c r="AQ5" s="33">
        <v>1.0</v>
      </c>
      <c r="AR5" s="33" t="s">
        <v>367</v>
      </c>
      <c r="AS5" s="33"/>
      <c r="AT5" s="33"/>
      <c r="AU5" s="33"/>
      <c r="AV5" s="83" t="s">
        <v>875</v>
      </c>
      <c r="AW5" s="33">
        <v>1.0</v>
      </c>
      <c r="AX5" s="33" t="s">
        <v>86</v>
      </c>
      <c r="AY5" s="33"/>
      <c r="AZ5" s="33"/>
      <c r="BA5" s="33" t="s">
        <v>876</v>
      </c>
      <c r="BB5" s="83" t="s">
        <v>877</v>
      </c>
      <c r="BC5" s="33">
        <v>0.5</v>
      </c>
      <c r="BD5" s="33" t="s">
        <v>160</v>
      </c>
      <c r="BE5" s="33" t="s">
        <v>160</v>
      </c>
      <c r="BF5" s="33"/>
      <c r="BG5" s="33" t="s">
        <v>836</v>
      </c>
      <c r="BH5" s="31"/>
      <c r="BI5" s="31"/>
      <c r="BJ5" s="18"/>
      <c r="BK5" s="31"/>
      <c r="BL5" s="84" t="s">
        <v>878</v>
      </c>
    </row>
    <row r="6">
      <c r="A6" s="33">
        <v>5.0</v>
      </c>
      <c r="B6" s="33">
        <v>5.0</v>
      </c>
      <c r="C6" s="31"/>
      <c r="D6" s="33" t="s">
        <v>458</v>
      </c>
      <c r="E6" s="33" t="s">
        <v>437</v>
      </c>
      <c r="F6" s="33" t="s">
        <v>458</v>
      </c>
      <c r="G6" s="33"/>
      <c r="H6" s="33" t="s">
        <v>86</v>
      </c>
      <c r="I6" s="33"/>
      <c r="J6" s="33"/>
      <c r="K6" s="33"/>
      <c r="L6" s="39" t="s">
        <v>879</v>
      </c>
      <c r="M6" s="33">
        <v>0.7</v>
      </c>
      <c r="N6" s="33" t="s">
        <v>86</v>
      </c>
      <c r="O6" s="33"/>
      <c r="P6" s="33"/>
      <c r="Q6" s="33"/>
      <c r="R6" s="39" t="s">
        <v>880</v>
      </c>
      <c r="S6" s="33">
        <v>1.0</v>
      </c>
      <c r="T6" s="33" t="s">
        <v>86</v>
      </c>
      <c r="U6" s="33"/>
      <c r="V6" s="33"/>
      <c r="W6" s="33"/>
      <c r="X6" s="39" t="s">
        <v>881</v>
      </c>
      <c r="Y6" s="33">
        <v>0.7</v>
      </c>
      <c r="Z6" s="33" t="s">
        <v>83</v>
      </c>
      <c r="AA6" s="33">
        <v>219.27</v>
      </c>
      <c r="AB6" s="33" t="s">
        <v>472</v>
      </c>
      <c r="AC6" s="33" t="s">
        <v>827</v>
      </c>
      <c r="AD6" s="33" t="s">
        <v>882</v>
      </c>
      <c r="AE6" s="33">
        <v>1.0</v>
      </c>
      <c r="AF6" s="33" t="s">
        <v>86</v>
      </c>
      <c r="AG6" s="33"/>
      <c r="AH6" s="33"/>
      <c r="AI6" s="33" t="s">
        <v>829</v>
      </c>
      <c r="AJ6" s="83" t="s">
        <v>883</v>
      </c>
      <c r="AK6" s="33">
        <v>1.0</v>
      </c>
      <c r="AL6" s="33" t="s">
        <v>86</v>
      </c>
      <c r="AM6" s="33"/>
      <c r="AN6" s="33"/>
      <c r="AO6" s="33" t="s">
        <v>884</v>
      </c>
      <c r="AP6" s="83" t="s">
        <v>885</v>
      </c>
      <c r="AQ6" s="33">
        <v>1.0</v>
      </c>
      <c r="AR6" s="33" t="s">
        <v>86</v>
      </c>
      <c r="AS6" s="33"/>
      <c r="AT6" s="33"/>
      <c r="AU6" s="33"/>
      <c r="AV6" s="83" t="s">
        <v>886</v>
      </c>
      <c r="AW6" s="33">
        <v>1.0</v>
      </c>
      <c r="AX6" s="33" t="s">
        <v>86</v>
      </c>
      <c r="AY6" s="33"/>
      <c r="AZ6" s="33"/>
      <c r="BA6" s="33" t="s">
        <v>887</v>
      </c>
      <c r="BB6" s="83" t="s">
        <v>888</v>
      </c>
      <c r="BC6" s="33">
        <v>0.5</v>
      </c>
      <c r="BD6" s="33" t="s">
        <v>160</v>
      </c>
      <c r="BE6" s="33" t="s">
        <v>104</v>
      </c>
      <c r="BF6" s="31"/>
      <c r="BG6" s="33" t="s">
        <v>836</v>
      </c>
      <c r="BH6" s="31"/>
      <c r="BI6" s="31"/>
      <c r="BJ6" s="18"/>
      <c r="BK6" s="31"/>
      <c r="BL6" s="84" t="s">
        <v>889</v>
      </c>
    </row>
    <row r="7">
      <c r="A7" s="33">
        <v>6.0</v>
      </c>
      <c r="B7" s="33">
        <v>6.0</v>
      </c>
      <c r="C7" s="31"/>
      <c r="D7" s="33" t="s">
        <v>464</v>
      </c>
      <c r="E7" s="33" t="s">
        <v>437</v>
      </c>
      <c r="F7" s="33" t="s">
        <v>464</v>
      </c>
      <c r="G7" s="31"/>
      <c r="H7" s="33" t="s">
        <v>86</v>
      </c>
      <c r="I7" s="53"/>
      <c r="J7" s="33"/>
      <c r="K7" s="33"/>
      <c r="L7" s="83" t="s">
        <v>890</v>
      </c>
      <c r="M7" s="33">
        <v>0.7</v>
      </c>
      <c r="N7" s="33" t="s">
        <v>86</v>
      </c>
      <c r="O7" s="53"/>
      <c r="P7" s="33"/>
      <c r="Q7" s="33"/>
      <c r="R7" s="39" t="s">
        <v>891</v>
      </c>
      <c r="S7" s="33">
        <v>1.0</v>
      </c>
      <c r="T7" s="33" t="s">
        <v>86</v>
      </c>
      <c r="U7" s="53"/>
      <c r="V7" s="33"/>
      <c r="W7" s="33"/>
      <c r="X7" s="39" t="s">
        <v>892</v>
      </c>
      <c r="Y7" s="33">
        <v>0.7</v>
      </c>
      <c r="Z7" s="33" t="s">
        <v>83</v>
      </c>
      <c r="AA7" s="33">
        <v>1040.93</v>
      </c>
      <c r="AB7" s="33" t="s">
        <v>472</v>
      </c>
      <c r="AC7" s="33" t="s">
        <v>827</v>
      </c>
      <c r="AD7" s="33" t="s">
        <v>893</v>
      </c>
      <c r="AE7" s="33">
        <v>1.0</v>
      </c>
      <c r="AF7" s="33" t="s">
        <v>86</v>
      </c>
      <c r="AG7" s="33"/>
      <c r="AH7" s="33"/>
      <c r="AI7" s="33" t="s">
        <v>829</v>
      </c>
      <c r="AJ7" s="83" t="s">
        <v>894</v>
      </c>
      <c r="AK7" s="33">
        <v>1.0</v>
      </c>
      <c r="AL7" s="33" t="s">
        <v>86</v>
      </c>
      <c r="AM7" s="33"/>
      <c r="AN7" s="33"/>
      <c r="AO7" s="33" t="s">
        <v>895</v>
      </c>
      <c r="AP7" s="83" t="s">
        <v>896</v>
      </c>
      <c r="AQ7" s="33">
        <v>1.0</v>
      </c>
      <c r="AR7" s="33" t="s">
        <v>86</v>
      </c>
      <c r="AS7" s="33"/>
      <c r="AT7" s="33"/>
      <c r="AU7" s="33"/>
      <c r="AV7" s="83" t="s">
        <v>897</v>
      </c>
      <c r="AW7" s="33">
        <v>1.0</v>
      </c>
      <c r="AX7" s="33" t="s">
        <v>86</v>
      </c>
      <c r="AY7" s="33"/>
      <c r="AZ7" s="33"/>
      <c r="BA7" s="33" t="s">
        <v>898</v>
      </c>
      <c r="BB7" s="83" t="s">
        <v>899</v>
      </c>
      <c r="BC7" s="33">
        <v>0.5</v>
      </c>
      <c r="BD7" s="33" t="s">
        <v>160</v>
      </c>
      <c r="BE7" s="33" t="s">
        <v>104</v>
      </c>
      <c r="BF7" s="33"/>
      <c r="BG7" s="33" t="s">
        <v>836</v>
      </c>
      <c r="BH7" s="31"/>
      <c r="BI7" s="31"/>
      <c r="BJ7" s="18"/>
      <c r="BK7" s="31"/>
      <c r="BL7" s="84" t="s">
        <v>900</v>
      </c>
    </row>
    <row r="8">
      <c r="A8" s="33">
        <v>7.0</v>
      </c>
      <c r="B8" s="33">
        <v>7.0</v>
      </c>
      <c r="C8" s="31"/>
      <c r="D8" s="33" t="s">
        <v>470</v>
      </c>
      <c r="E8" s="33" t="s">
        <v>437</v>
      </c>
      <c r="F8" s="33" t="s">
        <v>470</v>
      </c>
      <c r="G8" s="31"/>
      <c r="H8" s="33" t="s">
        <v>86</v>
      </c>
      <c r="I8" s="33"/>
      <c r="J8" s="33"/>
      <c r="K8" s="33"/>
      <c r="L8" s="39" t="s">
        <v>901</v>
      </c>
      <c r="M8" s="33">
        <v>0.7</v>
      </c>
      <c r="N8" s="33" t="s">
        <v>86</v>
      </c>
      <c r="O8" s="33"/>
      <c r="P8" s="33"/>
      <c r="Q8" s="33"/>
      <c r="R8" s="83" t="s">
        <v>902</v>
      </c>
      <c r="S8" s="33">
        <v>1.0</v>
      </c>
      <c r="T8" s="33" t="s">
        <v>86</v>
      </c>
      <c r="U8" s="33"/>
      <c r="V8" s="33"/>
      <c r="W8" s="33"/>
      <c r="X8" s="39" t="s">
        <v>903</v>
      </c>
      <c r="Y8" s="33">
        <v>0.7</v>
      </c>
      <c r="Z8" s="33" t="s">
        <v>83</v>
      </c>
      <c r="AA8" s="33">
        <v>86.44</v>
      </c>
      <c r="AB8" s="33" t="s">
        <v>472</v>
      </c>
      <c r="AC8" s="33" t="s">
        <v>827</v>
      </c>
      <c r="AD8" s="33" t="s">
        <v>904</v>
      </c>
      <c r="AE8" s="33">
        <v>1.0</v>
      </c>
      <c r="AF8" s="33" t="s">
        <v>86</v>
      </c>
      <c r="AG8" s="33"/>
      <c r="AH8" s="33"/>
      <c r="AI8" s="33" t="s">
        <v>829</v>
      </c>
      <c r="AJ8" s="83" t="s">
        <v>905</v>
      </c>
      <c r="AK8" s="33">
        <v>1.0</v>
      </c>
      <c r="AL8" s="33" t="s">
        <v>86</v>
      </c>
      <c r="AM8" s="33"/>
      <c r="AN8" s="33"/>
      <c r="AO8" s="33" t="s">
        <v>906</v>
      </c>
      <c r="AP8" s="83" t="s">
        <v>907</v>
      </c>
      <c r="AQ8" s="33">
        <v>1.0</v>
      </c>
      <c r="AR8" s="33" t="s">
        <v>86</v>
      </c>
      <c r="AS8" s="33"/>
      <c r="AT8" s="33"/>
      <c r="AU8" s="33"/>
      <c r="AV8" s="83" t="s">
        <v>908</v>
      </c>
      <c r="AW8" s="33">
        <v>1.0</v>
      </c>
      <c r="AX8" s="33" t="s">
        <v>86</v>
      </c>
      <c r="AY8" s="33"/>
      <c r="AZ8" s="33"/>
      <c r="BA8" s="33" t="s">
        <v>909</v>
      </c>
      <c r="BB8" s="83" t="s">
        <v>910</v>
      </c>
      <c r="BC8" s="33">
        <v>0.5</v>
      </c>
      <c r="BD8" s="33" t="s">
        <v>160</v>
      </c>
      <c r="BE8" s="33" t="s">
        <v>104</v>
      </c>
      <c r="BF8" s="31"/>
      <c r="BG8" s="33" t="s">
        <v>836</v>
      </c>
      <c r="BH8" s="31"/>
      <c r="BI8" s="31"/>
      <c r="BJ8" s="18"/>
      <c r="BK8" s="31"/>
      <c r="BL8" s="84" t="s">
        <v>911</v>
      </c>
    </row>
    <row r="9">
      <c r="A9" s="13">
        <v>8.0</v>
      </c>
      <c r="B9" s="13">
        <v>8.0</v>
      </c>
      <c r="C9" s="18"/>
      <c r="D9" s="13" t="s">
        <v>484</v>
      </c>
      <c r="E9" s="33" t="s">
        <v>437</v>
      </c>
      <c r="F9" s="13" t="s">
        <v>484</v>
      </c>
      <c r="G9" s="18"/>
      <c r="H9" s="13" t="s">
        <v>86</v>
      </c>
      <c r="I9" s="13"/>
      <c r="J9" s="13"/>
      <c r="K9" s="13"/>
      <c r="L9" s="88" t="s">
        <v>912</v>
      </c>
      <c r="M9" s="13">
        <v>0.7</v>
      </c>
      <c r="N9" s="13" t="s">
        <v>86</v>
      </c>
      <c r="O9" s="13"/>
      <c r="P9" s="13"/>
      <c r="Q9" s="13"/>
      <c r="R9" s="88" t="s">
        <v>913</v>
      </c>
      <c r="S9" s="13">
        <v>1.0</v>
      </c>
      <c r="T9" s="13" t="s">
        <v>86</v>
      </c>
      <c r="U9" s="13"/>
      <c r="V9" s="13"/>
      <c r="W9" s="13"/>
      <c r="X9" s="88" t="s">
        <v>914</v>
      </c>
      <c r="Y9" s="13">
        <v>0.7</v>
      </c>
      <c r="Z9" s="13" t="s">
        <v>86</v>
      </c>
      <c r="AA9" s="13"/>
      <c r="AB9" s="13"/>
      <c r="AC9" s="13" t="s">
        <v>915</v>
      </c>
      <c r="AD9" s="13" t="s">
        <v>916</v>
      </c>
      <c r="AE9" s="13">
        <v>2.0</v>
      </c>
      <c r="AF9" s="13" t="s">
        <v>86</v>
      </c>
      <c r="AG9" s="13"/>
      <c r="AH9" s="13"/>
      <c r="AI9" s="13" t="s">
        <v>829</v>
      </c>
      <c r="AJ9" s="88" t="s">
        <v>917</v>
      </c>
      <c r="AK9" s="13">
        <v>1.0</v>
      </c>
      <c r="AL9" s="13" t="s">
        <v>86</v>
      </c>
      <c r="AM9" s="13"/>
      <c r="AN9" s="13"/>
      <c r="AO9" s="13" t="s">
        <v>918</v>
      </c>
      <c r="AP9" s="88" t="s">
        <v>919</v>
      </c>
      <c r="AQ9" s="13">
        <v>1.0</v>
      </c>
      <c r="AR9" s="13" t="s">
        <v>86</v>
      </c>
      <c r="AS9" s="13"/>
      <c r="AT9" s="13"/>
      <c r="AU9" s="13"/>
      <c r="AV9" s="88" t="s">
        <v>920</v>
      </c>
      <c r="AW9" s="13">
        <v>1.0</v>
      </c>
      <c r="AX9" s="13" t="s">
        <v>86</v>
      </c>
      <c r="AY9" s="13"/>
      <c r="AZ9" s="13"/>
      <c r="BA9" s="13" t="s">
        <v>921</v>
      </c>
      <c r="BB9" s="88" t="s">
        <v>922</v>
      </c>
      <c r="BC9" s="13">
        <v>1.0</v>
      </c>
      <c r="BD9" s="13" t="s">
        <v>104</v>
      </c>
      <c r="BE9" s="13" t="s">
        <v>104</v>
      </c>
      <c r="BF9" s="18"/>
      <c r="BG9" s="13" t="s">
        <v>923</v>
      </c>
      <c r="BH9" s="18"/>
      <c r="BI9" s="18"/>
      <c r="BJ9" s="18"/>
      <c r="BK9" s="18"/>
      <c r="BL9" s="89" t="s">
        <v>924</v>
      </c>
    </row>
    <row r="10">
      <c r="A10" s="33">
        <v>9.0</v>
      </c>
      <c r="B10" s="33">
        <v>9.0</v>
      </c>
      <c r="C10" s="31"/>
      <c r="D10" s="33" t="s">
        <v>493</v>
      </c>
      <c r="E10" s="33" t="s">
        <v>437</v>
      </c>
      <c r="F10" s="33" t="s">
        <v>493</v>
      </c>
      <c r="G10" s="31"/>
      <c r="H10" s="33" t="s">
        <v>86</v>
      </c>
      <c r="I10" s="33"/>
      <c r="J10" s="33"/>
      <c r="K10" s="33"/>
      <c r="L10" s="83" t="s">
        <v>925</v>
      </c>
      <c r="M10" s="33">
        <v>0.7</v>
      </c>
      <c r="N10" s="33" t="s">
        <v>86</v>
      </c>
      <c r="O10" s="33"/>
      <c r="P10" s="33"/>
      <c r="Q10" s="33"/>
      <c r="R10" s="83" t="s">
        <v>926</v>
      </c>
      <c r="S10" s="33">
        <v>1.0</v>
      </c>
      <c r="T10" s="33" t="s">
        <v>86</v>
      </c>
      <c r="U10" s="33"/>
      <c r="V10" s="33"/>
      <c r="W10" s="33"/>
      <c r="X10" s="83" t="s">
        <v>927</v>
      </c>
      <c r="Y10" s="33">
        <v>0.7</v>
      </c>
      <c r="Z10" s="33" t="s">
        <v>86</v>
      </c>
      <c r="AA10" s="33"/>
      <c r="AB10" s="33"/>
      <c r="AC10" s="33" t="s">
        <v>928</v>
      </c>
      <c r="AD10" s="33" t="s">
        <v>929</v>
      </c>
      <c r="AE10" s="33">
        <v>2.0</v>
      </c>
      <c r="AF10" s="33" t="s">
        <v>86</v>
      </c>
      <c r="AG10" s="33"/>
      <c r="AH10" s="33"/>
      <c r="AI10" s="33" t="s">
        <v>829</v>
      </c>
      <c r="AJ10" s="83" t="s">
        <v>930</v>
      </c>
      <c r="AK10" s="33">
        <v>1.0</v>
      </c>
      <c r="AL10" s="33" t="s">
        <v>86</v>
      </c>
      <c r="AM10" s="33"/>
      <c r="AN10" s="33"/>
      <c r="AO10" s="33" t="s">
        <v>931</v>
      </c>
      <c r="AP10" s="83" t="s">
        <v>932</v>
      </c>
      <c r="AQ10" s="33">
        <v>1.0</v>
      </c>
      <c r="AR10" s="33" t="s">
        <v>86</v>
      </c>
      <c r="AS10" s="33"/>
      <c r="AT10" s="33"/>
      <c r="AU10" s="33"/>
      <c r="AV10" s="83" t="s">
        <v>933</v>
      </c>
      <c r="AW10" s="33">
        <v>1.0</v>
      </c>
      <c r="AX10" s="33" t="s">
        <v>86</v>
      </c>
      <c r="AY10" s="33"/>
      <c r="AZ10" s="33"/>
      <c r="BA10" s="33" t="s">
        <v>921</v>
      </c>
      <c r="BB10" s="83" t="s">
        <v>934</v>
      </c>
      <c r="BC10" s="33">
        <v>1.0</v>
      </c>
      <c r="BD10" s="33" t="s">
        <v>104</v>
      </c>
      <c r="BE10" s="33" t="s">
        <v>104</v>
      </c>
      <c r="BF10" s="90"/>
      <c r="BG10" s="13" t="s">
        <v>923</v>
      </c>
      <c r="BH10" s="31"/>
      <c r="BI10" s="31"/>
      <c r="BJ10" s="18"/>
      <c r="BK10" s="31"/>
      <c r="BL10" s="84" t="s">
        <v>935</v>
      </c>
    </row>
    <row r="11">
      <c r="A11" s="33">
        <v>10.0</v>
      </c>
      <c r="B11" s="33">
        <v>10.0</v>
      </c>
      <c r="C11" s="31"/>
      <c r="D11" s="33" t="s">
        <v>497</v>
      </c>
      <c r="E11" s="33" t="s">
        <v>437</v>
      </c>
      <c r="F11" s="33" t="s">
        <v>497</v>
      </c>
      <c r="G11" s="31"/>
      <c r="H11" s="33" t="s">
        <v>86</v>
      </c>
      <c r="I11" s="33"/>
      <c r="J11" s="33"/>
      <c r="K11" s="33"/>
      <c r="L11" s="39" t="s">
        <v>936</v>
      </c>
      <c r="M11" s="33">
        <v>0.7</v>
      </c>
      <c r="N11" s="33" t="s">
        <v>86</v>
      </c>
      <c r="O11" s="53"/>
      <c r="P11" s="33"/>
      <c r="Q11" s="33"/>
      <c r="R11" s="39" t="s">
        <v>937</v>
      </c>
      <c r="S11" s="33">
        <v>1.0</v>
      </c>
      <c r="T11" s="33" t="s">
        <v>86</v>
      </c>
      <c r="U11" s="33"/>
      <c r="V11" s="33"/>
      <c r="W11" s="33"/>
      <c r="X11" s="39" t="s">
        <v>938</v>
      </c>
      <c r="Y11" s="33">
        <v>0.7</v>
      </c>
      <c r="Z11" s="33" t="s">
        <v>86</v>
      </c>
      <c r="AA11" s="33"/>
      <c r="AB11" s="33"/>
      <c r="AC11" s="33" t="s">
        <v>939</v>
      </c>
      <c r="AD11" s="33" t="s">
        <v>940</v>
      </c>
      <c r="AE11" s="33">
        <v>2.0</v>
      </c>
      <c r="AF11" s="33" t="s">
        <v>86</v>
      </c>
      <c r="AG11" s="33"/>
      <c r="AH11" s="33"/>
      <c r="AI11" s="33" t="s">
        <v>829</v>
      </c>
      <c r="AJ11" s="83" t="s">
        <v>941</v>
      </c>
      <c r="AK11" s="33">
        <v>1.0</v>
      </c>
      <c r="AL11" s="33" t="s">
        <v>86</v>
      </c>
      <c r="AM11" s="33"/>
      <c r="AN11" s="33"/>
      <c r="AO11" s="33" t="s">
        <v>942</v>
      </c>
      <c r="AP11" s="83" t="s">
        <v>943</v>
      </c>
      <c r="AQ11" s="33">
        <v>1.0</v>
      </c>
      <c r="AR11" s="33" t="s">
        <v>86</v>
      </c>
      <c r="AS11" s="33"/>
      <c r="AT11" s="33"/>
      <c r="AU11" s="33"/>
      <c r="AV11" s="83" t="s">
        <v>944</v>
      </c>
      <c r="AW11" s="33">
        <v>1.0</v>
      </c>
      <c r="AX11" s="33" t="s">
        <v>86</v>
      </c>
      <c r="AY11" s="33"/>
      <c r="AZ11" s="33"/>
      <c r="BA11" s="33" t="s">
        <v>921</v>
      </c>
      <c r="BB11" s="83" t="s">
        <v>945</v>
      </c>
      <c r="BC11" s="33">
        <v>1.0</v>
      </c>
      <c r="BD11" s="33" t="s">
        <v>104</v>
      </c>
      <c r="BE11" s="33" t="s">
        <v>104</v>
      </c>
      <c r="BF11" s="31"/>
      <c r="BG11" s="13" t="s">
        <v>923</v>
      </c>
      <c r="BH11" s="31"/>
      <c r="BI11" s="31"/>
      <c r="BJ11" s="18"/>
      <c r="BK11" s="31"/>
      <c r="BL11" s="84" t="s">
        <v>946</v>
      </c>
    </row>
    <row r="12">
      <c r="A12" s="33">
        <v>11.0</v>
      </c>
      <c r="B12" s="33">
        <v>11.0</v>
      </c>
      <c r="C12" s="31"/>
      <c r="D12" s="33" t="s">
        <v>509</v>
      </c>
      <c r="E12" s="33" t="s">
        <v>437</v>
      </c>
      <c r="F12" s="33" t="s">
        <v>509</v>
      </c>
      <c r="G12" s="31"/>
      <c r="H12" s="33" t="s">
        <v>86</v>
      </c>
      <c r="I12" s="33"/>
      <c r="J12" s="33"/>
      <c r="K12" s="33"/>
      <c r="L12" s="39" t="s">
        <v>947</v>
      </c>
      <c r="M12" s="33">
        <v>0.7</v>
      </c>
      <c r="N12" s="33" t="s">
        <v>86</v>
      </c>
      <c r="O12" s="53"/>
      <c r="P12" s="33"/>
      <c r="Q12" s="33"/>
      <c r="R12" s="39" t="s">
        <v>948</v>
      </c>
      <c r="S12" s="33">
        <v>1.0</v>
      </c>
      <c r="T12" s="33" t="s">
        <v>86</v>
      </c>
      <c r="U12" s="33"/>
      <c r="V12" s="33"/>
      <c r="W12" s="33"/>
      <c r="X12" s="39" t="s">
        <v>949</v>
      </c>
      <c r="Y12" s="33">
        <v>0.7</v>
      </c>
      <c r="Z12" s="33" t="s">
        <v>86</v>
      </c>
      <c r="AA12" s="33"/>
      <c r="AB12" s="33"/>
      <c r="AC12" s="33" t="s">
        <v>950</v>
      </c>
      <c r="AD12" s="33" t="s">
        <v>951</v>
      </c>
      <c r="AE12" s="33">
        <v>2.0</v>
      </c>
      <c r="AF12" s="33" t="s">
        <v>86</v>
      </c>
      <c r="AG12" s="33"/>
      <c r="AH12" s="33"/>
      <c r="AI12" s="33" t="s">
        <v>829</v>
      </c>
      <c r="AJ12" s="83" t="s">
        <v>952</v>
      </c>
      <c r="AK12" s="33">
        <v>1.0</v>
      </c>
      <c r="AL12" s="33" t="s">
        <v>86</v>
      </c>
      <c r="AM12" s="33"/>
      <c r="AN12" s="33"/>
      <c r="AO12" s="33" t="s">
        <v>953</v>
      </c>
      <c r="AP12" s="83" t="s">
        <v>954</v>
      </c>
      <c r="AQ12" s="33">
        <v>1.0</v>
      </c>
      <c r="AR12" s="33" t="s">
        <v>86</v>
      </c>
      <c r="AS12" s="33"/>
      <c r="AT12" s="33"/>
      <c r="AU12" s="33"/>
      <c r="AV12" s="83" t="s">
        <v>955</v>
      </c>
      <c r="AW12" s="33">
        <v>1.0</v>
      </c>
      <c r="AX12" s="33" t="s">
        <v>86</v>
      </c>
      <c r="AY12" s="33"/>
      <c r="AZ12" s="33"/>
      <c r="BA12" s="33" t="s">
        <v>921</v>
      </c>
      <c r="BB12" s="83" t="s">
        <v>956</v>
      </c>
      <c r="BC12" s="33">
        <v>1.0</v>
      </c>
      <c r="BD12" s="33" t="s">
        <v>104</v>
      </c>
      <c r="BE12" s="33" t="s">
        <v>104</v>
      </c>
      <c r="BF12" s="31"/>
      <c r="BG12" s="13" t="s">
        <v>923</v>
      </c>
      <c r="BH12" s="31"/>
      <c r="BI12" s="31"/>
      <c r="BJ12" s="18"/>
      <c r="BK12" s="31"/>
      <c r="BL12" s="84" t="s">
        <v>957</v>
      </c>
    </row>
    <row r="13">
      <c r="A13" s="33">
        <v>12.0</v>
      </c>
      <c r="B13" s="33">
        <v>12.0</v>
      </c>
      <c r="C13" s="31"/>
      <c r="D13" s="33" t="s">
        <v>523</v>
      </c>
      <c r="E13" s="33" t="s">
        <v>437</v>
      </c>
      <c r="F13" s="33" t="s">
        <v>523</v>
      </c>
      <c r="G13" s="31"/>
      <c r="H13" s="33" t="s">
        <v>86</v>
      </c>
      <c r="I13" s="31"/>
      <c r="J13" s="31"/>
      <c r="K13" s="33"/>
      <c r="L13" s="83" t="s">
        <v>958</v>
      </c>
      <c r="M13" s="33">
        <v>0.7</v>
      </c>
      <c r="N13" s="33" t="s">
        <v>86</v>
      </c>
      <c r="O13" s="31"/>
      <c r="P13" s="31"/>
      <c r="Q13" s="33"/>
      <c r="R13" s="83" t="s">
        <v>959</v>
      </c>
      <c r="S13" s="33">
        <v>1.0</v>
      </c>
      <c r="T13" s="33" t="s">
        <v>86</v>
      </c>
      <c r="U13" s="31"/>
      <c r="V13" s="31"/>
      <c r="W13" s="33"/>
      <c r="X13" s="83" t="s">
        <v>960</v>
      </c>
      <c r="Y13" s="33">
        <v>0.7</v>
      </c>
      <c r="Z13" s="33" t="s">
        <v>86</v>
      </c>
      <c r="AA13" s="33"/>
      <c r="AB13" s="33"/>
      <c r="AC13" s="33" t="s">
        <v>961</v>
      </c>
      <c r="AD13" s="33" t="s">
        <v>962</v>
      </c>
      <c r="AE13" s="33">
        <v>0.5</v>
      </c>
      <c r="AF13" s="33" t="s">
        <v>86</v>
      </c>
      <c r="AG13" s="31"/>
      <c r="AH13" s="31"/>
      <c r="AI13" s="33" t="s">
        <v>829</v>
      </c>
      <c r="AJ13" s="83" t="s">
        <v>963</v>
      </c>
      <c r="AK13" s="33">
        <v>1.0</v>
      </c>
      <c r="AL13" s="33" t="s">
        <v>86</v>
      </c>
      <c r="AM13" s="31"/>
      <c r="AN13" s="31"/>
      <c r="AO13" s="33" t="s">
        <v>964</v>
      </c>
      <c r="AP13" s="83" t="s">
        <v>965</v>
      </c>
      <c r="AQ13" s="33">
        <v>1.0</v>
      </c>
      <c r="AR13" s="33" t="s">
        <v>86</v>
      </c>
      <c r="AS13" s="31"/>
      <c r="AT13" s="31"/>
      <c r="AU13" s="31"/>
      <c r="AV13" s="83" t="s">
        <v>966</v>
      </c>
      <c r="AW13" s="33">
        <v>1.0</v>
      </c>
      <c r="AX13" s="33" t="s">
        <v>86</v>
      </c>
      <c r="AY13" s="33"/>
      <c r="AZ13" s="33"/>
      <c r="BA13" s="33" t="s">
        <v>967</v>
      </c>
      <c r="BB13" s="83" t="s">
        <v>968</v>
      </c>
      <c r="BC13" s="33">
        <v>0.5</v>
      </c>
      <c r="BD13" s="33" t="s">
        <v>104</v>
      </c>
      <c r="BE13" s="33" t="s">
        <v>104</v>
      </c>
      <c r="BF13" s="31"/>
      <c r="BG13" s="13" t="s">
        <v>923</v>
      </c>
      <c r="BH13" s="31"/>
      <c r="BI13" s="31"/>
      <c r="BJ13" s="18"/>
      <c r="BK13" s="31"/>
      <c r="BL13" s="84" t="s">
        <v>969</v>
      </c>
    </row>
    <row r="14">
      <c r="A14" s="33">
        <v>13.0</v>
      </c>
      <c r="B14" s="33">
        <v>13.0</v>
      </c>
      <c r="C14" s="31"/>
      <c r="D14" s="33" t="s">
        <v>534</v>
      </c>
      <c r="E14" s="33" t="s">
        <v>437</v>
      </c>
      <c r="F14" s="33" t="s">
        <v>534</v>
      </c>
      <c r="G14" s="31"/>
      <c r="H14" s="33" t="s">
        <v>86</v>
      </c>
      <c r="I14" s="33"/>
      <c r="J14" s="33"/>
      <c r="K14" s="33"/>
      <c r="L14" s="39" t="s">
        <v>970</v>
      </c>
      <c r="M14" s="33">
        <v>0.7</v>
      </c>
      <c r="N14" s="33" t="s">
        <v>83</v>
      </c>
      <c r="O14" s="33">
        <v>133.09</v>
      </c>
      <c r="P14" s="33" t="s">
        <v>84</v>
      </c>
      <c r="Q14" s="33" t="s">
        <v>971</v>
      </c>
      <c r="R14" s="39" t="s">
        <v>972</v>
      </c>
      <c r="S14" s="33">
        <v>1.0</v>
      </c>
      <c r="T14" s="33" t="s">
        <v>233</v>
      </c>
      <c r="U14" s="33"/>
      <c r="V14" s="33"/>
      <c r="W14" s="62" t="s">
        <v>973</v>
      </c>
      <c r="X14" s="39" t="s">
        <v>974</v>
      </c>
      <c r="Y14" s="33">
        <v>0.7</v>
      </c>
      <c r="Z14" s="33" t="s">
        <v>86</v>
      </c>
      <c r="AA14" s="33"/>
      <c r="AB14" s="33"/>
      <c r="AC14" s="33" t="s">
        <v>975</v>
      </c>
      <c r="AD14" s="33" t="s">
        <v>976</v>
      </c>
      <c r="AE14" s="33">
        <v>0.5</v>
      </c>
      <c r="AF14" s="33" t="s">
        <v>86</v>
      </c>
      <c r="AG14" s="33"/>
      <c r="AH14" s="33"/>
      <c r="AI14" s="33" t="s">
        <v>829</v>
      </c>
      <c r="AJ14" s="83" t="s">
        <v>977</v>
      </c>
      <c r="AK14" s="33">
        <v>1.0</v>
      </c>
      <c r="AL14" s="33" t="s">
        <v>86</v>
      </c>
      <c r="AM14" s="33"/>
      <c r="AN14" s="33"/>
      <c r="AO14" s="33" t="s">
        <v>978</v>
      </c>
      <c r="AP14" s="83" t="s">
        <v>979</v>
      </c>
      <c r="AQ14" s="33">
        <v>1.0</v>
      </c>
      <c r="AR14" s="33" t="s">
        <v>367</v>
      </c>
      <c r="AS14" s="33"/>
      <c r="AT14" s="33"/>
      <c r="AU14" s="33"/>
      <c r="AV14" s="83" t="s">
        <v>980</v>
      </c>
      <c r="AW14" s="33">
        <v>1.0</v>
      </c>
      <c r="AX14" s="33" t="s">
        <v>86</v>
      </c>
      <c r="AY14" s="33"/>
      <c r="AZ14" s="33"/>
      <c r="BA14" s="33" t="s">
        <v>981</v>
      </c>
      <c r="BB14" s="83" t="s">
        <v>982</v>
      </c>
      <c r="BC14" s="33">
        <v>0.5</v>
      </c>
      <c r="BD14" s="33" t="s">
        <v>160</v>
      </c>
      <c r="BE14" s="33" t="s">
        <v>104</v>
      </c>
      <c r="BF14" s="31"/>
      <c r="BG14" s="13" t="s">
        <v>923</v>
      </c>
      <c r="BH14" s="31"/>
      <c r="BI14" s="31"/>
      <c r="BJ14" s="18"/>
      <c r="BK14" s="31"/>
      <c r="BL14" s="84" t="s">
        <v>983</v>
      </c>
    </row>
    <row r="15">
      <c r="A15" s="33">
        <v>14.0</v>
      </c>
      <c r="B15" s="33">
        <v>14.0</v>
      </c>
      <c r="C15" s="31"/>
      <c r="D15" s="33" t="s">
        <v>545</v>
      </c>
      <c r="E15" s="33" t="s">
        <v>437</v>
      </c>
      <c r="F15" s="33" t="s">
        <v>545</v>
      </c>
      <c r="G15" s="31"/>
      <c r="H15" s="33" t="s">
        <v>86</v>
      </c>
      <c r="I15" s="33"/>
      <c r="J15" s="33"/>
      <c r="K15" s="33"/>
      <c r="L15" s="39" t="s">
        <v>984</v>
      </c>
      <c r="M15" s="33">
        <v>0.7</v>
      </c>
      <c r="N15" s="33" t="s">
        <v>86</v>
      </c>
      <c r="O15" s="33"/>
      <c r="P15" s="33"/>
      <c r="Q15" s="33"/>
      <c r="R15" s="39" t="s">
        <v>985</v>
      </c>
      <c r="S15" s="33">
        <v>1.0</v>
      </c>
      <c r="T15" s="33" t="s">
        <v>86</v>
      </c>
      <c r="U15" s="31"/>
      <c r="V15" s="31"/>
      <c r="W15" s="31"/>
      <c r="X15" s="39" t="s">
        <v>986</v>
      </c>
      <c r="Y15" s="33">
        <v>0.7</v>
      </c>
      <c r="Z15" s="33" t="s">
        <v>86</v>
      </c>
      <c r="AA15" s="33"/>
      <c r="AB15" s="33"/>
      <c r="AC15" s="33" t="s">
        <v>987</v>
      </c>
      <c r="AD15" s="33" t="s">
        <v>988</v>
      </c>
      <c r="AE15" s="33">
        <v>2.0</v>
      </c>
      <c r="AF15" s="33" t="s">
        <v>83</v>
      </c>
      <c r="AG15" s="33">
        <v>893.94</v>
      </c>
      <c r="AH15" s="33" t="s">
        <v>989</v>
      </c>
      <c r="AI15" s="33" t="s">
        <v>990</v>
      </c>
      <c r="AJ15" s="33" t="s">
        <v>991</v>
      </c>
      <c r="AK15" s="33">
        <v>4.0</v>
      </c>
      <c r="AL15" s="33" t="s">
        <v>83</v>
      </c>
      <c r="AM15" s="33">
        <v>956.25</v>
      </c>
      <c r="AN15" s="33" t="s">
        <v>992</v>
      </c>
      <c r="AO15" s="33" t="s">
        <v>993</v>
      </c>
      <c r="AP15" s="33" t="s">
        <v>994</v>
      </c>
      <c r="AQ15" s="33">
        <v>5.0</v>
      </c>
      <c r="AR15" s="33" t="s">
        <v>233</v>
      </c>
      <c r="AS15" s="33"/>
      <c r="AT15" s="33"/>
      <c r="AU15" s="33" t="s">
        <v>995</v>
      </c>
      <c r="AV15" s="83" t="s">
        <v>996</v>
      </c>
      <c r="AW15" s="33">
        <v>1.0</v>
      </c>
      <c r="AX15" s="33" t="s">
        <v>86</v>
      </c>
      <c r="AY15" s="33"/>
      <c r="AZ15" s="33"/>
      <c r="BA15" s="33" t="s">
        <v>997</v>
      </c>
      <c r="BB15" s="33" t="s">
        <v>998</v>
      </c>
      <c r="BC15" s="33">
        <v>0.5</v>
      </c>
      <c r="BD15" s="33" t="s">
        <v>160</v>
      </c>
      <c r="BE15" s="33" t="s">
        <v>160</v>
      </c>
      <c r="BF15" s="31"/>
      <c r="BG15" s="13" t="s">
        <v>923</v>
      </c>
      <c r="BH15" s="31"/>
      <c r="BI15" s="31"/>
      <c r="BJ15" s="18"/>
      <c r="BK15" s="31"/>
      <c r="BL15" s="84" t="s">
        <v>999</v>
      </c>
    </row>
    <row r="16">
      <c r="A16" s="33">
        <v>15.0</v>
      </c>
      <c r="B16" s="33">
        <v>15.0</v>
      </c>
      <c r="C16" s="31"/>
      <c r="D16" s="33" t="s">
        <v>497</v>
      </c>
      <c r="E16" s="33" t="s">
        <v>437</v>
      </c>
      <c r="F16" s="33" t="s">
        <v>497</v>
      </c>
      <c r="G16" s="31"/>
      <c r="H16" s="33" t="s">
        <v>86</v>
      </c>
      <c r="I16" s="33"/>
      <c r="J16" s="33"/>
      <c r="K16" s="33"/>
      <c r="L16" s="39" t="s">
        <v>936</v>
      </c>
      <c r="M16" s="33">
        <v>0.7</v>
      </c>
      <c r="N16" s="33" t="s">
        <v>86</v>
      </c>
      <c r="O16" s="31"/>
      <c r="P16" s="31"/>
      <c r="Q16" s="31"/>
      <c r="R16" s="83" t="s">
        <v>937</v>
      </c>
      <c r="S16" s="33">
        <v>1.0</v>
      </c>
      <c r="T16" s="33" t="s">
        <v>86</v>
      </c>
      <c r="U16" s="31"/>
      <c r="V16" s="31"/>
      <c r="W16" s="31"/>
      <c r="X16" s="39" t="s">
        <v>938</v>
      </c>
      <c r="Y16" s="33">
        <v>0.7</v>
      </c>
      <c r="Z16" s="33" t="s">
        <v>86</v>
      </c>
      <c r="AA16" s="33"/>
      <c r="AB16" s="33"/>
      <c r="AC16" s="33" t="s">
        <v>939</v>
      </c>
      <c r="AD16" s="33" t="s">
        <v>940</v>
      </c>
      <c r="AE16" s="33">
        <v>0.0</v>
      </c>
      <c r="AF16" s="33" t="s">
        <v>86</v>
      </c>
      <c r="AG16" s="33"/>
      <c r="AH16" s="33"/>
      <c r="AI16" s="33" t="s">
        <v>829</v>
      </c>
      <c r="AJ16" s="83" t="s">
        <v>941</v>
      </c>
      <c r="AK16" s="33">
        <v>1.0</v>
      </c>
      <c r="AL16" s="33" t="s">
        <v>86</v>
      </c>
      <c r="AM16" s="33"/>
      <c r="AN16" s="33"/>
      <c r="AO16" s="33" t="s">
        <v>942</v>
      </c>
      <c r="AP16" s="83" t="s">
        <v>943</v>
      </c>
      <c r="AQ16" s="33">
        <v>1.0</v>
      </c>
      <c r="AR16" s="33" t="s">
        <v>86</v>
      </c>
      <c r="AS16" s="33"/>
      <c r="AT16" s="33"/>
      <c r="AU16" s="33"/>
      <c r="AV16" s="83" t="s">
        <v>944</v>
      </c>
      <c r="AW16" s="33">
        <v>1.0</v>
      </c>
      <c r="AX16" s="33" t="s">
        <v>86</v>
      </c>
      <c r="AY16" s="33"/>
      <c r="AZ16" s="33"/>
      <c r="BA16" s="33" t="s">
        <v>1000</v>
      </c>
      <c r="BB16" s="83" t="s">
        <v>945</v>
      </c>
      <c r="BC16" s="33">
        <v>0.0</v>
      </c>
      <c r="BD16" s="33" t="s">
        <v>104</v>
      </c>
      <c r="BE16" s="33" t="s">
        <v>104</v>
      </c>
      <c r="BF16" s="31"/>
      <c r="BG16" s="13" t="s">
        <v>923</v>
      </c>
      <c r="BH16" s="31"/>
      <c r="BI16" s="31"/>
      <c r="BJ16" s="18"/>
      <c r="BK16" s="31"/>
      <c r="BL16" s="84" t="s">
        <v>1001</v>
      </c>
    </row>
    <row r="17">
      <c r="A17" s="33">
        <v>16.0</v>
      </c>
      <c r="B17" s="33">
        <v>16.0</v>
      </c>
      <c r="C17" s="31"/>
      <c r="D17" s="33" t="s">
        <v>557</v>
      </c>
      <c r="E17" s="33" t="s">
        <v>437</v>
      </c>
      <c r="F17" s="33" t="s">
        <v>557</v>
      </c>
      <c r="G17" s="31"/>
      <c r="H17" s="33" t="s">
        <v>86</v>
      </c>
      <c r="I17" s="33"/>
      <c r="J17" s="33"/>
      <c r="K17" s="33"/>
      <c r="L17" s="40" t="s">
        <v>1002</v>
      </c>
      <c r="M17" s="33">
        <v>0.7</v>
      </c>
      <c r="N17" s="33" t="s">
        <v>86</v>
      </c>
      <c r="O17" s="31"/>
      <c r="P17" s="31"/>
      <c r="Q17" s="33"/>
      <c r="R17" s="83" t="s">
        <v>1003</v>
      </c>
      <c r="S17" s="33">
        <v>1.0</v>
      </c>
      <c r="T17" s="33" t="s">
        <v>86</v>
      </c>
      <c r="U17" s="33"/>
      <c r="V17" s="33"/>
      <c r="W17" s="33"/>
      <c r="X17" s="39" t="s">
        <v>1004</v>
      </c>
      <c r="Y17" s="33">
        <v>0.7</v>
      </c>
      <c r="Z17" s="33" t="s">
        <v>86</v>
      </c>
      <c r="AA17" s="33"/>
      <c r="AB17" s="33"/>
      <c r="AC17" s="33" t="s">
        <v>1005</v>
      </c>
      <c r="AD17" s="33" t="s">
        <v>1006</v>
      </c>
      <c r="AE17" s="33">
        <v>0.5</v>
      </c>
      <c r="AF17" s="33" t="s">
        <v>86</v>
      </c>
      <c r="AG17" s="31"/>
      <c r="AH17" s="31"/>
      <c r="AI17" s="33" t="s">
        <v>829</v>
      </c>
      <c r="AJ17" s="83" t="s">
        <v>1007</v>
      </c>
      <c r="AK17" s="33">
        <v>1.0</v>
      </c>
      <c r="AL17" s="33" t="s">
        <v>86</v>
      </c>
      <c r="AM17" s="31"/>
      <c r="AN17" s="31"/>
      <c r="AO17" s="33" t="s">
        <v>1008</v>
      </c>
      <c r="AP17" s="83" t="s">
        <v>1009</v>
      </c>
      <c r="AQ17" s="33">
        <v>1.0</v>
      </c>
      <c r="AR17" s="33" t="s">
        <v>86</v>
      </c>
      <c r="AS17" s="31"/>
      <c r="AT17" s="31"/>
      <c r="AU17" s="31"/>
      <c r="AV17" s="83" t="s">
        <v>1010</v>
      </c>
      <c r="AW17" s="33">
        <v>1.0</v>
      </c>
      <c r="AX17" s="33" t="s">
        <v>86</v>
      </c>
      <c r="AY17" s="33"/>
      <c r="AZ17" s="33"/>
      <c r="BA17" s="33" t="s">
        <v>1011</v>
      </c>
      <c r="BB17" s="83" t="s">
        <v>1012</v>
      </c>
      <c r="BC17" s="33">
        <v>0.5</v>
      </c>
      <c r="BD17" s="33" t="s">
        <v>104</v>
      </c>
      <c r="BE17" s="33" t="s">
        <v>104</v>
      </c>
      <c r="BF17" s="31"/>
      <c r="BG17" s="13" t="s">
        <v>923</v>
      </c>
      <c r="BH17" s="31"/>
      <c r="BI17" s="31"/>
      <c r="BJ17" s="18"/>
      <c r="BK17" s="31"/>
      <c r="BL17" s="84" t="s">
        <v>1013</v>
      </c>
    </row>
    <row r="18">
      <c r="A18" s="33">
        <v>17.0</v>
      </c>
      <c r="B18" s="33">
        <v>17.0</v>
      </c>
      <c r="C18" s="31"/>
      <c r="D18" s="33" t="s">
        <v>558</v>
      </c>
      <c r="E18" s="33" t="s">
        <v>437</v>
      </c>
      <c r="F18" s="33" t="s">
        <v>558</v>
      </c>
      <c r="G18" s="31"/>
      <c r="H18" s="33" t="s">
        <v>233</v>
      </c>
      <c r="I18" s="53"/>
      <c r="J18" s="33" t="s">
        <v>838</v>
      </c>
      <c r="K18" s="33" t="s">
        <v>1014</v>
      </c>
      <c r="L18" s="40" t="s">
        <v>1015</v>
      </c>
      <c r="M18" s="33">
        <v>0.7</v>
      </c>
      <c r="N18" s="33" t="s">
        <v>83</v>
      </c>
      <c r="O18" s="33">
        <v>11.5</v>
      </c>
      <c r="P18" s="33" t="s">
        <v>84</v>
      </c>
      <c r="Q18" s="33" t="s">
        <v>1016</v>
      </c>
      <c r="R18" s="39" t="s">
        <v>1017</v>
      </c>
      <c r="S18" s="33">
        <v>1.0</v>
      </c>
      <c r="T18" s="33" t="s">
        <v>83</v>
      </c>
      <c r="U18" s="33">
        <v>20.89</v>
      </c>
      <c r="V18" s="33" t="s">
        <v>843</v>
      </c>
      <c r="W18" s="33" t="s">
        <v>1018</v>
      </c>
      <c r="X18" s="39" t="s">
        <v>1019</v>
      </c>
      <c r="Y18" s="33">
        <v>0.7</v>
      </c>
      <c r="Z18" s="33" t="s">
        <v>83</v>
      </c>
      <c r="AA18" s="33">
        <v>12.29</v>
      </c>
      <c r="AB18" s="33" t="s">
        <v>472</v>
      </c>
      <c r="AC18" s="33" t="s">
        <v>827</v>
      </c>
      <c r="AD18" s="33" t="s">
        <v>1020</v>
      </c>
      <c r="AE18" s="33">
        <v>1.0</v>
      </c>
      <c r="AF18" s="33" t="s">
        <v>83</v>
      </c>
      <c r="AG18" s="33">
        <v>12.39</v>
      </c>
      <c r="AH18" s="33" t="s">
        <v>1021</v>
      </c>
      <c r="AI18" s="33" t="s">
        <v>1022</v>
      </c>
      <c r="AJ18" s="33" t="s">
        <v>1023</v>
      </c>
      <c r="AK18" s="33">
        <v>3.0</v>
      </c>
      <c r="AL18" s="33" t="s">
        <v>83</v>
      </c>
      <c r="AM18" s="33">
        <v>12.25</v>
      </c>
      <c r="AN18" s="33" t="s">
        <v>1024</v>
      </c>
      <c r="AO18" s="33" t="s">
        <v>1025</v>
      </c>
      <c r="AP18" s="33" t="s">
        <v>1026</v>
      </c>
      <c r="AQ18" s="33">
        <v>3.0</v>
      </c>
      <c r="AR18" s="33" t="s">
        <v>367</v>
      </c>
      <c r="AS18" s="33"/>
      <c r="AT18" s="33"/>
      <c r="AU18" s="33"/>
      <c r="AV18" s="83" t="s">
        <v>1027</v>
      </c>
      <c r="AW18" s="33">
        <v>1.0</v>
      </c>
      <c r="AX18" s="33" t="s">
        <v>233</v>
      </c>
      <c r="AY18" s="33"/>
      <c r="AZ18" s="33"/>
      <c r="BA18" s="33" t="s">
        <v>1028</v>
      </c>
      <c r="BB18" s="33" t="s">
        <v>1029</v>
      </c>
      <c r="BC18" s="33">
        <v>0.5</v>
      </c>
      <c r="BD18" s="33" t="s">
        <v>160</v>
      </c>
      <c r="BE18" s="33" t="s">
        <v>160</v>
      </c>
      <c r="BF18" s="31"/>
      <c r="BG18" s="13" t="s">
        <v>923</v>
      </c>
      <c r="BH18" s="31"/>
      <c r="BI18" s="31"/>
      <c r="BJ18" s="18"/>
      <c r="BK18" s="31"/>
      <c r="BL18" s="84" t="s">
        <v>1030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dataValidations>
    <dataValidation type="list" allowBlank="1" sqref="H2:H18 N2:N18 T2:T18">
      <formula1>"Found,Carried but zero stock,Couldn't find by search,Not carried,Not checked"</formula1>
    </dataValidation>
    <dataValidation type="list" allowBlank="1" sqref="BK2:BK18">
      <formula1>"Daily,Weekly,Monthly"</formula1>
    </dataValidation>
    <dataValidation type="list" allowBlank="1" sqref="BH2:BI18">
      <formula1>"Yes,No"</formula1>
    </dataValidation>
  </dataValidations>
  <hyperlinks>
    <hyperlink r:id="rId1" ref="L2"/>
    <hyperlink r:id="rId2" ref="R2"/>
    <hyperlink r:id="rId3" ref="X2"/>
    <hyperlink r:id="rId4" ref="AJ2"/>
    <hyperlink r:id="rId5" ref="AP2"/>
    <hyperlink r:id="rId6" ref="AV2"/>
    <hyperlink r:id="rId7" ref="BB2"/>
    <hyperlink r:id="rId8" ref="L3"/>
    <hyperlink r:id="rId9" ref="R3"/>
    <hyperlink r:id="rId10" ref="X3"/>
    <hyperlink r:id="rId11" ref="AJ3"/>
    <hyperlink r:id="rId12" ref="AP3"/>
    <hyperlink r:id="rId13" ref="AV3"/>
    <hyperlink r:id="rId14" ref="BB3"/>
    <hyperlink r:id="rId15" ref="L4"/>
    <hyperlink r:id="rId16" ref="R4"/>
    <hyperlink r:id="rId17" ref="X4"/>
    <hyperlink r:id="rId18" ref="AJ4"/>
    <hyperlink r:id="rId19" ref="AP4"/>
    <hyperlink r:id="rId20" ref="AV4"/>
    <hyperlink r:id="rId21" ref="BB4"/>
    <hyperlink r:id="rId22" ref="L5"/>
    <hyperlink r:id="rId23" ref="R5"/>
    <hyperlink r:id="rId24" ref="X5"/>
    <hyperlink r:id="rId25" ref="AJ5"/>
    <hyperlink r:id="rId26" ref="AP5"/>
    <hyperlink r:id="rId27" ref="AV5"/>
    <hyperlink r:id="rId28" ref="BB5"/>
    <hyperlink r:id="rId29" ref="L6"/>
    <hyperlink r:id="rId30" ref="R6"/>
    <hyperlink r:id="rId31" ref="X6"/>
    <hyperlink r:id="rId32" ref="AJ6"/>
    <hyperlink r:id="rId33" ref="AP6"/>
    <hyperlink r:id="rId34" ref="AV6"/>
    <hyperlink r:id="rId35" ref="BB6"/>
    <hyperlink r:id="rId36" ref="L7"/>
    <hyperlink r:id="rId37" ref="R7"/>
    <hyperlink r:id="rId38" ref="X7"/>
    <hyperlink r:id="rId39" ref="AJ7"/>
    <hyperlink r:id="rId40" ref="AP7"/>
    <hyperlink r:id="rId41" ref="AV7"/>
    <hyperlink r:id="rId42" ref="BB7"/>
    <hyperlink r:id="rId43" ref="L8"/>
    <hyperlink r:id="rId44" ref="R8"/>
    <hyperlink r:id="rId45" ref="X8"/>
    <hyperlink r:id="rId46" ref="AJ8"/>
    <hyperlink r:id="rId47" ref="AP8"/>
    <hyperlink r:id="rId48" ref="AV8"/>
    <hyperlink r:id="rId49" ref="BB8"/>
    <hyperlink r:id="rId50" ref="L9"/>
    <hyperlink r:id="rId51" ref="R9"/>
    <hyperlink r:id="rId52" ref="X9"/>
    <hyperlink r:id="rId53" ref="AJ9"/>
    <hyperlink r:id="rId54" ref="AP9"/>
    <hyperlink r:id="rId55" ref="AV9"/>
    <hyperlink r:id="rId56" ref="BB9"/>
    <hyperlink r:id="rId57" ref="L10"/>
    <hyperlink r:id="rId58" ref="R10"/>
    <hyperlink r:id="rId59" ref="X10"/>
    <hyperlink r:id="rId60" ref="AJ10"/>
    <hyperlink r:id="rId61" ref="AP10"/>
    <hyperlink r:id="rId62" ref="AV10"/>
    <hyperlink r:id="rId63" ref="BB10"/>
    <hyperlink r:id="rId64" ref="L11"/>
    <hyperlink r:id="rId65" ref="R11"/>
    <hyperlink r:id="rId66" ref="X11"/>
    <hyperlink r:id="rId67" ref="AJ11"/>
    <hyperlink r:id="rId68" ref="AP11"/>
    <hyperlink r:id="rId69" ref="AV11"/>
    <hyperlink r:id="rId70" ref="BB11"/>
    <hyperlink r:id="rId71" ref="L12"/>
    <hyperlink r:id="rId72" ref="R12"/>
    <hyperlink r:id="rId73" ref="X12"/>
    <hyperlink r:id="rId74" ref="AJ12"/>
    <hyperlink r:id="rId75" ref="AP12"/>
    <hyperlink r:id="rId76" ref="AV12"/>
    <hyperlink r:id="rId77" ref="BB12"/>
    <hyperlink r:id="rId78" ref="L13"/>
    <hyperlink r:id="rId79" ref="R13"/>
    <hyperlink r:id="rId80" ref="X13"/>
    <hyperlink r:id="rId81" ref="AJ13"/>
    <hyperlink r:id="rId82" ref="AP13"/>
    <hyperlink r:id="rId83" ref="AV13"/>
    <hyperlink r:id="rId84" ref="BB13"/>
    <hyperlink r:id="rId85" ref="L14"/>
    <hyperlink r:id="rId86" ref="R14"/>
    <hyperlink r:id="rId87" ref="X14"/>
    <hyperlink r:id="rId88" ref="AJ14"/>
    <hyperlink r:id="rId89" ref="AP14"/>
    <hyperlink r:id="rId90" ref="AV14"/>
    <hyperlink r:id="rId91" ref="BB14"/>
    <hyperlink r:id="rId92" ref="L15"/>
    <hyperlink r:id="rId93" ref="R15"/>
    <hyperlink r:id="rId94" ref="X15"/>
    <hyperlink r:id="rId95" ref="AV15"/>
    <hyperlink r:id="rId96" ref="L16"/>
    <hyperlink r:id="rId97" ref="R16"/>
    <hyperlink r:id="rId98" ref="X16"/>
    <hyperlink r:id="rId99" ref="AJ16"/>
    <hyperlink r:id="rId100" ref="AP16"/>
    <hyperlink r:id="rId101" ref="AV16"/>
    <hyperlink r:id="rId102" ref="BB16"/>
    <hyperlink r:id="rId103" ref="R17"/>
    <hyperlink r:id="rId104" ref="X17"/>
    <hyperlink r:id="rId105" ref="AJ17"/>
    <hyperlink r:id="rId106" ref="AP17"/>
    <hyperlink r:id="rId107" ref="AV17"/>
    <hyperlink r:id="rId108" ref="BB17"/>
    <hyperlink r:id="rId109" ref="R18"/>
    <hyperlink r:id="rId110" ref="X18"/>
    <hyperlink r:id="rId111" ref="AV18"/>
  </hyperlinks>
  <printOptions/>
  <pageMargins bottom="1.0" footer="0.0" header="0.0" left="0.75" right="0.75" top="1.0"/>
  <pageSetup orientation="landscape"/>
  <drawing r:id="rId11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5.0"/>
    <col customWidth="1" min="2" max="2" width="9.0"/>
    <col customWidth="1" min="3" max="3" width="24.0"/>
    <col customWidth="1" min="4" max="4" width="40.0"/>
    <col customWidth="1" min="5" max="5" width="34.0"/>
    <col customWidth="1" min="6" max="6" width="28.0"/>
    <col customWidth="1" min="7" max="7" width="7.0"/>
    <col customWidth="1" min="8" max="8" width="16.0"/>
    <col customWidth="1" min="9" max="9" width="10.0"/>
    <col customWidth="1" min="10" max="10" width="8.0"/>
    <col customWidth="1" min="11" max="11" width="34.0"/>
    <col customWidth="1" min="12" max="12" width="30.0"/>
    <col customWidth="1" min="13" max="13" width="8.0"/>
    <col customWidth="1" min="14" max="14" width="16.0"/>
    <col customWidth="1" min="15" max="15" width="10.0"/>
    <col customWidth="1" min="16" max="16" width="8.0"/>
    <col customWidth="1" min="17" max="17" width="34.0"/>
    <col customWidth="1" min="18" max="18" width="30.0"/>
    <col customWidth="1" min="19" max="19" width="8.0"/>
    <col customWidth="1" min="20" max="20" width="16.0"/>
    <col customWidth="1" min="21" max="21" width="10.0"/>
    <col customWidth="1" min="22" max="22" width="8.0"/>
    <col customWidth="1" min="23" max="23" width="34.0"/>
    <col customWidth="1" min="24" max="24" width="30.0"/>
    <col customWidth="1" min="25" max="49" width="25.71"/>
    <col customWidth="1" min="50" max="51" width="33.14"/>
    <col customWidth="1" min="52" max="52" width="31.29"/>
    <col customWidth="1" min="53" max="53" width="26.0"/>
    <col customWidth="1" min="54" max="54" width="16.0"/>
    <col customWidth="1" min="55" max="55" width="14.0"/>
    <col customWidth="1" min="56" max="56" width="26.0"/>
    <col customWidth="1" min="57" max="57" width="20.0"/>
    <col customWidth="1" min="58" max="58" width="40.0"/>
  </cols>
  <sheetData>
    <row r="1" ht="75.0" customHeight="1">
      <c r="A1" s="11" t="s">
        <v>16</v>
      </c>
      <c r="B1" s="11" t="s">
        <v>17</v>
      </c>
      <c r="C1" s="11" t="s">
        <v>18</v>
      </c>
      <c r="D1" s="11" t="s">
        <v>19</v>
      </c>
      <c r="E1" s="30" t="s">
        <v>561</v>
      </c>
      <c r="F1" s="11" t="s">
        <v>20</v>
      </c>
      <c r="G1" s="11" t="s">
        <v>21</v>
      </c>
      <c r="H1" s="13" t="s">
        <v>58</v>
      </c>
      <c r="I1" s="13" t="s">
        <v>59</v>
      </c>
      <c r="J1" s="13" t="s">
        <v>60</v>
      </c>
      <c r="K1" s="13" t="s">
        <v>62</v>
      </c>
      <c r="L1" s="13" t="s">
        <v>64</v>
      </c>
      <c r="M1" s="13" t="s">
        <v>68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3"/>
      <c r="AS1" s="13"/>
      <c r="AT1" s="13"/>
      <c r="AU1" s="13"/>
      <c r="AV1" s="13"/>
      <c r="AW1" s="13"/>
      <c r="AX1" s="23"/>
      <c r="AY1" s="23"/>
      <c r="AZ1" s="13"/>
      <c r="BA1" s="18"/>
      <c r="BB1" s="18"/>
      <c r="BC1" s="18"/>
      <c r="BD1" s="18"/>
      <c r="BE1" s="18"/>
      <c r="BF1" s="18"/>
    </row>
    <row r="2">
      <c r="A2" s="31">
        <v>1.0</v>
      </c>
      <c r="B2" s="31">
        <v>1.0</v>
      </c>
      <c r="C2" s="31" t="s">
        <v>80</v>
      </c>
      <c r="D2" s="31" t="s">
        <v>81</v>
      </c>
      <c r="E2" s="33" t="s">
        <v>1032</v>
      </c>
      <c r="F2" s="33" t="s">
        <v>1033</v>
      </c>
      <c r="G2" s="31"/>
      <c r="H2" s="33" t="s">
        <v>233</v>
      </c>
      <c r="I2" s="33">
        <v>4093.18</v>
      </c>
      <c r="J2" s="33" t="s">
        <v>84</v>
      </c>
      <c r="K2" s="33" t="s">
        <v>1034</v>
      </c>
      <c r="L2" s="40" t="s">
        <v>1035</v>
      </c>
      <c r="M2" s="33"/>
      <c r="N2" s="33"/>
      <c r="O2" s="31"/>
      <c r="P2" s="31"/>
      <c r="Q2" s="33"/>
      <c r="R2" s="33"/>
      <c r="S2" s="33"/>
      <c r="T2" s="40"/>
      <c r="U2" s="33"/>
      <c r="V2" s="33"/>
      <c r="W2" s="33"/>
      <c r="X2" s="40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1"/>
      <c r="BA2" s="31"/>
      <c r="BB2" s="31"/>
      <c r="BC2" s="31"/>
      <c r="BD2" s="18"/>
      <c r="BE2" s="31"/>
      <c r="BF2" s="31"/>
    </row>
    <row r="3">
      <c r="A3" s="31">
        <v>2.0</v>
      </c>
      <c r="B3" s="31"/>
      <c r="C3" s="31" t="s">
        <v>80</v>
      </c>
      <c r="D3" s="31" t="s">
        <v>89</v>
      </c>
      <c r="E3" s="33" t="s">
        <v>1036</v>
      </c>
      <c r="F3" s="33" t="s">
        <v>90</v>
      </c>
      <c r="G3" s="31"/>
      <c r="H3" s="33" t="s">
        <v>83</v>
      </c>
      <c r="I3" s="33">
        <v>21.85</v>
      </c>
      <c r="J3" s="33" t="s">
        <v>84</v>
      </c>
      <c r="K3" s="33" t="s">
        <v>1037</v>
      </c>
      <c r="L3" s="40" t="s">
        <v>1038</v>
      </c>
      <c r="M3" s="33"/>
      <c r="N3" s="33"/>
      <c r="O3" s="33"/>
      <c r="P3" s="33"/>
      <c r="Q3" s="33"/>
      <c r="R3" s="40"/>
      <c r="S3" s="33"/>
      <c r="T3" s="33"/>
      <c r="U3" s="33"/>
      <c r="V3" s="33"/>
      <c r="W3" s="33"/>
      <c r="X3" s="40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1"/>
      <c r="BB3" s="31"/>
      <c r="BC3" s="31"/>
      <c r="BD3" s="18"/>
      <c r="BE3" s="31"/>
      <c r="BF3" s="31"/>
    </row>
    <row r="4">
      <c r="A4" s="31">
        <v>3.0</v>
      </c>
      <c r="B4" s="31"/>
      <c r="C4" s="31" t="s">
        <v>80</v>
      </c>
      <c r="D4" s="31" t="s">
        <v>97</v>
      </c>
      <c r="E4" s="33" t="s">
        <v>1039</v>
      </c>
      <c r="F4" s="33" t="s">
        <v>99</v>
      </c>
      <c r="G4" s="31"/>
      <c r="H4" s="33" t="s">
        <v>233</v>
      </c>
      <c r="I4" s="33">
        <v>9.42</v>
      </c>
      <c r="J4" s="33" t="s">
        <v>84</v>
      </c>
      <c r="K4" s="33" t="s">
        <v>1034</v>
      </c>
      <c r="L4" s="83" t="s">
        <v>1040</v>
      </c>
      <c r="M4" s="33"/>
      <c r="N4" s="33"/>
      <c r="O4" s="31"/>
      <c r="P4" s="31"/>
      <c r="Q4" s="31"/>
      <c r="R4" s="33"/>
      <c r="S4" s="33"/>
      <c r="T4" s="33"/>
      <c r="U4" s="33"/>
      <c r="V4" s="33"/>
      <c r="W4" s="33"/>
      <c r="X4" s="40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1"/>
      <c r="BB4" s="31"/>
      <c r="BC4" s="31"/>
      <c r="BD4" s="18"/>
      <c r="BE4" s="31"/>
      <c r="BF4" s="31"/>
    </row>
    <row r="5">
      <c r="A5" s="31">
        <v>4.0</v>
      </c>
      <c r="B5" s="31"/>
      <c r="C5" s="31" t="s">
        <v>80</v>
      </c>
      <c r="D5" s="31" t="s">
        <v>97</v>
      </c>
      <c r="E5" s="33" t="s">
        <v>1041</v>
      </c>
      <c r="F5" s="33" t="s">
        <v>1042</v>
      </c>
      <c r="G5" s="33"/>
      <c r="H5" s="33" t="s">
        <v>83</v>
      </c>
      <c r="I5" s="33">
        <v>18.96</v>
      </c>
      <c r="J5" s="33" t="s">
        <v>84</v>
      </c>
      <c r="K5" s="33" t="s">
        <v>1043</v>
      </c>
      <c r="L5" s="40" t="s">
        <v>1044</v>
      </c>
      <c r="M5" s="33"/>
      <c r="N5" s="33"/>
      <c r="O5" s="31"/>
      <c r="P5" s="31"/>
      <c r="Q5" s="33"/>
      <c r="R5" s="33"/>
      <c r="S5" s="33"/>
      <c r="T5" s="33"/>
      <c r="U5" s="33"/>
      <c r="V5" s="33"/>
      <c r="W5" s="33"/>
      <c r="X5" s="40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1"/>
      <c r="BB5" s="31"/>
      <c r="BC5" s="31"/>
      <c r="BD5" s="18"/>
      <c r="BE5" s="31"/>
      <c r="BF5" s="31"/>
    </row>
    <row r="6">
      <c r="A6" s="31">
        <v>5.0</v>
      </c>
      <c r="B6" s="31"/>
      <c r="C6" s="31" t="s">
        <v>80</v>
      </c>
      <c r="D6" s="31" t="s">
        <v>97</v>
      </c>
      <c r="E6" s="33" t="s">
        <v>1045</v>
      </c>
      <c r="F6" s="33" t="s">
        <v>103</v>
      </c>
      <c r="G6" s="33"/>
      <c r="H6" s="33" t="s">
        <v>233</v>
      </c>
      <c r="I6" s="33">
        <v>35.14</v>
      </c>
      <c r="J6" s="33" t="s">
        <v>84</v>
      </c>
      <c r="K6" s="33" t="s">
        <v>1034</v>
      </c>
      <c r="L6" s="39" t="s">
        <v>1046</v>
      </c>
      <c r="M6" s="33"/>
      <c r="N6" s="33"/>
      <c r="O6" s="33"/>
      <c r="P6" s="33"/>
      <c r="Q6" s="33"/>
      <c r="R6" s="40"/>
      <c r="S6" s="33"/>
      <c r="T6" s="33"/>
      <c r="U6" s="33"/>
      <c r="V6" s="33"/>
      <c r="W6" s="33"/>
      <c r="X6" s="40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1"/>
      <c r="BA6" s="31"/>
      <c r="BB6" s="31"/>
      <c r="BC6" s="31"/>
      <c r="BD6" s="18"/>
      <c r="BE6" s="31"/>
      <c r="BF6" s="31"/>
    </row>
    <row r="7">
      <c r="A7" s="31">
        <v>6.0</v>
      </c>
      <c r="B7" s="31"/>
      <c r="C7" s="31" t="s">
        <v>80</v>
      </c>
      <c r="D7" s="31" t="s">
        <v>105</v>
      </c>
      <c r="E7" s="33" t="s">
        <v>1047</v>
      </c>
      <c r="F7" s="33" t="s">
        <v>1048</v>
      </c>
      <c r="G7" s="31"/>
      <c r="H7" s="33" t="s">
        <v>83</v>
      </c>
      <c r="I7" s="53">
        <v>9.69</v>
      </c>
      <c r="J7" s="33" t="s">
        <v>84</v>
      </c>
      <c r="K7" s="33" t="s">
        <v>1049</v>
      </c>
      <c r="L7" s="83" t="s">
        <v>1050</v>
      </c>
      <c r="M7" s="33"/>
      <c r="N7" s="33"/>
      <c r="O7" s="53"/>
      <c r="P7" s="33"/>
      <c r="Q7" s="33"/>
      <c r="R7" s="40"/>
      <c r="S7" s="33"/>
      <c r="T7" s="33"/>
      <c r="U7" s="53"/>
      <c r="V7" s="33"/>
      <c r="W7" s="33"/>
      <c r="X7" s="40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1"/>
      <c r="BB7" s="31"/>
      <c r="BC7" s="31"/>
      <c r="BD7" s="18"/>
      <c r="BE7" s="31"/>
      <c r="BF7" s="31"/>
    </row>
    <row r="8">
      <c r="A8" s="31"/>
      <c r="B8" s="31"/>
      <c r="C8" s="31"/>
      <c r="D8" s="31"/>
      <c r="E8" s="33"/>
      <c r="F8" s="31"/>
      <c r="G8" s="31"/>
      <c r="H8" s="33"/>
      <c r="I8" s="33"/>
      <c r="J8" s="33"/>
      <c r="K8" s="33"/>
      <c r="L8" s="40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40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1"/>
      <c r="BA8" s="31"/>
      <c r="BB8" s="31"/>
      <c r="BC8" s="31"/>
      <c r="BD8" s="18"/>
      <c r="BE8" s="31"/>
      <c r="BF8" s="31"/>
    </row>
    <row r="9">
      <c r="A9" s="31"/>
      <c r="B9" s="31"/>
      <c r="C9" s="31"/>
      <c r="D9" s="31"/>
      <c r="E9" s="33"/>
      <c r="F9" s="31"/>
      <c r="G9" s="31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1"/>
      <c r="BA9" s="31"/>
      <c r="BB9" s="31"/>
      <c r="BC9" s="31"/>
      <c r="BD9" s="18"/>
      <c r="BE9" s="31"/>
      <c r="BF9" s="31"/>
    </row>
    <row r="10">
      <c r="A10" s="31"/>
      <c r="B10" s="31"/>
      <c r="C10" s="31"/>
      <c r="D10" s="31"/>
      <c r="E10" s="33"/>
      <c r="F10" s="31"/>
      <c r="G10" s="31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1"/>
      <c r="BA10" s="31"/>
      <c r="BB10" s="31"/>
      <c r="BC10" s="31"/>
      <c r="BD10" s="18"/>
      <c r="BE10" s="31"/>
      <c r="BF10" s="31"/>
    </row>
    <row r="11">
      <c r="A11" s="31"/>
      <c r="B11" s="31"/>
      <c r="C11" s="31"/>
      <c r="D11" s="31"/>
      <c r="E11" s="33"/>
      <c r="F11" s="31"/>
      <c r="G11" s="31"/>
      <c r="H11" s="33"/>
      <c r="I11" s="33"/>
      <c r="J11" s="33"/>
      <c r="K11" s="33"/>
      <c r="L11" s="40"/>
      <c r="M11" s="33"/>
      <c r="N11" s="33"/>
      <c r="O11" s="53"/>
      <c r="P11" s="33"/>
      <c r="Q11" s="33"/>
      <c r="R11" s="40"/>
      <c r="S11" s="33"/>
      <c r="T11" s="33"/>
      <c r="U11" s="33"/>
      <c r="V11" s="33"/>
      <c r="W11" s="33"/>
      <c r="X11" s="40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1"/>
      <c r="BA11" s="31"/>
      <c r="BB11" s="31"/>
      <c r="BC11" s="31"/>
      <c r="BD11" s="18"/>
      <c r="BE11" s="31"/>
      <c r="BF11" s="31"/>
    </row>
    <row r="12">
      <c r="A12" s="31"/>
      <c r="B12" s="31"/>
      <c r="C12" s="31"/>
      <c r="D12" s="31"/>
      <c r="E12" s="33"/>
      <c r="F12" s="31"/>
      <c r="G12" s="31"/>
      <c r="H12" s="33"/>
      <c r="I12" s="33"/>
      <c r="J12" s="33"/>
      <c r="K12" s="33"/>
      <c r="L12" s="40"/>
      <c r="M12" s="33"/>
      <c r="N12" s="33"/>
      <c r="O12" s="53"/>
      <c r="P12" s="33"/>
      <c r="Q12" s="33"/>
      <c r="R12" s="40"/>
      <c r="S12" s="33"/>
      <c r="T12" s="33"/>
      <c r="U12" s="33"/>
      <c r="V12" s="33"/>
      <c r="W12" s="33"/>
      <c r="X12" s="40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1"/>
      <c r="BA12" s="31"/>
      <c r="BB12" s="31"/>
      <c r="BC12" s="31"/>
      <c r="BD12" s="18"/>
      <c r="BE12" s="31"/>
      <c r="BF12" s="31"/>
    </row>
    <row r="13">
      <c r="A13" s="31"/>
      <c r="B13" s="31"/>
      <c r="C13" s="31"/>
      <c r="D13" s="31"/>
      <c r="E13" s="33"/>
      <c r="F13" s="31"/>
      <c r="G13" s="31"/>
      <c r="H13" s="33"/>
      <c r="I13" s="31"/>
      <c r="J13" s="31"/>
      <c r="K13" s="33"/>
      <c r="L13" s="33"/>
      <c r="M13" s="33"/>
      <c r="N13" s="33"/>
      <c r="O13" s="31"/>
      <c r="P13" s="31"/>
      <c r="Q13" s="33"/>
      <c r="R13" s="33"/>
      <c r="S13" s="33"/>
      <c r="T13" s="33"/>
      <c r="U13" s="31"/>
      <c r="V13" s="31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1"/>
      <c r="AH13" s="31"/>
      <c r="AI13" s="33"/>
      <c r="AJ13" s="33"/>
      <c r="AK13" s="33"/>
      <c r="AL13" s="33"/>
      <c r="AM13" s="31"/>
      <c r="AN13" s="31"/>
      <c r="AO13" s="33"/>
      <c r="AP13" s="33"/>
      <c r="AQ13" s="33"/>
      <c r="AR13" s="33"/>
      <c r="AS13" s="31"/>
      <c r="AT13" s="31"/>
      <c r="AU13" s="31"/>
      <c r="AV13" s="33"/>
      <c r="AW13" s="33"/>
      <c r="AX13" s="33"/>
      <c r="AY13" s="33"/>
      <c r="AZ13" s="31"/>
      <c r="BA13" s="31"/>
      <c r="BB13" s="31"/>
      <c r="BC13" s="31"/>
      <c r="BD13" s="18"/>
      <c r="BE13" s="31"/>
      <c r="BF13" s="31"/>
    </row>
    <row r="14">
      <c r="A14" s="31"/>
      <c r="B14" s="31"/>
      <c r="C14" s="31"/>
      <c r="D14" s="31"/>
      <c r="E14" s="33"/>
      <c r="F14" s="31"/>
      <c r="G14" s="31"/>
      <c r="H14" s="33"/>
      <c r="I14" s="33"/>
      <c r="J14" s="33"/>
      <c r="K14" s="33"/>
      <c r="L14" s="40"/>
      <c r="M14" s="33"/>
      <c r="N14" s="33"/>
      <c r="O14" s="33"/>
      <c r="P14" s="33"/>
      <c r="Q14" s="33"/>
      <c r="R14" s="40"/>
      <c r="S14" s="33"/>
      <c r="T14" s="33"/>
      <c r="U14" s="33"/>
      <c r="V14" s="33"/>
      <c r="W14" s="33"/>
      <c r="X14" s="40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1"/>
      <c r="BA14" s="31"/>
      <c r="BB14" s="31"/>
      <c r="BC14" s="31"/>
      <c r="BD14" s="18"/>
      <c r="BE14" s="31"/>
      <c r="BF14" s="31"/>
    </row>
    <row r="15">
      <c r="A15" s="31"/>
      <c r="B15" s="31"/>
      <c r="C15" s="31"/>
      <c r="D15" s="31"/>
      <c r="E15" s="33"/>
      <c r="F15" s="31"/>
      <c r="G15" s="31"/>
      <c r="H15" s="33"/>
      <c r="I15" s="33"/>
      <c r="J15" s="33"/>
      <c r="K15" s="33"/>
      <c r="L15" s="40"/>
      <c r="M15" s="33"/>
      <c r="N15" s="33"/>
      <c r="O15" s="33"/>
      <c r="P15" s="33"/>
      <c r="Q15" s="33"/>
      <c r="R15" s="40"/>
      <c r="S15" s="33"/>
      <c r="T15" s="33"/>
      <c r="U15" s="31"/>
      <c r="V15" s="31"/>
      <c r="W15" s="31"/>
      <c r="X15" s="40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1"/>
      <c r="BA15" s="31"/>
      <c r="BB15" s="31"/>
      <c r="BC15" s="31"/>
      <c r="BD15" s="18"/>
      <c r="BE15" s="31"/>
      <c r="BF15" s="31"/>
    </row>
    <row r="16">
      <c r="A16" s="31"/>
      <c r="B16" s="31"/>
      <c r="C16" s="31"/>
      <c r="D16" s="31"/>
      <c r="E16" s="33"/>
      <c r="F16" s="31"/>
      <c r="G16" s="31"/>
      <c r="H16" s="33"/>
      <c r="I16" s="33"/>
      <c r="J16" s="33"/>
      <c r="K16" s="33"/>
      <c r="L16" s="40"/>
      <c r="M16" s="33"/>
      <c r="N16" s="33"/>
      <c r="O16" s="31"/>
      <c r="P16" s="31"/>
      <c r="Q16" s="31"/>
      <c r="R16" s="33"/>
      <c r="S16" s="33"/>
      <c r="T16" s="33"/>
      <c r="U16" s="31"/>
      <c r="V16" s="31"/>
      <c r="W16" s="31"/>
      <c r="X16" s="40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1"/>
      <c r="BA16" s="31"/>
      <c r="BB16" s="31"/>
      <c r="BC16" s="31"/>
      <c r="BD16" s="18"/>
      <c r="BE16" s="31"/>
      <c r="BF16" s="31"/>
    </row>
    <row r="17">
      <c r="A17" s="31"/>
      <c r="B17" s="31"/>
      <c r="C17" s="31"/>
      <c r="D17" s="31"/>
      <c r="E17" s="33"/>
      <c r="F17" s="31"/>
      <c r="G17" s="31"/>
      <c r="H17" s="33"/>
      <c r="I17" s="33"/>
      <c r="J17" s="33"/>
      <c r="K17" s="33"/>
      <c r="L17" s="40"/>
      <c r="M17" s="33"/>
      <c r="N17" s="33"/>
      <c r="O17" s="31"/>
      <c r="P17" s="31"/>
      <c r="Q17" s="33"/>
      <c r="R17" s="33"/>
      <c r="S17" s="33"/>
      <c r="T17" s="33"/>
      <c r="U17" s="33"/>
      <c r="V17" s="33"/>
      <c r="W17" s="33"/>
      <c r="X17" s="40"/>
      <c r="Y17" s="33"/>
      <c r="Z17" s="33"/>
      <c r="AA17" s="33"/>
      <c r="AB17" s="33"/>
      <c r="AC17" s="33"/>
      <c r="AD17" s="33"/>
      <c r="AE17" s="33"/>
      <c r="AF17" s="33"/>
      <c r="AG17" s="31"/>
      <c r="AH17" s="31"/>
      <c r="AI17" s="31"/>
      <c r="AJ17" s="33"/>
      <c r="AK17" s="33"/>
      <c r="AL17" s="33"/>
      <c r="AM17" s="31"/>
      <c r="AN17" s="31"/>
      <c r="AO17" s="31"/>
      <c r="AP17" s="33"/>
      <c r="AQ17" s="33"/>
      <c r="AR17" s="33"/>
      <c r="AS17" s="31"/>
      <c r="AT17" s="31"/>
      <c r="AU17" s="31"/>
      <c r="AV17" s="33"/>
      <c r="AW17" s="33"/>
      <c r="AX17" s="33"/>
      <c r="AY17" s="33"/>
      <c r="AZ17" s="31"/>
      <c r="BA17" s="31"/>
      <c r="BB17" s="31"/>
      <c r="BC17" s="31"/>
      <c r="BD17" s="18"/>
      <c r="BE17" s="31"/>
      <c r="BF17" s="31"/>
    </row>
    <row r="18">
      <c r="A18" s="31"/>
      <c r="B18" s="31"/>
      <c r="C18" s="31"/>
      <c r="D18" s="31"/>
      <c r="E18" s="33"/>
      <c r="F18" s="31"/>
      <c r="G18" s="31"/>
      <c r="H18" s="33"/>
      <c r="I18" s="53"/>
      <c r="J18" s="33"/>
      <c r="K18" s="33"/>
      <c r="L18" s="40"/>
      <c r="M18" s="33"/>
      <c r="N18" s="33"/>
      <c r="O18" s="31"/>
      <c r="P18" s="31"/>
      <c r="Q18" s="33"/>
      <c r="R18" s="40"/>
      <c r="S18" s="33"/>
      <c r="T18" s="33"/>
      <c r="U18" s="33"/>
      <c r="V18" s="33"/>
      <c r="W18" s="33"/>
      <c r="X18" s="40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1"/>
      <c r="BA18" s="31"/>
      <c r="BB18" s="31"/>
      <c r="BC18" s="31"/>
      <c r="BD18" s="18"/>
      <c r="BE18" s="31"/>
      <c r="BF18" s="31"/>
    </row>
    <row r="19">
      <c r="A19" s="31"/>
      <c r="B19" s="31"/>
      <c r="C19" s="31"/>
      <c r="D19" s="31"/>
      <c r="E19" s="33"/>
      <c r="F19" s="31"/>
      <c r="G19" s="31"/>
      <c r="H19" s="33"/>
      <c r="I19" s="53"/>
      <c r="J19" s="33"/>
      <c r="K19" s="33"/>
      <c r="L19" s="40"/>
      <c r="M19" s="33"/>
      <c r="N19" s="33"/>
      <c r="O19" s="33"/>
      <c r="P19" s="33"/>
      <c r="Q19" s="33"/>
      <c r="R19" s="40"/>
      <c r="S19" s="33"/>
      <c r="T19" s="33"/>
      <c r="U19" s="33"/>
      <c r="V19" s="33"/>
      <c r="W19" s="33"/>
      <c r="X19" s="40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1"/>
      <c r="BA19" s="31"/>
      <c r="BB19" s="31"/>
      <c r="BC19" s="31"/>
      <c r="BD19" s="18"/>
      <c r="BE19" s="31"/>
      <c r="BF19" s="31"/>
    </row>
    <row r="20" ht="15.75" customHeight="1">
      <c r="A20" s="31"/>
    </row>
    <row r="21" ht="15.75" customHeight="1">
      <c r="A21" s="31"/>
    </row>
    <row r="22" ht="15.75" customHeight="1">
      <c r="A22" s="31"/>
    </row>
    <row r="23" ht="15.75" customHeight="1">
      <c r="A23" s="31"/>
    </row>
    <row r="24" ht="15.75" customHeight="1">
      <c r="A24" s="31"/>
    </row>
    <row r="25" ht="15.75" customHeight="1">
      <c r="A25" s="31"/>
    </row>
    <row r="26" ht="15.75" customHeight="1">
      <c r="A26" s="3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dataValidations>
    <dataValidation type="list" allowBlank="1" sqref="H2:H19 N2:N19 T2:T19">
      <formula1>"Found,Carried but zero stock,Couldn't find by search,Not carried,Not checked"</formula1>
    </dataValidation>
    <dataValidation type="list" allowBlank="1" sqref="BE2:BE19">
      <formula1>"Daily,Weekly,Monthly"</formula1>
    </dataValidation>
    <dataValidation type="list" allowBlank="1" sqref="BB2:BC19">
      <formula1>"Yes,No"</formula1>
    </dataValidation>
  </dataValidations>
  <hyperlinks>
    <hyperlink r:id="rId1" ref="L4"/>
    <hyperlink r:id="rId2" ref="L6"/>
    <hyperlink r:id="rId3" ref="L7"/>
  </hyperlinks>
  <printOptions/>
  <pageMargins bottom="1.0" footer="0.0" header="0.0" left="0.75" right="0.75" top="1.0"/>
  <pageSetup orientation="landscape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5.0"/>
    <col customWidth="1" min="2" max="2" width="9.0"/>
    <col customWidth="1" min="3" max="3" width="24.0"/>
    <col customWidth="1" min="4" max="4" width="40.0"/>
    <col customWidth="1" min="5" max="5" width="34.0"/>
    <col customWidth="1" min="6" max="6" width="28.0"/>
    <col customWidth="1" min="7" max="7" width="7.0"/>
    <col customWidth="1" min="8" max="8" width="16.0"/>
    <col customWidth="1" min="9" max="9" width="10.0"/>
    <col customWidth="1" min="10" max="10" width="8.0"/>
    <col customWidth="1" min="11" max="11" width="34.0"/>
    <col customWidth="1" min="12" max="12" width="30.0"/>
    <col customWidth="1" min="13" max="13" width="8.0"/>
    <col customWidth="1" min="14" max="14" width="16.0"/>
    <col customWidth="1" min="15" max="15" width="10.0"/>
    <col customWidth="1" min="16" max="16" width="8.0"/>
    <col customWidth="1" min="17" max="17" width="34.0"/>
    <col customWidth="1" min="18" max="18" width="30.0"/>
    <col customWidth="1" min="19" max="19" width="8.0"/>
    <col customWidth="1" min="20" max="20" width="16.0"/>
    <col customWidth="1" min="21" max="21" width="10.0"/>
    <col customWidth="1" min="22" max="22" width="8.0"/>
    <col customWidth="1" min="23" max="23" width="34.0"/>
    <col customWidth="1" min="24" max="24" width="30.0"/>
    <col customWidth="1" min="25" max="49" width="25.71"/>
    <col customWidth="1" min="50" max="51" width="33.14"/>
    <col customWidth="1" min="52" max="52" width="31.29"/>
    <col customWidth="1" min="53" max="53" width="26.0"/>
    <col customWidth="1" min="54" max="54" width="16.0"/>
    <col customWidth="1" min="55" max="55" width="14.0"/>
    <col customWidth="1" min="56" max="56" width="26.0"/>
    <col customWidth="1" min="57" max="57" width="20.0"/>
    <col customWidth="1" min="58" max="58" width="40.0"/>
  </cols>
  <sheetData>
    <row r="1" ht="75.0" customHeight="1">
      <c r="A1" s="11" t="s">
        <v>16</v>
      </c>
      <c r="B1" s="11" t="s">
        <v>17</v>
      </c>
      <c r="C1" s="11" t="s">
        <v>18</v>
      </c>
      <c r="D1" s="11" t="s">
        <v>19</v>
      </c>
      <c r="E1" s="30" t="s">
        <v>561</v>
      </c>
      <c r="F1" s="11" t="s">
        <v>20</v>
      </c>
      <c r="G1" s="11" t="s">
        <v>21</v>
      </c>
      <c r="H1" s="13" t="s">
        <v>1053</v>
      </c>
      <c r="I1" s="13" t="s">
        <v>1054</v>
      </c>
      <c r="J1" s="13" t="s">
        <v>1055</v>
      </c>
      <c r="K1" s="13" t="s">
        <v>1056</v>
      </c>
      <c r="L1" s="13" t="s">
        <v>1057</v>
      </c>
      <c r="M1" s="13" t="s">
        <v>1058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3"/>
      <c r="AS1" s="13"/>
      <c r="AT1" s="13"/>
      <c r="AU1" s="13"/>
      <c r="AV1" s="13"/>
      <c r="AW1" s="13"/>
      <c r="AX1" s="23"/>
      <c r="AY1" s="23"/>
      <c r="AZ1" s="13"/>
      <c r="BA1" s="18"/>
      <c r="BB1" s="18"/>
      <c r="BC1" s="18"/>
      <c r="BD1" s="18"/>
      <c r="BE1" s="18"/>
      <c r="BF1" s="18"/>
    </row>
    <row r="2">
      <c r="A2" s="33">
        <v>1.0</v>
      </c>
      <c r="B2" s="33" t="s">
        <v>1059</v>
      </c>
      <c r="C2" s="33" t="s">
        <v>1060</v>
      </c>
      <c r="D2" s="33" t="s">
        <v>1061</v>
      </c>
      <c r="E2" s="33"/>
      <c r="F2" s="33" t="s">
        <v>1062</v>
      </c>
      <c r="G2" s="33">
        <v>1.0</v>
      </c>
      <c r="H2" s="33"/>
      <c r="I2" s="33"/>
      <c r="J2" s="33"/>
      <c r="K2" s="33"/>
      <c r="L2" s="40" t="s">
        <v>1063</v>
      </c>
      <c r="M2" s="33"/>
      <c r="N2" s="33"/>
      <c r="O2" s="31"/>
      <c r="P2" s="31"/>
      <c r="Q2" s="33"/>
      <c r="R2" s="33"/>
      <c r="S2" s="33"/>
      <c r="T2" s="40"/>
      <c r="U2" s="33"/>
      <c r="V2" s="33"/>
      <c r="W2" s="33"/>
      <c r="X2" s="40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1"/>
      <c r="BA2" s="31"/>
      <c r="BB2" s="31"/>
      <c r="BC2" s="31"/>
      <c r="BD2" s="18"/>
      <c r="BE2" s="31"/>
      <c r="BF2" s="31"/>
    </row>
    <row r="3">
      <c r="A3" s="33">
        <v>2.0</v>
      </c>
      <c r="B3" s="33" t="s">
        <v>1064</v>
      </c>
      <c r="C3" s="33" t="s">
        <v>1060</v>
      </c>
      <c r="D3" s="33" t="s">
        <v>1065</v>
      </c>
      <c r="E3" s="33"/>
      <c r="F3" s="33" t="s">
        <v>1066</v>
      </c>
      <c r="G3" s="33">
        <v>1.0</v>
      </c>
      <c r="H3" s="33"/>
      <c r="I3" s="33"/>
      <c r="J3" s="33"/>
      <c r="K3" s="33"/>
      <c r="L3" s="40" t="s">
        <v>1067</v>
      </c>
      <c r="M3" s="33"/>
      <c r="N3" s="33"/>
      <c r="O3" s="33"/>
      <c r="P3" s="33"/>
      <c r="Q3" s="33"/>
      <c r="R3" s="40"/>
      <c r="S3" s="33"/>
      <c r="T3" s="33"/>
      <c r="U3" s="33"/>
      <c r="V3" s="33"/>
      <c r="W3" s="33"/>
      <c r="X3" s="40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1"/>
      <c r="BB3" s="31"/>
      <c r="BC3" s="31"/>
      <c r="BD3" s="18"/>
      <c r="BE3" s="31"/>
      <c r="BF3" s="31"/>
    </row>
    <row r="4">
      <c r="A4" s="33">
        <v>3.0</v>
      </c>
      <c r="B4" s="33" t="s">
        <v>1068</v>
      </c>
      <c r="C4" s="33" t="s">
        <v>1069</v>
      </c>
      <c r="D4" s="33" t="s">
        <v>1070</v>
      </c>
      <c r="E4" s="33"/>
      <c r="F4" s="33"/>
      <c r="G4" s="33">
        <v>1.0</v>
      </c>
      <c r="H4" s="33"/>
      <c r="I4" s="33"/>
      <c r="J4" s="33"/>
      <c r="K4" s="33"/>
      <c r="L4" s="33" t="s">
        <v>1071</v>
      </c>
      <c r="M4" s="33"/>
      <c r="N4" s="33"/>
      <c r="O4" s="31"/>
      <c r="P4" s="31"/>
      <c r="Q4" s="31"/>
      <c r="R4" s="33"/>
      <c r="S4" s="33"/>
      <c r="T4" s="33"/>
      <c r="U4" s="33"/>
      <c r="V4" s="33"/>
      <c r="W4" s="33"/>
      <c r="X4" s="40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1"/>
      <c r="BB4" s="31"/>
      <c r="BC4" s="31"/>
      <c r="BD4" s="18"/>
      <c r="BE4" s="31"/>
      <c r="BF4" s="31"/>
    </row>
    <row r="5">
      <c r="A5" s="33">
        <v>4.0</v>
      </c>
      <c r="B5" s="33" t="s">
        <v>1072</v>
      </c>
      <c r="C5" s="33" t="s">
        <v>1069</v>
      </c>
      <c r="D5" s="33" t="s">
        <v>1073</v>
      </c>
      <c r="E5" s="33"/>
      <c r="F5" s="33"/>
      <c r="G5" s="33">
        <v>1.0</v>
      </c>
      <c r="H5" s="33"/>
      <c r="I5" s="33"/>
      <c r="J5" s="33"/>
      <c r="K5" s="33"/>
      <c r="L5" s="40" t="s">
        <v>1074</v>
      </c>
      <c r="M5" s="33"/>
      <c r="N5" s="33"/>
      <c r="O5" s="31"/>
      <c r="P5" s="31"/>
      <c r="Q5" s="33"/>
      <c r="R5" s="33"/>
      <c r="S5" s="33"/>
      <c r="T5" s="33"/>
      <c r="U5" s="33"/>
      <c r="V5" s="33"/>
      <c r="W5" s="33"/>
      <c r="X5" s="40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1"/>
      <c r="BB5" s="31"/>
      <c r="BC5" s="31"/>
      <c r="BD5" s="18"/>
      <c r="BE5" s="31"/>
      <c r="BF5" s="31"/>
    </row>
    <row r="6">
      <c r="A6" s="31"/>
      <c r="B6" s="31"/>
      <c r="C6" s="31"/>
      <c r="D6" s="31"/>
      <c r="E6" s="33"/>
      <c r="F6" s="33"/>
      <c r="G6" s="33"/>
      <c r="H6" s="33"/>
      <c r="I6" s="33"/>
      <c r="J6" s="33"/>
      <c r="K6" s="33"/>
      <c r="L6" s="40"/>
      <c r="M6" s="33"/>
      <c r="N6" s="33"/>
      <c r="O6" s="33"/>
      <c r="P6" s="33"/>
      <c r="Q6" s="33"/>
      <c r="R6" s="40"/>
      <c r="S6" s="33"/>
      <c r="T6" s="33"/>
      <c r="U6" s="33"/>
      <c r="V6" s="33"/>
      <c r="W6" s="33"/>
      <c r="X6" s="40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1"/>
      <c r="BA6" s="31"/>
      <c r="BB6" s="31"/>
      <c r="BC6" s="31"/>
      <c r="BD6" s="18"/>
      <c r="BE6" s="31"/>
      <c r="BF6" s="31"/>
    </row>
    <row r="7">
      <c r="A7" s="31"/>
      <c r="B7" s="31"/>
      <c r="C7" s="31"/>
      <c r="D7" s="31"/>
      <c r="E7" s="33"/>
      <c r="F7" s="33"/>
      <c r="G7" s="31"/>
      <c r="H7" s="33"/>
      <c r="I7" s="53"/>
      <c r="J7" s="33"/>
      <c r="K7" s="33"/>
      <c r="L7" s="33"/>
      <c r="M7" s="33"/>
      <c r="N7" s="33"/>
      <c r="O7" s="53"/>
      <c r="P7" s="33"/>
      <c r="Q7" s="33"/>
      <c r="R7" s="40"/>
      <c r="S7" s="33"/>
      <c r="T7" s="33"/>
      <c r="U7" s="53"/>
      <c r="V7" s="33"/>
      <c r="W7" s="33"/>
      <c r="X7" s="40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1"/>
      <c r="BB7" s="31"/>
      <c r="BC7" s="31"/>
      <c r="BD7" s="18"/>
      <c r="BE7" s="31"/>
      <c r="BF7" s="31"/>
    </row>
    <row r="8">
      <c r="A8" s="31"/>
      <c r="B8" s="31"/>
      <c r="C8" s="31"/>
      <c r="D8" s="31"/>
      <c r="E8" s="33"/>
      <c r="F8" s="31"/>
      <c r="G8" s="31"/>
      <c r="H8" s="33"/>
      <c r="I8" s="33"/>
      <c r="J8" s="33"/>
      <c r="K8" s="33"/>
      <c r="L8" s="40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40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1"/>
      <c r="BA8" s="31"/>
      <c r="BB8" s="31"/>
      <c r="BC8" s="31"/>
      <c r="BD8" s="18"/>
      <c r="BE8" s="31"/>
      <c r="BF8" s="31"/>
    </row>
    <row r="9">
      <c r="A9" s="31"/>
      <c r="B9" s="31"/>
      <c r="C9" s="31"/>
      <c r="D9" s="31"/>
      <c r="E9" s="33"/>
      <c r="F9" s="31"/>
      <c r="G9" s="31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1"/>
      <c r="BA9" s="31"/>
      <c r="BB9" s="31"/>
      <c r="BC9" s="31"/>
      <c r="BD9" s="18"/>
      <c r="BE9" s="31"/>
      <c r="BF9" s="31"/>
    </row>
    <row r="10">
      <c r="A10" s="31"/>
      <c r="B10" s="31"/>
      <c r="C10" s="31"/>
      <c r="D10" s="31"/>
      <c r="E10" s="33"/>
      <c r="F10" s="31"/>
      <c r="G10" s="31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1"/>
      <c r="BA10" s="31"/>
      <c r="BB10" s="31"/>
      <c r="BC10" s="31"/>
      <c r="BD10" s="18"/>
      <c r="BE10" s="31"/>
      <c r="BF10" s="31"/>
    </row>
    <row r="11">
      <c r="A11" s="31"/>
      <c r="B11" s="31"/>
      <c r="C11" s="31"/>
      <c r="D11" s="31"/>
      <c r="E11" s="33"/>
      <c r="F11" s="31"/>
      <c r="G11" s="31"/>
      <c r="H11" s="33"/>
      <c r="I11" s="33"/>
      <c r="J11" s="33"/>
      <c r="K11" s="33"/>
      <c r="L11" s="40"/>
      <c r="M11" s="33"/>
      <c r="N11" s="33"/>
      <c r="O11" s="53"/>
      <c r="P11" s="33"/>
      <c r="Q11" s="33"/>
      <c r="R11" s="40"/>
      <c r="S11" s="33"/>
      <c r="T11" s="33"/>
      <c r="U11" s="33"/>
      <c r="V11" s="33"/>
      <c r="W11" s="33"/>
      <c r="X11" s="40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1"/>
      <c r="BA11" s="31"/>
      <c r="BB11" s="31"/>
      <c r="BC11" s="31"/>
      <c r="BD11" s="18"/>
      <c r="BE11" s="31"/>
      <c r="BF11" s="31"/>
    </row>
    <row r="12">
      <c r="A12" s="31"/>
      <c r="B12" s="31"/>
      <c r="C12" s="31"/>
      <c r="D12" s="31"/>
      <c r="E12" s="33"/>
      <c r="F12" s="31"/>
      <c r="G12" s="31"/>
      <c r="H12" s="33"/>
      <c r="I12" s="33"/>
      <c r="J12" s="33"/>
      <c r="K12" s="33"/>
      <c r="L12" s="40"/>
      <c r="M12" s="33"/>
      <c r="N12" s="33"/>
      <c r="O12" s="53"/>
      <c r="P12" s="33"/>
      <c r="Q12" s="33"/>
      <c r="R12" s="40"/>
      <c r="S12" s="33"/>
      <c r="T12" s="33"/>
      <c r="U12" s="33"/>
      <c r="V12" s="33"/>
      <c r="W12" s="33"/>
      <c r="X12" s="40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1"/>
      <c r="BA12" s="31"/>
      <c r="BB12" s="31"/>
      <c r="BC12" s="31"/>
      <c r="BD12" s="18"/>
      <c r="BE12" s="31"/>
      <c r="BF12" s="31"/>
    </row>
    <row r="13">
      <c r="A13" s="31"/>
      <c r="B13" s="31"/>
      <c r="C13" s="31"/>
      <c r="D13" s="31"/>
      <c r="E13" s="33"/>
      <c r="F13" s="31"/>
      <c r="G13" s="31"/>
      <c r="H13" s="33"/>
      <c r="I13" s="31"/>
      <c r="J13" s="31"/>
      <c r="K13" s="33"/>
      <c r="L13" s="33"/>
      <c r="M13" s="33"/>
      <c r="N13" s="33"/>
      <c r="O13" s="31"/>
      <c r="P13" s="31"/>
      <c r="Q13" s="33"/>
      <c r="R13" s="33"/>
      <c r="S13" s="33"/>
      <c r="T13" s="33"/>
      <c r="U13" s="31"/>
      <c r="V13" s="31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1"/>
      <c r="AH13" s="31"/>
      <c r="AI13" s="33"/>
      <c r="AJ13" s="33"/>
      <c r="AK13" s="33"/>
      <c r="AL13" s="33"/>
      <c r="AM13" s="31"/>
      <c r="AN13" s="31"/>
      <c r="AO13" s="33"/>
      <c r="AP13" s="33"/>
      <c r="AQ13" s="33"/>
      <c r="AR13" s="33"/>
      <c r="AS13" s="31"/>
      <c r="AT13" s="31"/>
      <c r="AU13" s="31"/>
      <c r="AV13" s="33"/>
      <c r="AW13" s="33"/>
      <c r="AX13" s="33"/>
      <c r="AY13" s="33"/>
      <c r="AZ13" s="31"/>
      <c r="BA13" s="31"/>
      <c r="BB13" s="31"/>
      <c r="BC13" s="31"/>
      <c r="BD13" s="18"/>
      <c r="BE13" s="31"/>
      <c r="BF13" s="31"/>
    </row>
    <row r="14">
      <c r="A14" s="31"/>
      <c r="B14" s="31"/>
      <c r="C14" s="31"/>
      <c r="D14" s="31"/>
      <c r="E14" s="33"/>
      <c r="F14" s="31"/>
      <c r="G14" s="31"/>
      <c r="H14" s="33"/>
      <c r="I14" s="33"/>
      <c r="J14" s="33"/>
      <c r="K14" s="33"/>
      <c r="L14" s="40"/>
      <c r="M14" s="33"/>
      <c r="N14" s="33"/>
      <c r="O14" s="33"/>
      <c r="P14" s="33"/>
      <c r="Q14" s="33"/>
      <c r="R14" s="40"/>
      <c r="S14" s="33"/>
      <c r="T14" s="33"/>
      <c r="U14" s="33"/>
      <c r="V14" s="33"/>
      <c r="W14" s="33"/>
      <c r="X14" s="40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1"/>
      <c r="BA14" s="31"/>
      <c r="BB14" s="31"/>
      <c r="BC14" s="31"/>
      <c r="BD14" s="18"/>
      <c r="BE14" s="31"/>
      <c r="BF14" s="31"/>
    </row>
    <row r="15">
      <c r="A15" s="31"/>
      <c r="B15" s="31"/>
      <c r="C15" s="31"/>
      <c r="D15" s="31"/>
      <c r="E15" s="33"/>
      <c r="F15" s="31"/>
      <c r="G15" s="31"/>
      <c r="H15" s="33"/>
      <c r="I15" s="33"/>
      <c r="J15" s="33"/>
      <c r="K15" s="33"/>
      <c r="L15" s="40"/>
      <c r="M15" s="33"/>
      <c r="N15" s="33"/>
      <c r="O15" s="33"/>
      <c r="P15" s="33"/>
      <c r="Q15" s="33"/>
      <c r="R15" s="40"/>
      <c r="S15" s="33"/>
      <c r="T15" s="33"/>
      <c r="U15" s="31"/>
      <c r="V15" s="31"/>
      <c r="W15" s="31"/>
      <c r="X15" s="40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1"/>
      <c r="BA15" s="31"/>
      <c r="BB15" s="31"/>
      <c r="BC15" s="31"/>
      <c r="BD15" s="18"/>
      <c r="BE15" s="31"/>
      <c r="BF15" s="31"/>
    </row>
    <row r="16">
      <c r="A16" s="31"/>
      <c r="B16" s="31"/>
      <c r="C16" s="31"/>
      <c r="D16" s="31"/>
      <c r="E16" s="33"/>
      <c r="F16" s="31"/>
      <c r="G16" s="31"/>
      <c r="H16" s="33"/>
      <c r="I16" s="33"/>
      <c r="J16" s="33"/>
      <c r="K16" s="33"/>
      <c r="L16" s="40"/>
      <c r="M16" s="33"/>
      <c r="N16" s="33"/>
      <c r="O16" s="31"/>
      <c r="P16" s="31"/>
      <c r="Q16" s="31"/>
      <c r="R16" s="33"/>
      <c r="S16" s="33"/>
      <c r="T16" s="33"/>
      <c r="U16" s="31"/>
      <c r="V16" s="31"/>
      <c r="W16" s="31"/>
      <c r="X16" s="40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1"/>
      <c r="BA16" s="31"/>
      <c r="BB16" s="31"/>
      <c r="BC16" s="31"/>
      <c r="BD16" s="18"/>
      <c r="BE16" s="31"/>
      <c r="BF16" s="31"/>
    </row>
    <row r="17">
      <c r="A17" s="31"/>
      <c r="B17" s="31"/>
      <c r="C17" s="31"/>
      <c r="D17" s="31"/>
      <c r="E17" s="33"/>
      <c r="F17" s="31"/>
      <c r="G17" s="31"/>
      <c r="H17" s="33"/>
      <c r="I17" s="33"/>
      <c r="J17" s="33"/>
      <c r="K17" s="33"/>
      <c r="L17" s="40"/>
      <c r="M17" s="33"/>
      <c r="N17" s="33"/>
      <c r="O17" s="31"/>
      <c r="P17" s="31"/>
      <c r="Q17" s="33"/>
      <c r="R17" s="33"/>
      <c r="S17" s="33"/>
      <c r="T17" s="33"/>
      <c r="U17" s="33"/>
      <c r="V17" s="33"/>
      <c r="W17" s="33"/>
      <c r="X17" s="40"/>
      <c r="Y17" s="33"/>
      <c r="Z17" s="33"/>
      <c r="AA17" s="33"/>
      <c r="AB17" s="33"/>
      <c r="AC17" s="33"/>
      <c r="AD17" s="33"/>
      <c r="AE17" s="33"/>
      <c r="AF17" s="33"/>
      <c r="AG17" s="31"/>
      <c r="AH17" s="31"/>
      <c r="AI17" s="31"/>
      <c r="AJ17" s="33"/>
      <c r="AK17" s="33"/>
      <c r="AL17" s="33"/>
      <c r="AM17" s="31"/>
      <c r="AN17" s="31"/>
      <c r="AO17" s="31"/>
      <c r="AP17" s="33"/>
      <c r="AQ17" s="33"/>
      <c r="AR17" s="33"/>
      <c r="AS17" s="31"/>
      <c r="AT17" s="31"/>
      <c r="AU17" s="31"/>
      <c r="AV17" s="33"/>
      <c r="AW17" s="33"/>
      <c r="AX17" s="33"/>
      <c r="AY17" s="33"/>
      <c r="AZ17" s="31"/>
      <c r="BA17" s="31"/>
      <c r="BB17" s="31"/>
      <c r="BC17" s="31"/>
      <c r="BD17" s="18"/>
      <c r="BE17" s="31"/>
      <c r="BF17" s="31"/>
    </row>
    <row r="18">
      <c r="A18" s="31"/>
      <c r="B18" s="31"/>
      <c r="C18" s="31"/>
      <c r="D18" s="31"/>
      <c r="E18" s="33"/>
      <c r="F18" s="31"/>
      <c r="G18" s="31"/>
      <c r="H18" s="33"/>
      <c r="I18" s="53"/>
      <c r="J18" s="33"/>
      <c r="K18" s="33"/>
      <c r="L18" s="40"/>
      <c r="M18" s="33"/>
      <c r="N18" s="33"/>
      <c r="O18" s="31"/>
      <c r="P18" s="31"/>
      <c r="Q18" s="33"/>
      <c r="R18" s="40"/>
      <c r="S18" s="33"/>
      <c r="T18" s="33"/>
      <c r="U18" s="33"/>
      <c r="V18" s="33"/>
      <c r="W18" s="33"/>
      <c r="X18" s="40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1"/>
      <c r="BA18" s="31"/>
      <c r="BB18" s="31"/>
      <c r="BC18" s="31"/>
      <c r="BD18" s="18"/>
      <c r="BE18" s="31"/>
      <c r="BF18" s="31"/>
    </row>
    <row r="19">
      <c r="A19" s="31"/>
      <c r="B19" s="31"/>
      <c r="C19" s="31"/>
      <c r="D19" s="31"/>
      <c r="E19" s="33"/>
      <c r="F19" s="31"/>
      <c r="G19" s="31"/>
      <c r="H19" s="33"/>
      <c r="I19" s="53"/>
      <c r="J19" s="33"/>
      <c r="K19" s="33"/>
      <c r="L19" s="40"/>
      <c r="M19" s="33"/>
      <c r="N19" s="33"/>
      <c r="O19" s="33"/>
      <c r="P19" s="33"/>
      <c r="Q19" s="33"/>
      <c r="R19" s="40"/>
      <c r="S19" s="33"/>
      <c r="T19" s="33"/>
      <c r="U19" s="33"/>
      <c r="V19" s="33"/>
      <c r="W19" s="33"/>
      <c r="X19" s="40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1"/>
      <c r="BA19" s="31"/>
      <c r="BB19" s="31"/>
      <c r="BC19" s="31"/>
      <c r="BD19" s="18"/>
      <c r="BE19" s="31"/>
      <c r="BF19" s="31"/>
    </row>
    <row r="20" ht="15.75" customHeight="1">
      <c r="A20" s="31"/>
    </row>
    <row r="21" ht="15.75" customHeight="1">
      <c r="A21" s="31"/>
    </row>
    <row r="22" ht="15.75" customHeight="1">
      <c r="A22" s="31"/>
    </row>
    <row r="23" ht="15.75" customHeight="1">
      <c r="A23" s="31"/>
    </row>
    <row r="24" ht="15.75" customHeight="1">
      <c r="A24" s="31"/>
    </row>
    <row r="25" ht="15.75" customHeight="1">
      <c r="A25" s="31"/>
    </row>
    <row r="26" ht="15.75" customHeight="1">
      <c r="A26" s="3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dataValidations>
    <dataValidation type="list" allowBlank="1" sqref="H2:H19 N2:N19 T2:T19">
      <formula1>"Found,Carried but zero stock,Couldn't find by search,Not carried,Not checked"</formula1>
    </dataValidation>
    <dataValidation type="list" allowBlank="1" sqref="BE2:BE19">
      <formula1>"Daily,Weekly,Monthly"</formula1>
    </dataValidation>
    <dataValidation type="list" allowBlank="1" sqref="BB2:BC19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2026-10-01T01:25:24Z</dcterms:created>
  <dc:creator>openpyxl</dc:creator>
</cp:coreProperties>
</file>